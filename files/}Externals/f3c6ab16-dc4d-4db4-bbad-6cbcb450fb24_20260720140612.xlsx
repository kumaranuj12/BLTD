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Resco\Report\New folder\"/>
    </mc:Choice>
  </mc:AlternateContent>
  <xr:revisionPtr revIDLastSave="0" documentId="8_{E98DCD43-A4D4-4DA9-BDD7-C4371AE851C9}" xr6:coauthVersionLast="47" xr6:coauthVersionMax="47" xr10:uidLastSave="{00000000-0000-0000-0000-000000000000}"/>
  <bookViews>
    <workbookView xWindow="-108" yWindow="-108" windowWidth="23256" windowHeight="12576" firstSheet="1" activeTab="1" xr2:uid="{07A53D07-0E60-4F38-A1C9-C6B7F5025BD6}"/>
  </bookViews>
  <sheets>
    <sheet name="Cognos_Office_Connection_Cache" sheetId="2" state="veryHidden" r:id="rId1"/>
    <sheet name="Sheet1" sheetId="1" r:id="rId2"/>
  </sheets>
  <definedNames>
    <definedName name="cafe_validation_temp" hidden="1">Cognos_Office_Connection_Cache!$B$2:$B$10</definedName>
    <definedName name="ID" localSheetId="0" hidden="1">"0a46fe86-20d4-4f37-b9e0-751f8f0debcf"</definedName>
    <definedName name="ID" localSheetId="1" hidden="1">"ba0a3f79-d98a-4e33-a652-724c8fb6cb22"</definedName>
    <definedName name="ServerName">Sheet1!$A$17</definedName>
    <definedName name="TM1RPTDATARNG15695952" localSheetId="1">Sheet1!$34:$53</definedName>
    <definedName name="TM1RPTFMTIDCOL15695952" localSheetId="1">Sheet1!$D$1:$D$10</definedName>
    <definedName name="TM1RPTFMTRNG15695952" localSheetId="1">Sheet1!$E$1:$U$10</definedName>
    <definedName name="TM1RPTQRYRNG15695952" localSheetId="1">Sheet1!$E$11:$H$11</definedName>
    <definedName name="TM1RPTVIEWRNG15695952" localSheetId="1">Sheet1!$E$12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3" i="1" l="1"/>
  <c r="J33" i="1"/>
  <c r="K33" i="1"/>
  <c r="L33" i="1"/>
  <c r="M33" i="1"/>
  <c r="N33" i="1"/>
  <c r="O33" i="1"/>
  <c r="P33" i="1"/>
  <c r="Q33" i="1"/>
  <c r="R33" i="1"/>
  <c r="S33" i="1"/>
  <c r="I33" i="1"/>
  <c r="F19" i="1"/>
  <c r="F18" i="1"/>
  <c r="F17" i="1"/>
  <c r="F16" i="1"/>
  <c r="D46" i="1"/>
  <c r="D42" i="1"/>
  <c r="D53" i="1"/>
  <c r="D49" i="1"/>
  <c r="D39" i="1"/>
  <c r="D37" i="1"/>
  <c r="D35" i="1"/>
  <c r="D45" i="1"/>
  <c r="D41" i="1"/>
  <c r="D44" i="1"/>
  <c r="D51" i="1"/>
  <c r="D38" i="1"/>
  <c r="D43" i="1"/>
  <c r="D50" i="1"/>
  <c r="D52" i="1"/>
  <c r="D48" i="1"/>
  <c r="D40" i="1"/>
  <c r="D36" i="1"/>
  <c r="D47" i="1"/>
  <c r="A17" i="1"/>
  <c r="E12" i="1" s="1"/>
  <c r="H34" i="1"/>
  <c r="D34" i="1"/>
  <c r="E34" i="1"/>
  <c r="B19" i="1" l="1"/>
  <c r="B27" i="1"/>
  <c r="B25" i="1"/>
  <c r="B20" i="1"/>
  <c r="B28" i="1"/>
  <c r="B21" i="1"/>
  <c r="B29" i="1"/>
  <c r="B24" i="1"/>
  <c r="B26" i="1"/>
  <c r="B22" i="1"/>
  <c r="B18" i="1"/>
  <c r="B23" i="1"/>
  <c r="F36" i="1"/>
  <c r="F40" i="1"/>
  <c r="F38" i="1"/>
  <c r="F35" i="1"/>
  <c r="F37" i="1"/>
  <c r="F39" i="1"/>
  <c r="F41" i="1"/>
  <c r="F42" i="1"/>
  <c r="F43" i="1"/>
  <c r="F44" i="1"/>
  <c r="F45" i="1"/>
  <c r="F46" i="1"/>
  <c r="F47" i="1"/>
  <c r="F48" i="1"/>
  <c r="F49" i="1"/>
  <c r="F50" i="1"/>
  <c r="G37" i="1"/>
  <c r="G38" i="1"/>
  <c r="G40" i="1"/>
  <c r="G41" i="1"/>
  <c r="G44" i="1"/>
  <c r="G45" i="1"/>
  <c r="G46" i="1"/>
  <c r="G51" i="1"/>
  <c r="F51" i="1"/>
  <c r="F52" i="1"/>
  <c r="F53" i="1"/>
  <c r="G35" i="1"/>
  <c r="G36" i="1"/>
  <c r="G39" i="1"/>
  <c r="G42" i="1"/>
  <c r="G43" i="1"/>
  <c r="G47" i="1"/>
  <c r="G48" i="1"/>
  <c r="G49" i="1"/>
  <c r="G50" i="1"/>
  <c r="G52" i="1"/>
  <c r="G53" i="1"/>
  <c r="F20" i="1"/>
  <c r="F21" i="1"/>
  <c r="F34" i="1"/>
  <c r="G34" i="1"/>
  <c r="U3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K22" i="1" l="1"/>
  <c r="M22" i="1"/>
  <c r="T22" i="1"/>
  <c r="R22" i="1"/>
  <c r="P22" i="1"/>
  <c r="L22" i="1"/>
  <c r="O22" i="1"/>
  <c r="J22" i="1"/>
  <c r="N22" i="1"/>
  <c r="Q22" i="1"/>
  <c r="U33" i="1"/>
  <c r="I22" i="1"/>
  <c r="S22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N35" i="1"/>
  <c r="N39" i="1"/>
  <c r="N46" i="1"/>
  <c r="N47" i="1"/>
  <c r="N36" i="1"/>
  <c r="N38" i="1"/>
  <c r="N40" i="1"/>
  <c r="N44" i="1"/>
  <c r="N37" i="1"/>
  <c r="N42" i="1"/>
  <c r="N50" i="1"/>
  <c r="N43" i="1"/>
  <c r="N51" i="1"/>
  <c r="N48" i="1"/>
  <c r="N52" i="1"/>
  <c r="N41" i="1"/>
  <c r="N45" i="1"/>
  <c r="N49" i="1"/>
  <c r="N53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R52" i="1"/>
  <c r="R53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P35" i="1"/>
  <c r="P36" i="1"/>
  <c r="P39" i="1"/>
  <c r="P42" i="1"/>
  <c r="P43" i="1"/>
  <c r="P47" i="1"/>
  <c r="P48" i="1"/>
  <c r="P49" i="1"/>
  <c r="P37" i="1"/>
  <c r="P38" i="1"/>
  <c r="P40" i="1"/>
  <c r="P41" i="1"/>
  <c r="P44" i="1"/>
  <c r="P45" i="1"/>
  <c r="P46" i="1"/>
  <c r="P50" i="1"/>
  <c r="P51" i="1"/>
  <c r="P52" i="1"/>
  <c r="P53" i="1"/>
  <c r="O35" i="1"/>
  <c r="O39" i="1"/>
  <c r="O47" i="1"/>
  <c r="O37" i="1"/>
  <c r="O36" i="1"/>
  <c r="O38" i="1"/>
  <c r="O40" i="1"/>
  <c r="O41" i="1"/>
  <c r="O42" i="1"/>
  <c r="O43" i="1"/>
  <c r="O44" i="1"/>
  <c r="O45" i="1"/>
  <c r="O46" i="1"/>
  <c r="O51" i="1"/>
  <c r="O48" i="1"/>
  <c r="O49" i="1"/>
  <c r="O50" i="1"/>
  <c r="O52" i="1"/>
  <c r="O53" i="1"/>
  <c r="K47" i="1"/>
  <c r="K48" i="1"/>
  <c r="K49" i="1"/>
  <c r="K51" i="1"/>
  <c r="K35" i="1"/>
  <c r="K36" i="1"/>
  <c r="K37" i="1"/>
  <c r="K38" i="1"/>
  <c r="K39" i="1"/>
  <c r="K40" i="1"/>
  <c r="K41" i="1"/>
  <c r="K42" i="1"/>
  <c r="K43" i="1"/>
  <c r="K44" i="1"/>
  <c r="K45" i="1"/>
  <c r="K46" i="1"/>
  <c r="K50" i="1"/>
  <c r="K52" i="1"/>
  <c r="K53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K34" i="1"/>
  <c r="N34" i="1"/>
  <c r="L34" i="1"/>
  <c r="M34" i="1"/>
  <c r="Q34" i="1"/>
  <c r="S34" i="1"/>
  <c r="J34" i="1"/>
  <c r="T34" i="1"/>
  <c r="O34" i="1"/>
  <c r="R34" i="1"/>
  <c r="I34" i="1"/>
  <c r="P34" i="1"/>
</calcChain>
</file>

<file path=xl/sharedStrings.xml><?xml version="1.0" encoding="utf-8"?>
<sst xmlns="http://schemas.openxmlformats.org/spreadsheetml/2006/main" count="120" uniqueCount="67">
  <si>
    <t>[Begin Format Range]</t>
  </si>
  <si>
    <t>Default</t>
  </si>
  <si>
    <t>Leaf</t>
  </si>
  <si>
    <t>[End Format Range]</t>
  </si>
  <si>
    <t>Element Name</t>
  </si>
  <si>
    <t>Version</t>
  </si>
  <si>
    <t>Currency</t>
  </si>
  <si>
    <t>Company</t>
  </si>
  <si>
    <t>Measure</t>
  </si>
  <si>
    <t>FY-2026</t>
  </si>
  <si>
    <t>ACCOUNTING</t>
  </si>
  <si>
    <t>613077181000000</t>
  </si>
  <si>
    <t>613077181100000</t>
  </si>
  <si>
    <t>614077181000000</t>
  </si>
  <si>
    <t>615077181000000</t>
  </si>
  <si>
    <t>616077181000000</t>
  </si>
  <si>
    <t>617077181000000</t>
  </si>
  <si>
    <t>618077181000000</t>
  </si>
  <si>
    <t>619077181000000</t>
  </si>
  <si>
    <t>620077181000000</t>
  </si>
  <si>
    <t>621077181000000</t>
  </si>
  <si>
    <t>622077181000000</t>
  </si>
  <si>
    <t>623077181000000</t>
  </si>
  <si>
    <t>625077181100000</t>
  </si>
  <si>
    <t>625077181110000</t>
  </si>
  <si>
    <t>627077181000000</t>
  </si>
  <si>
    <t>632077181000000</t>
  </si>
  <si>
    <t>641077181000000</t>
  </si>
  <si>
    <t>642577181000000</t>
  </si>
  <si>
    <t>644077181000000</t>
  </si>
  <si>
    <t>Location</t>
  </si>
  <si>
    <t>Years</t>
  </si>
  <si>
    <t>}ElementAttributes_Account</t>
  </si>
  <si>
    <t>Account</t>
  </si>
  <si>
    <t>Division</t>
  </si>
  <si>
    <t>Fiscal_Year</t>
  </si>
  <si>
    <t>}ElementAttributes_Division</t>
  </si>
  <si>
    <t>}ElementAttributes_Department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</si>
  <si>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</si>
  <si>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</si>
  <si>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</si>
  <si>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</si>
  <si>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</si>
  <si>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</si>
  <si>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</si>
  <si>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</si>
  <si>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</si>
  <si>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</si>
  <si>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</si>
  <si>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</si>
  <si>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Labor / Non-Labor</t>
  </si>
  <si>
    <t>Cost Description</t>
  </si>
  <si>
    <t>GL Number</t>
  </si>
  <si>
    <t>Group Name</t>
  </si>
  <si>
    <t>Overhead Non-Labor Actual</t>
  </si>
  <si>
    <t>All_Locations</t>
  </si>
  <si>
    <t>Lubbock</t>
  </si>
  <si>
    <t>Corpus Christi</t>
  </si>
  <si>
    <t>Houston</t>
  </si>
  <si>
    <t>OTHER</t>
  </si>
  <si>
    <t>Louisiana</t>
  </si>
  <si>
    <t>Midland</t>
  </si>
  <si>
    <t>Montana</t>
  </si>
  <si>
    <t>Sweet Water</t>
  </si>
  <si>
    <t>Division_Department</t>
  </si>
  <si>
    <t>NLocation</t>
  </si>
  <si>
    <t>[784963fe-938d-421f-87c2-f865a37a69f9_20260717192441.xlsx]Sheet1'!F20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</si>
</sst>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b/>
      <sz val="10"/>
      <color rgb="FF165D81"/>
      <name val="Arial"/>
      <family val="2"/>
    </font>
    <font>
      <b/>
      <sz val="9"/>
      <color theme="1" tint="0.24994659260841701"/>
      <name val="Arial"/>
      <family val="2"/>
    </font>
    <font>
      <sz val="24"/>
      <color rgb="FF185EB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FBE6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rgb="FF3BAB5A"/>
      </left>
      <right style="dotted">
        <color rgb="FF3BAB5A"/>
      </right>
      <top style="dotted">
        <color rgb="FF3BAB5A"/>
      </top>
      <bottom style="dotted">
        <color rgb="FF3BAB5A"/>
      </bottom>
      <diagonal/>
    </border>
    <border>
      <left style="dotted">
        <color rgb="FFA8A8A8"/>
      </left>
      <right style="dotted">
        <color rgb="FFA8A8A8"/>
      </right>
      <top style="dotted">
        <color rgb="FFA8A8A8"/>
      </top>
      <bottom style="dotted">
        <color rgb="FFA8A8A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</borders>
  <cellStyleXfs count="76">
    <xf numFmtId="0" fontId="0" fillId="0" borderId="0"/>
    <xf numFmtId="0" fontId="3" fillId="0" borderId="1" applyNumberFormat="0" applyFill="0" applyProtection="0">
      <alignment horizontal="center" vertical="center"/>
    </xf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3" fillId="0" borderId="1" applyNumberFormat="0" applyFill="0" applyAlignment="0" applyProtection="0"/>
    <xf numFmtId="0" fontId="3" fillId="0" borderId="1" applyNumberFormat="0" applyFill="0" applyAlignment="0" applyProtection="0"/>
    <xf numFmtId="3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2" applyNumberFormat="0" applyBorder="0" applyAlignment="0" applyProtection="0"/>
    <xf numFmtId="3" fontId="4" fillId="0" borderId="2" applyNumberFormat="0" applyBorder="0" applyAlignment="0" applyProtection="0"/>
    <xf numFmtId="3" fontId="4" fillId="0" borderId="2" applyNumberFormat="0" applyBorder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>
      <alignment horizontal="right" vertical="center"/>
    </xf>
    <xf numFmtId="3" fontId="4" fillId="2" borderId="2">
      <alignment horizontal="center" vertical="center"/>
    </xf>
    <xf numFmtId="0" fontId="4" fillId="2" borderId="2">
      <alignment horizontal="right" vertical="center"/>
    </xf>
    <xf numFmtId="0" fontId="3" fillId="0" borderId="3">
      <alignment horizontal="left" vertical="center"/>
    </xf>
    <xf numFmtId="0" fontId="3" fillId="0" borderId="4">
      <alignment horizontal="center" vertical="center"/>
    </xf>
    <xf numFmtId="0" fontId="5" fillId="0" borderId="5">
      <alignment horizontal="center" vertical="center"/>
    </xf>
    <xf numFmtId="0" fontId="4" fillId="3" borderId="2"/>
    <xf numFmtId="3" fontId="3" fillId="0" borderId="1" applyFill="0" applyAlignment="0" applyProtection="0"/>
    <xf numFmtId="3" fontId="3" fillId="0" borderId="1" applyFill="0" applyAlignment="0" applyProtection="0"/>
    <xf numFmtId="3" fontId="3" fillId="0" borderId="1" applyFill="0" applyAlignment="0" applyProtection="0"/>
    <xf numFmtId="3" fontId="3" fillId="0" borderId="1" applyFill="0" applyAlignment="0" applyProtection="0"/>
    <xf numFmtId="0" fontId="3" fillId="0" borderId="1" applyFill="0" applyAlignment="0" applyProtection="0"/>
    <xf numFmtId="3" fontId="3" fillId="0" borderId="1" applyFill="0" applyAlignment="0" applyProtection="0"/>
    <xf numFmtId="0" fontId="3" fillId="0" borderId="4">
      <alignment horizontal="center" vertical="center"/>
    </xf>
    <xf numFmtId="0" fontId="3" fillId="0" borderId="4">
      <alignment horizontal="center" vertical="center"/>
    </xf>
    <xf numFmtId="3" fontId="4" fillId="0" borderId="2" applyFill="0" applyAlignment="0" applyProtection="0"/>
    <xf numFmtId="0" fontId="4" fillId="0" borderId="2" applyFill="0" applyAlignment="0" applyProtection="0"/>
    <xf numFmtId="3" fontId="3" fillId="4" borderId="6" applyNumberFormat="0" applyFont="0" applyAlignment="0" applyProtection="0"/>
    <xf numFmtId="0" fontId="1" fillId="5" borderId="7" applyNumberFormat="0" applyFont="0" applyAlignment="0" applyProtection="0"/>
    <xf numFmtId="0" fontId="3" fillId="0" borderId="1" applyFill="0" applyAlignment="0" applyProtection="0"/>
    <xf numFmtId="3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3">
      <alignment horizontal="left" vertical="center"/>
    </xf>
    <xf numFmtId="3" fontId="3" fillId="0" borderId="1" applyFill="0" applyAlignment="0" applyProtection="0"/>
    <xf numFmtId="3" fontId="6" fillId="0" borderId="2"/>
    <xf numFmtId="3" fontId="7" fillId="0" borderId="2"/>
    <xf numFmtId="0" fontId="3" fillId="0" borderId="4">
      <alignment horizontal="left" vertical="top"/>
    </xf>
    <xf numFmtId="0" fontId="8" fillId="0" borderId="2"/>
    <xf numFmtId="0" fontId="3" fillId="0" borderId="4">
      <alignment horizontal="left" vertical="center"/>
    </xf>
    <xf numFmtId="0" fontId="4" fillId="2" borderId="8"/>
    <xf numFmtId="3" fontId="4" fillId="0" borderId="2">
      <alignment horizontal="right" vertical="center"/>
    </xf>
    <xf numFmtId="0" fontId="3" fillId="0" borderId="4">
      <alignment horizontal="right" vertical="center"/>
    </xf>
    <xf numFmtId="0" fontId="4" fillId="0" borderId="5">
      <alignment horizontal="center" vertical="center"/>
    </xf>
    <xf numFmtId="3" fontId="4" fillId="0" borderId="2"/>
    <xf numFmtId="3" fontId="4" fillId="0" borderId="2"/>
    <xf numFmtId="0" fontId="4" fillId="0" borderId="5">
      <alignment horizontal="center" vertical="center" wrapText="1"/>
    </xf>
    <xf numFmtId="0" fontId="9" fillId="0" borderId="5">
      <alignment horizontal="left" vertical="center" indent="1"/>
    </xf>
    <xf numFmtId="0" fontId="10" fillId="0" borderId="2"/>
    <xf numFmtId="0" fontId="3" fillId="0" borderId="3">
      <alignment horizontal="left" vertical="center"/>
    </xf>
    <xf numFmtId="3" fontId="4" fillId="0" borderId="2">
      <alignment horizontal="center" vertical="center"/>
    </xf>
    <xf numFmtId="0" fontId="3" fillId="0" borderId="4">
      <alignment horizontal="center" vertical="center"/>
    </xf>
    <xf numFmtId="0" fontId="3" fillId="0" borderId="4">
      <alignment horizontal="center" vertical="center"/>
    </xf>
    <xf numFmtId="0" fontId="3" fillId="0" borderId="3">
      <alignment horizontal="left" vertical="center"/>
    </xf>
    <xf numFmtId="0" fontId="3" fillId="0" borderId="3">
      <alignment horizontal="left" vertical="center"/>
    </xf>
    <xf numFmtId="0" fontId="11" fillId="0" borderId="2"/>
  </cellStyleXfs>
  <cellXfs count="52">
    <xf numFmtId="0" fontId="0" fillId="0" borderId="0" xfId="0"/>
    <xf numFmtId="0" fontId="0" fillId="0" borderId="0" xfId="0" quotePrefix="1"/>
    <xf numFmtId="0" fontId="0" fillId="6" borderId="0" xfId="0" quotePrefix="1" applyFill="1"/>
    <xf numFmtId="0" fontId="0" fillId="6" borderId="0" xfId="0" applyFill="1"/>
    <xf numFmtId="0" fontId="4" fillId="6" borderId="0" xfId="19" applyNumberFormat="1" applyFill="1"/>
    <xf numFmtId="0" fontId="3" fillId="6" borderId="1" xfId="11" applyNumberFormat="1" applyFill="1"/>
    <xf numFmtId="0" fontId="3" fillId="6" borderId="14" xfId="11" applyNumberFormat="1" applyFill="1" applyBorder="1"/>
    <xf numFmtId="3" fontId="4" fillId="6" borderId="13" xfId="3" applyFill="1" applyBorder="1"/>
    <xf numFmtId="0" fontId="4" fillId="6" borderId="0" xfId="20" applyNumberFormat="1" applyFill="1"/>
    <xf numFmtId="0" fontId="3" fillId="6" borderId="1" xfId="12" applyNumberFormat="1" applyFill="1"/>
    <xf numFmtId="0" fontId="3" fillId="6" borderId="14" xfId="12" applyNumberFormat="1" applyFill="1" applyBorder="1"/>
    <xf numFmtId="3" fontId="4" fillId="6" borderId="13" xfId="4" applyFill="1" applyBorder="1"/>
    <xf numFmtId="0" fontId="4" fillId="6" borderId="0" xfId="21" applyNumberFormat="1" applyFill="1"/>
    <xf numFmtId="0" fontId="3" fillId="6" borderId="1" xfId="13" applyNumberFormat="1" applyFill="1"/>
    <xf numFmtId="0" fontId="3" fillId="6" borderId="14" xfId="13" applyNumberFormat="1" applyFill="1" applyBorder="1"/>
    <xf numFmtId="3" fontId="4" fillId="6" borderId="13" xfId="5" applyFill="1" applyBorder="1"/>
    <xf numFmtId="0" fontId="4" fillId="6" borderId="0" xfId="22" applyNumberFormat="1" applyFill="1"/>
    <xf numFmtId="0" fontId="3" fillId="6" borderId="1" xfId="14" applyNumberFormat="1" applyFill="1"/>
    <xf numFmtId="0" fontId="3" fillId="6" borderId="14" xfId="14" applyNumberFormat="1" applyFill="1" applyBorder="1"/>
    <xf numFmtId="3" fontId="4" fillId="6" borderId="13" xfId="6" applyFill="1" applyBorder="1"/>
    <xf numFmtId="0" fontId="4" fillId="6" borderId="0" xfId="23" applyNumberFormat="1" applyFill="1" applyBorder="1"/>
    <xf numFmtId="0" fontId="3" fillId="6" borderId="1" xfId="15" applyNumberFormat="1" applyFill="1"/>
    <xf numFmtId="0" fontId="3" fillId="6" borderId="14" xfId="15" applyNumberFormat="1" applyFill="1" applyBorder="1"/>
    <xf numFmtId="3" fontId="4" fillId="6" borderId="13" xfId="7" applyFill="1" applyBorder="1"/>
    <xf numFmtId="0" fontId="4" fillId="6" borderId="0" xfId="24" applyNumberFormat="1" applyFill="1" applyBorder="1"/>
    <xf numFmtId="0" fontId="3" fillId="6" borderId="1" xfId="16" applyNumberFormat="1" applyFill="1"/>
    <xf numFmtId="0" fontId="3" fillId="6" borderId="14" xfId="16" applyNumberFormat="1" applyFill="1" applyBorder="1"/>
    <xf numFmtId="3" fontId="4" fillId="6" borderId="13" xfId="8" applyFill="1" applyBorder="1"/>
    <xf numFmtId="0" fontId="4" fillId="6" borderId="0" xfId="18" quotePrefix="1" applyNumberFormat="1" applyFill="1"/>
    <xf numFmtId="0" fontId="3" fillId="6" borderId="1" xfId="10" applyNumberFormat="1" applyFill="1"/>
    <xf numFmtId="0" fontId="3" fillId="6" borderId="14" xfId="10" applyNumberFormat="1" applyFill="1" applyBorder="1"/>
    <xf numFmtId="3" fontId="4" fillId="6" borderId="13" xfId="2" applyFill="1" applyBorder="1"/>
    <xf numFmtId="0" fontId="4" fillId="6" borderId="0" xfId="18" applyNumberFormat="1" applyFill="1"/>
    <xf numFmtId="0" fontId="4" fillId="6" borderId="0" xfId="25" quotePrefix="1" applyNumberFormat="1" applyFill="1" applyBorder="1"/>
    <xf numFmtId="0" fontId="12" fillId="6" borderId="1" xfId="17" applyNumberFormat="1" applyFont="1" applyFill="1" applyAlignment="1" applyProtection="1">
      <alignment horizontal="left" vertical="center"/>
    </xf>
    <xf numFmtId="0" fontId="12" fillId="6" borderId="14" xfId="17" applyNumberFormat="1" applyFont="1" applyFill="1" applyBorder="1" applyAlignment="1" applyProtection="1">
      <alignment horizontal="left" vertical="center"/>
    </xf>
    <xf numFmtId="2" fontId="13" fillId="6" borderId="13" xfId="9" applyNumberFormat="1" applyFont="1" applyFill="1" applyBorder="1" applyAlignment="1" applyProtection="1">
      <alignment horizontal="right" vertical="center"/>
      <protection locked="0"/>
    </xf>
    <xf numFmtId="0" fontId="4" fillId="6" borderId="0" xfId="25" applyNumberFormat="1" applyFill="1" applyBorder="1"/>
    <xf numFmtId="0" fontId="4" fillId="6" borderId="9" xfId="27" quotePrefix="1" applyFill="1" applyBorder="1"/>
    <xf numFmtId="0" fontId="4" fillId="6" borderId="0" xfId="26" applyFill="1" applyBorder="1"/>
    <xf numFmtId="0" fontId="4" fillId="6" borderId="2" xfId="26" applyFill="1"/>
    <xf numFmtId="0" fontId="3" fillId="6" borderId="1" xfId="1" quotePrefix="1" applyFill="1">
      <alignment horizontal="center" vertical="center"/>
    </xf>
    <xf numFmtId="49" fontId="12" fillId="6" borderId="1" xfId="17" applyNumberFormat="1" applyFont="1" applyFill="1" applyAlignment="1" applyProtection="1">
      <alignment horizontal="left" vertical="center"/>
    </xf>
    <xf numFmtId="49" fontId="12" fillId="6" borderId="14" xfId="17" applyNumberFormat="1" applyFont="1" applyFill="1" applyBorder="1" applyAlignment="1" applyProtection="1">
      <alignment horizontal="left" vertical="center"/>
    </xf>
    <xf numFmtId="0" fontId="2" fillId="7" borderId="0" xfId="0" applyFont="1" applyFill="1" applyAlignment="1">
      <alignment horizontal="left" vertical="center"/>
    </xf>
    <xf numFmtId="0" fontId="4" fillId="7" borderId="9" xfId="27" quotePrefix="1" applyFill="1" applyBorder="1"/>
    <xf numFmtId="0" fontId="4" fillId="7" borderId="0" xfId="27" applyFill="1" applyBorder="1"/>
    <xf numFmtId="0" fontId="2" fillId="7" borderId="0" xfId="0" applyFont="1" applyFill="1" applyProtection="1">
      <protection locked="0"/>
    </xf>
    <xf numFmtId="0" fontId="14" fillId="6" borderId="10" xfId="0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4" fillId="7" borderId="0" xfId="26" applyNumberFormat="1" applyFill="1" applyBorder="1"/>
  </cellXfs>
  <cellStyles count="76">
    <cellStyle name="AF Column - IBM Cognos" xfId="1" xr:uid="{54177081-91C8-4000-89E9-53A6CEAE0B36}"/>
    <cellStyle name="AF Data - IBM Cognos" xfId="2" xr:uid="{EC9C888A-E726-4C9D-B21E-652E11EE21AC}"/>
    <cellStyle name="AF Data 0 - IBM Cognos" xfId="3" xr:uid="{00ED10A7-087C-47ED-8EC5-87CFC5A8C6E8}"/>
    <cellStyle name="AF Data 1 - IBM Cognos" xfId="4" xr:uid="{FA438EB4-29F1-4C46-A327-0388E61AA7E8}"/>
    <cellStyle name="AF Data 2 - IBM Cognos" xfId="5" xr:uid="{6B293F2F-EDD3-41C4-A7D7-B14058131EC8}"/>
    <cellStyle name="AF Data 3 - IBM Cognos" xfId="6" xr:uid="{F6690BFE-0DEA-4E48-AE00-7369FA08ABA9}"/>
    <cellStyle name="AF Data 4 - IBM Cognos" xfId="7" xr:uid="{E7CE3592-4A79-45BD-8B49-4937C4B210E3}"/>
    <cellStyle name="AF Data 5 - IBM Cognos" xfId="8" xr:uid="{C9620F9B-F689-4B7B-AD89-0A47C22A004E}"/>
    <cellStyle name="AF Data Leaf - IBM Cognos" xfId="9" xr:uid="{D78C757F-DDBE-4E48-9865-ABDF76221D79}"/>
    <cellStyle name="AF Header - IBM Cognos" xfId="10" xr:uid="{F65E0D79-87FE-4B40-B388-1B52943EFEB1}"/>
    <cellStyle name="AF Header 0 - IBM Cognos" xfId="11" xr:uid="{24B548A7-6684-496E-AC64-B5912661C00A}"/>
    <cellStyle name="AF Header 1 - IBM Cognos" xfId="12" xr:uid="{4B9D6820-535B-4790-9A39-7DD330DE90F2}"/>
    <cellStyle name="AF Header 2 - IBM Cognos" xfId="13" xr:uid="{611153B9-D60F-42D7-A6A1-181CD581D514}"/>
    <cellStyle name="AF Header 3 - IBM Cognos" xfId="14" xr:uid="{C413968C-ABB3-4A5A-A6BF-A802A99D4255}"/>
    <cellStyle name="AF Header 4 - IBM Cognos" xfId="15" xr:uid="{62D4F187-7C57-4501-9962-0A5ED17B772E}"/>
    <cellStyle name="AF Header 5 - IBM Cognos" xfId="16" xr:uid="{4B307FF7-DCAA-40EB-9CD4-2D9DEBC6634F}"/>
    <cellStyle name="AF Header Leaf - IBM Cognos" xfId="17" xr:uid="{60B6C62C-0D1B-417B-AA29-CE1788EA0DC0}"/>
    <cellStyle name="AF Row - IBM Cognos" xfId="18" xr:uid="{B5D53FD0-A36A-46FA-B2E5-AAE3606B6288}"/>
    <cellStyle name="AF Row 0 - IBM Cognos" xfId="19" xr:uid="{019C0DED-8164-4056-9194-C94AC57371B7}"/>
    <cellStyle name="AF Row 1 - IBM Cognos" xfId="20" xr:uid="{DE331D57-8810-4E10-80DB-02366D9D2BD2}"/>
    <cellStyle name="AF Row 2 - IBM Cognos" xfId="21" xr:uid="{56C979DA-08A3-465E-AF06-9BD426E8F86A}"/>
    <cellStyle name="AF Row 3 - IBM Cognos" xfId="22" xr:uid="{F0F0948C-C473-400C-AB55-E5C02708BECB}"/>
    <cellStyle name="AF Row 4 - IBM Cognos" xfId="23" xr:uid="{E57A0FF9-5D34-472B-9145-A941212EF1B6}"/>
    <cellStyle name="AF Row 5 - IBM Cognos" xfId="24" xr:uid="{DACC6854-E2F8-4F52-B813-509B84761475}"/>
    <cellStyle name="AF Row Leaf - IBM Cognos" xfId="25" xr:uid="{E6B708BB-CB54-4BF0-B028-FE8CD3CE737C}"/>
    <cellStyle name="AF Subnm - IBM Cognos" xfId="26" xr:uid="{D5A941B3-0B77-4EE8-898D-3A66958D5C22}"/>
    <cellStyle name="AF Title - IBM Cognos" xfId="27" xr:uid="{EFCCD55A-F486-438A-8E94-829DB0CE974D}"/>
    <cellStyle name="Calculated Column - IBM Cognos" xfId="28" xr:uid="{66E56143-297C-475F-95F2-DE4DE60C23AD}"/>
    <cellStyle name="Calculated Column Name - IBM Cognos" xfId="29" xr:uid="{3F92C85F-4622-47E8-A00D-D1239DCE187D}"/>
    <cellStyle name="Calculated Row - IBM Cognos" xfId="30" xr:uid="{B9F6126D-18DD-471F-8398-BE921473B4A8}"/>
    <cellStyle name="Calculated Row Name - IBM Cognos" xfId="31" xr:uid="{1B2AB41E-9141-436E-A451-A84957D22C43}"/>
    <cellStyle name="Column Name - IBM Cognos" xfId="32" xr:uid="{FA393DC6-BB3E-49DA-A68F-2C63CB7F05B7}"/>
    <cellStyle name="Column Template - IBM Cognos" xfId="33" xr:uid="{D5FCFDF4-E11A-46A0-8900-E249F4172F96}"/>
    <cellStyle name="Differs From Base - IBM Cognos" xfId="34" xr:uid="{314AF555-6D01-4575-B8E3-7E46058D7E99}"/>
    <cellStyle name="DQR Column 0 - IBM Cognos" xfId="35" xr:uid="{5ED00E28-DC74-4C5C-A5BF-96658DC676E8}"/>
    <cellStyle name="DQR Column 1 - IBM Cognos" xfId="36" xr:uid="{9DCB1CD0-5ABF-4A26-B4AC-3A7B8ED73608}"/>
    <cellStyle name="DQR Column 2 - IBM Cognos" xfId="37" xr:uid="{4612B796-1E86-466E-9EAB-EC3926803C0B}"/>
    <cellStyle name="DQR Column 3 - IBM Cognos" xfId="38" xr:uid="{3E0E3703-4CD8-45CE-9404-7452CF934492}"/>
    <cellStyle name="DQR Column 4 - IBM Cognos" xfId="39" xr:uid="{5E3B981B-C8F5-425D-8C49-72855F7BA740}"/>
    <cellStyle name="DQR Column 5 - IBM Cognos" xfId="40" xr:uid="{FCC056A0-D071-49D0-86C0-938BE95B3902}"/>
    <cellStyle name="DQR Column Default - IBM Cognos" xfId="41" xr:uid="{A254810B-8895-4DB8-BB07-4AFE46648065}"/>
    <cellStyle name="DQR Column Leaf - IBM Cognos" xfId="42" xr:uid="{BB618627-6198-4ADF-B531-9B580DA6EE34}"/>
    <cellStyle name="DQR Data Default - IBM Cognos" xfId="43" xr:uid="{5FDF8CFD-4CA5-4C28-9FE2-6E5265AF0F11}"/>
    <cellStyle name="DQR Default - IBM Cognos" xfId="44" xr:uid="{4130BA62-F91F-4F12-8433-5CE822D12632}"/>
    <cellStyle name="DQR Gutter Default - IBM Cognos" xfId="45" xr:uid="{BF7BFDA7-F57C-405E-B7F4-5A3E28238444}"/>
    <cellStyle name="DQR Gutter Default (OFF) - IBM Cognos" xfId="46" xr:uid="{6DA0A432-73BF-4152-9EF2-5524A71CAF3E}"/>
    <cellStyle name="DQR Row 0 - IBM Cognos" xfId="47" xr:uid="{02E6AAB8-D334-4AC1-9763-7C5207236F21}"/>
    <cellStyle name="DQR Row 1 - IBM Cognos" xfId="48" xr:uid="{462E7F63-2B29-4802-B874-C0363EDCB86B}"/>
    <cellStyle name="DQR Row 2 - IBM Cognos" xfId="49" xr:uid="{6100BC2C-463B-4D89-A5B4-37ED941EC923}"/>
    <cellStyle name="DQR Row 3 - IBM Cognos" xfId="50" xr:uid="{A64CEBCB-0241-4FC4-9082-E28C0CB4CC3D}"/>
    <cellStyle name="DQR Row 4 - IBM Cognos" xfId="51" xr:uid="{5C0061B3-9397-434F-863D-D86EC53106DF}"/>
    <cellStyle name="DQR Row 5 - IBM Cognos" xfId="52" xr:uid="{D81D2A9F-2F4F-4BBB-BA69-490E62FD3C82}"/>
    <cellStyle name="DQR Row Default - IBM Cognos" xfId="53" xr:uid="{0C704675-2CA1-4AB5-AF35-948182DC1D7E}"/>
    <cellStyle name="DQR Row Leaf - IBM Cognos" xfId="54" xr:uid="{01222773-0077-4F52-949A-AF99DE3A9B58}"/>
    <cellStyle name="Edit - IBM Cognos" xfId="55" xr:uid="{66E46CE0-B229-4690-A2E6-75A62EA0544A}"/>
    <cellStyle name="Formula - IBM Cognos" xfId="56" xr:uid="{8845A77D-E858-434B-8724-4CB8590DB6AD}"/>
    <cellStyle name="Group Name - IBM Cognos" xfId="57" xr:uid="{5A43E269-8B24-4B20-9882-B83501ABDB4D}"/>
    <cellStyle name="Hold Values - IBM Cognos" xfId="58" xr:uid="{491696BC-3A78-43F7-A502-E6B165ACD01E}"/>
    <cellStyle name="List Name - IBM Cognos" xfId="59" xr:uid="{212F00C9-796A-45DA-8D62-38E799DFB25D}"/>
    <cellStyle name="Locked - IBM Cognos" xfId="60" xr:uid="{A855D940-F267-4928-8548-EFB9BF848D18}"/>
    <cellStyle name="Measure - IBM Cognos" xfId="61" xr:uid="{EB735063-18FA-485E-9DD8-B58FE9E6BD80}"/>
    <cellStyle name="Measure Header - IBM Cognos" xfId="62" xr:uid="{51D24CE1-F377-4720-A485-969CD0E5B15C}"/>
    <cellStyle name="Measure Name - IBM Cognos" xfId="63" xr:uid="{F2BDEA27-9FCE-4FFB-A6BB-EE9C99E464C7}"/>
    <cellStyle name="Measure Summary - IBM Cognos" xfId="64" xr:uid="{0027C930-5876-41AB-81B3-A4843C5A9FC2}"/>
    <cellStyle name="Measure Summary TM1 - IBM Cognos" xfId="65" xr:uid="{E89ECD83-67FA-4A55-B062-41282A34F267}"/>
    <cellStyle name="Measure Template - IBM Cognos" xfId="66" xr:uid="{862608F4-FDA0-42D3-95E2-77287DBFCD0C}"/>
    <cellStyle name="More - IBM Cognos" xfId="67" xr:uid="{06127155-61A1-4E65-9783-74709FA9581C}"/>
    <cellStyle name="Normal" xfId="0" builtinId="0" customBuiltin="1"/>
    <cellStyle name="Pending Change - IBM Cognos" xfId="68" xr:uid="{ADB9794F-DCCF-4B57-91AB-DF87788BF2AE}"/>
    <cellStyle name="Row Name - IBM Cognos" xfId="69" xr:uid="{FAC4AC6B-A20F-4142-8A7A-DF154FA25473}"/>
    <cellStyle name="Row Template - IBM Cognos" xfId="70" xr:uid="{5EFA0C04-63D3-4811-8758-2E1AD12159A1}"/>
    <cellStyle name="Summary Column Name - IBM Cognos" xfId="71" xr:uid="{0B3B8BF4-E275-41CE-83DF-86EA6573D89F}"/>
    <cellStyle name="Summary Column Name TM1 - IBM Cognos" xfId="72" xr:uid="{3E3F9451-E6F0-4576-9B01-FEA6D3D87E38}"/>
    <cellStyle name="Summary Row Name - IBM Cognos" xfId="73" xr:uid="{FD44B661-9ECF-40EF-BC13-3ED2423C0CC3}"/>
    <cellStyle name="Summary Row Name TM1 - IBM Cognos" xfId="74" xr:uid="{C99BC60A-1051-4CF3-A5F1-23CB5EDF56C2}"/>
    <cellStyle name="Unsaved Change - IBM Cognos" xfId="75" xr:uid="{1E7A470D-B559-4B13-86B1-B2446B30AEB3}"/>
  </cellStyles>
  <dxfs count="3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372D-6AE5-47AA-8B93-E90E096B920E}">
  <dimension ref="B1:B10"/>
  <sheetViews>
    <sheetView workbookViewId="0"/>
  </sheetViews>
  <sheetFormatPr defaultRowHeight="14.4" x14ac:dyDescent="0.3"/>
  <sheetData>
    <row r="1" spans="2:2" x14ac:dyDescent="0.3">
      <c r="B1" s="1" t="s">
        <v>66</v>
      </c>
    </row>
    <row r="2" spans="2:2" x14ac:dyDescent="0.3">
      <c r="B2" s="1" t="s">
        <v>55</v>
      </c>
    </row>
    <row r="3" spans="2:2" x14ac:dyDescent="0.3">
      <c r="B3" s="1" t="s">
        <v>56</v>
      </c>
    </row>
    <row r="4" spans="2:2" x14ac:dyDescent="0.3">
      <c r="B4" s="1" t="s">
        <v>57</v>
      </c>
    </row>
    <row r="5" spans="2:2" x14ac:dyDescent="0.3">
      <c r="B5" s="1" t="s">
        <v>58</v>
      </c>
    </row>
    <row r="6" spans="2:2" x14ac:dyDescent="0.3">
      <c r="B6" s="1" t="s">
        <v>59</v>
      </c>
    </row>
    <row r="7" spans="2:2" x14ac:dyDescent="0.3">
      <c r="B7" s="1" t="s">
        <v>60</v>
      </c>
    </row>
    <row r="8" spans="2:2" x14ac:dyDescent="0.3">
      <c r="B8" s="1" t="s">
        <v>61</v>
      </c>
    </row>
    <row r="9" spans="2:2" x14ac:dyDescent="0.3">
      <c r="B9" s="1" t="s">
        <v>62</v>
      </c>
    </row>
    <row r="10" spans="2:2" x14ac:dyDescent="0.3">
      <c r="B10" s="1" t="s">
        <v>63</v>
      </c>
    </row>
  </sheetData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3586-A152-46F7-8DD7-C474D6DCFA11}">
  <dimension ref="A1:V53"/>
  <sheetViews>
    <sheetView showGridLines="0" tabSelected="1" topLeftCell="E14" workbookViewId="0">
      <selection activeCell="H34" sqref="H34"/>
    </sheetView>
  </sheetViews>
  <sheetFormatPr defaultRowHeight="14.4" outlineLevelRow="1" outlineLevelCol="1" x14ac:dyDescent="0.3"/>
  <cols>
    <col min="1" max="1" width="8.88671875" style="3" hidden="1" customWidth="1" outlineLevel="1"/>
    <col min="2" max="2" width="19.88671875" style="3" hidden="1" customWidth="1" outlineLevel="1"/>
    <col min="3" max="3" width="8.88671875" style="3" hidden="1" customWidth="1" outlineLevel="1"/>
    <col min="4" max="4" width="25.77734375" style="3" hidden="1" customWidth="1" outlineLevel="1"/>
    <col min="5" max="5" width="22.5546875" style="3" customWidth="1" collapsed="1"/>
    <col min="6" max="6" width="18.21875" style="3" customWidth="1"/>
    <col min="7" max="7" width="38.6640625" style="3" customWidth="1"/>
    <col min="8" max="8" width="19.33203125" style="3" customWidth="1"/>
    <col min="9" max="21" width="12.77734375" style="3" customWidth="1"/>
    <col min="22" max="16384" width="8.88671875" style="3"/>
  </cols>
  <sheetData>
    <row r="1" spans="4:22" ht="15" hidden="1" outlineLevel="1" thickBot="1" x14ac:dyDescent="0.35">
      <c r="D1" s="2" t="s">
        <v>0</v>
      </c>
    </row>
    <row r="2" spans="4:22" s="4" customFormat="1" ht="15" hidden="1" outlineLevel="1" thickBot="1" x14ac:dyDescent="0.35">
      <c r="D2" s="4">
        <v>0</v>
      </c>
      <c r="E2" s="5" t="s">
        <v>4</v>
      </c>
      <c r="F2" s="5" t="s">
        <v>4</v>
      </c>
      <c r="G2" s="5" t="s">
        <v>4</v>
      </c>
      <c r="H2" s="6" t="s">
        <v>4</v>
      </c>
      <c r="I2" s="7">
        <v>123.456789</v>
      </c>
      <c r="J2" s="7">
        <v>123.456789</v>
      </c>
      <c r="K2" s="7">
        <v>123.456789</v>
      </c>
      <c r="L2" s="7">
        <v>123.456789</v>
      </c>
      <c r="M2" s="7">
        <v>123.456789</v>
      </c>
      <c r="N2" s="7">
        <v>123.456789</v>
      </c>
      <c r="O2" s="7">
        <v>123.456789</v>
      </c>
      <c r="P2" s="7">
        <v>123.456789</v>
      </c>
      <c r="Q2" s="7">
        <v>123.456789</v>
      </c>
      <c r="R2" s="7">
        <v>123.456789</v>
      </c>
      <c r="S2" s="7">
        <v>123.456789</v>
      </c>
      <c r="T2" s="7">
        <v>123.456789</v>
      </c>
      <c r="U2" s="7">
        <v>123.456789</v>
      </c>
    </row>
    <row r="3" spans="4:22" s="8" customFormat="1" ht="15" hidden="1" outlineLevel="1" thickBot="1" x14ac:dyDescent="0.35">
      <c r="D3" s="8">
        <v>1</v>
      </c>
      <c r="E3" s="9" t="s">
        <v>4</v>
      </c>
      <c r="F3" s="9" t="s">
        <v>4</v>
      </c>
      <c r="G3" s="9" t="s">
        <v>4</v>
      </c>
      <c r="H3" s="10" t="s">
        <v>4</v>
      </c>
      <c r="I3" s="11">
        <v>123.456789</v>
      </c>
      <c r="J3" s="11">
        <v>123.456789</v>
      </c>
      <c r="K3" s="11">
        <v>123.456789</v>
      </c>
      <c r="L3" s="11">
        <v>123.456789</v>
      </c>
      <c r="M3" s="11">
        <v>123.456789</v>
      </c>
      <c r="N3" s="11">
        <v>123.456789</v>
      </c>
      <c r="O3" s="11">
        <v>123.456789</v>
      </c>
      <c r="P3" s="11">
        <v>123.456789</v>
      </c>
      <c r="Q3" s="11">
        <v>123.456789</v>
      </c>
      <c r="R3" s="11">
        <v>123.456789</v>
      </c>
      <c r="S3" s="11">
        <v>123.456789</v>
      </c>
      <c r="T3" s="11">
        <v>123.456789</v>
      </c>
      <c r="U3" s="11">
        <v>123.456789</v>
      </c>
    </row>
    <row r="4" spans="4:22" s="12" customFormat="1" ht="15" hidden="1" outlineLevel="1" thickBot="1" x14ac:dyDescent="0.35">
      <c r="D4" s="12">
        <v>2</v>
      </c>
      <c r="E4" s="13" t="s">
        <v>4</v>
      </c>
      <c r="F4" s="13" t="s">
        <v>4</v>
      </c>
      <c r="G4" s="13" t="s">
        <v>4</v>
      </c>
      <c r="H4" s="14" t="s">
        <v>4</v>
      </c>
      <c r="I4" s="15">
        <v>123.456789</v>
      </c>
      <c r="J4" s="15">
        <v>123.456789</v>
      </c>
      <c r="K4" s="15">
        <v>123.456789</v>
      </c>
      <c r="L4" s="15">
        <v>123.456789</v>
      </c>
      <c r="M4" s="15">
        <v>123.456789</v>
      </c>
      <c r="N4" s="15">
        <v>123.456789</v>
      </c>
      <c r="O4" s="15">
        <v>123.456789</v>
      </c>
      <c r="P4" s="15">
        <v>123.456789</v>
      </c>
      <c r="Q4" s="15">
        <v>123.456789</v>
      </c>
      <c r="R4" s="15">
        <v>123.456789</v>
      </c>
      <c r="S4" s="15">
        <v>123.456789</v>
      </c>
      <c r="T4" s="15">
        <v>123.456789</v>
      </c>
      <c r="U4" s="15">
        <v>123.456789</v>
      </c>
    </row>
    <row r="5" spans="4:22" s="16" customFormat="1" ht="15" hidden="1" outlineLevel="1" thickBot="1" x14ac:dyDescent="0.35">
      <c r="D5" s="16">
        <v>3</v>
      </c>
      <c r="E5" s="17" t="s">
        <v>4</v>
      </c>
      <c r="F5" s="17" t="s">
        <v>4</v>
      </c>
      <c r="G5" s="17" t="s">
        <v>4</v>
      </c>
      <c r="H5" s="18" t="s">
        <v>4</v>
      </c>
      <c r="I5" s="19">
        <v>123.456789</v>
      </c>
      <c r="J5" s="19">
        <v>123.456789</v>
      </c>
      <c r="K5" s="19">
        <v>123.456789</v>
      </c>
      <c r="L5" s="19">
        <v>123.456789</v>
      </c>
      <c r="M5" s="19">
        <v>123.456789</v>
      </c>
      <c r="N5" s="19">
        <v>123.456789</v>
      </c>
      <c r="O5" s="19">
        <v>123.456789</v>
      </c>
      <c r="P5" s="19">
        <v>123.456789</v>
      </c>
      <c r="Q5" s="19">
        <v>123.456789</v>
      </c>
      <c r="R5" s="19">
        <v>123.456789</v>
      </c>
      <c r="S5" s="19">
        <v>123.456789</v>
      </c>
      <c r="T5" s="19">
        <v>123.456789</v>
      </c>
      <c r="U5" s="19">
        <v>123.456789</v>
      </c>
    </row>
    <row r="6" spans="4:22" s="20" customFormat="1" ht="15" hidden="1" outlineLevel="1" thickBot="1" x14ac:dyDescent="0.35">
      <c r="D6" s="20">
        <v>4</v>
      </c>
      <c r="E6" s="21" t="s">
        <v>4</v>
      </c>
      <c r="F6" s="21" t="s">
        <v>4</v>
      </c>
      <c r="G6" s="21" t="s">
        <v>4</v>
      </c>
      <c r="H6" s="22" t="s">
        <v>4</v>
      </c>
      <c r="I6" s="23">
        <v>123.456789</v>
      </c>
      <c r="J6" s="23">
        <v>123.456789</v>
      </c>
      <c r="K6" s="23">
        <v>123.456789</v>
      </c>
      <c r="L6" s="23">
        <v>123.456789</v>
      </c>
      <c r="M6" s="23">
        <v>123.456789</v>
      </c>
      <c r="N6" s="23">
        <v>123.456789</v>
      </c>
      <c r="O6" s="23">
        <v>123.456789</v>
      </c>
      <c r="P6" s="23">
        <v>123.456789</v>
      </c>
      <c r="Q6" s="23">
        <v>123.456789</v>
      </c>
      <c r="R6" s="23">
        <v>123.456789</v>
      </c>
      <c r="S6" s="23">
        <v>123.456789</v>
      </c>
      <c r="T6" s="23">
        <v>123.456789</v>
      </c>
      <c r="U6" s="23">
        <v>123.456789</v>
      </c>
    </row>
    <row r="7" spans="4:22" s="24" customFormat="1" ht="15" hidden="1" outlineLevel="1" thickBot="1" x14ac:dyDescent="0.35">
      <c r="D7" s="24">
        <v>5</v>
      </c>
      <c r="E7" s="25" t="s">
        <v>4</v>
      </c>
      <c r="F7" s="25" t="s">
        <v>4</v>
      </c>
      <c r="G7" s="25" t="s">
        <v>4</v>
      </c>
      <c r="H7" s="26" t="s">
        <v>4</v>
      </c>
      <c r="I7" s="27">
        <v>123.456789</v>
      </c>
      <c r="J7" s="27">
        <v>123.456789</v>
      </c>
      <c r="K7" s="27">
        <v>123.456789</v>
      </c>
      <c r="L7" s="27">
        <v>123.456789</v>
      </c>
      <c r="M7" s="27">
        <v>123.456789</v>
      </c>
      <c r="N7" s="27">
        <v>123.456789</v>
      </c>
      <c r="O7" s="27">
        <v>123.456789</v>
      </c>
      <c r="P7" s="27">
        <v>123.456789</v>
      </c>
      <c r="Q7" s="27">
        <v>123.456789</v>
      </c>
      <c r="R7" s="27">
        <v>123.456789</v>
      </c>
      <c r="S7" s="27">
        <v>123.456789</v>
      </c>
      <c r="T7" s="27">
        <v>123.456789</v>
      </c>
      <c r="U7" s="27">
        <v>123.456789</v>
      </c>
    </row>
    <row r="8" spans="4:22" s="32" customFormat="1" ht="15" hidden="1" outlineLevel="1" thickBot="1" x14ac:dyDescent="0.35">
      <c r="D8" s="28" t="s">
        <v>1</v>
      </c>
      <c r="E8" s="29" t="s">
        <v>4</v>
      </c>
      <c r="F8" s="29" t="s">
        <v>4</v>
      </c>
      <c r="G8" s="29" t="s">
        <v>4</v>
      </c>
      <c r="H8" s="30" t="s">
        <v>4</v>
      </c>
      <c r="I8" s="31">
        <v>123.456789</v>
      </c>
      <c r="J8" s="31">
        <v>123.456789</v>
      </c>
      <c r="K8" s="31">
        <v>123.456789</v>
      </c>
      <c r="L8" s="31">
        <v>123.456789</v>
      </c>
      <c r="M8" s="31">
        <v>123.456789</v>
      </c>
      <c r="N8" s="31">
        <v>123.456789</v>
      </c>
      <c r="O8" s="31">
        <v>123.456789</v>
      </c>
      <c r="P8" s="31">
        <v>123.456789</v>
      </c>
      <c r="Q8" s="31">
        <v>123.456789</v>
      </c>
      <c r="R8" s="31">
        <v>123.456789</v>
      </c>
      <c r="S8" s="31">
        <v>123.456789</v>
      </c>
      <c r="T8" s="31">
        <v>123.456789</v>
      </c>
      <c r="U8" s="31">
        <v>123.456789</v>
      </c>
    </row>
    <row r="9" spans="4:22" s="37" customFormat="1" ht="15" hidden="1" outlineLevel="1" thickBot="1" x14ac:dyDescent="0.35">
      <c r="D9" s="33" t="s">
        <v>2</v>
      </c>
      <c r="E9" s="34" t="s">
        <v>4</v>
      </c>
      <c r="F9" s="34" t="s">
        <v>4</v>
      </c>
      <c r="G9" s="34" t="s">
        <v>4</v>
      </c>
      <c r="H9" s="35" t="s">
        <v>4</v>
      </c>
      <c r="I9" s="36">
        <v>123.456789</v>
      </c>
      <c r="J9" s="36">
        <v>123.456789</v>
      </c>
      <c r="K9" s="36">
        <v>123.456789</v>
      </c>
      <c r="L9" s="36">
        <v>123.456789</v>
      </c>
      <c r="M9" s="36">
        <v>123.456789</v>
      </c>
      <c r="N9" s="36">
        <v>123.456789</v>
      </c>
      <c r="O9" s="36">
        <v>123.456789</v>
      </c>
      <c r="P9" s="36">
        <v>123.456789</v>
      </c>
      <c r="Q9" s="36">
        <v>123.456789</v>
      </c>
      <c r="R9" s="36">
        <v>123.456789</v>
      </c>
      <c r="S9" s="36">
        <v>123.456789</v>
      </c>
      <c r="T9" s="36">
        <v>123.456789</v>
      </c>
      <c r="U9" s="36">
        <v>123.456789</v>
      </c>
    </row>
    <row r="10" spans="4:22" hidden="1" outlineLevel="1" x14ac:dyDescent="0.3">
      <c r="D10" s="2" t="s">
        <v>3</v>
      </c>
    </row>
    <row r="11" spans="4:22" hidden="1" outlineLevel="1" x14ac:dyDescent="0.3"/>
    <row r="12" spans="4:22" hidden="1" outlineLevel="1" x14ac:dyDescent="0.3">
      <c r="E12" s="3" t="str">
        <f>_xll.TM1RPTVIEW(ServerName&amp;":nReporting_Financial:15695952",1,_xll.TM1RPTTITLE(ServerName&amp;":Version",$F$16),_xll.TM1RPTTITLE(ServerName&amp;":Currency",$F$17),_xll.TM1RPTTITLE(ServerName&amp;":Company",$F$18),_xll.TM1RPTTITLE(ServerName&amp;":Measure",$F$19),TM1RPTFMTRNG15695952,TM1RPTFMTIDCOL15695952)</f>
        <v>Bay-Ltd:nReporting_Financial:15695952</v>
      </c>
    </row>
    <row r="13" spans="4:22" ht="15" hidden="1" outlineLevel="1" thickBot="1" x14ac:dyDescent="0.35"/>
    <row r="14" spans="4:22" ht="30.6" collapsed="1" thickBot="1" x14ac:dyDescent="0.35">
      <c r="E14" s="48" t="s">
        <v>54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50"/>
    </row>
    <row r="15" spans="4:22" hidden="1" outlineLevel="1" x14ac:dyDescent="0.3"/>
    <row r="16" spans="4:22" hidden="1" outlineLevel="1" x14ac:dyDescent="0.3">
      <c r="E16" s="38" t="s">
        <v>5</v>
      </c>
      <c r="F16" s="39" t="str">
        <f>"Actual"</f>
        <v>Actual</v>
      </c>
      <c r="G16" s="40"/>
    </row>
    <row r="17" spans="1:21" hidden="1" outlineLevel="1" x14ac:dyDescent="0.3">
      <c r="A17" s="3" t="str">
        <f>_xll.TM1PRIMARYDBNAME()</f>
        <v>Bay-Ltd</v>
      </c>
      <c r="E17" s="38" t="s">
        <v>6</v>
      </c>
      <c r="F17" s="39" t="str">
        <f>"Local Currency"</f>
        <v>Local Currency</v>
      </c>
      <c r="G17" s="40"/>
    </row>
    <row r="18" spans="1:21" hidden="1" outlineLevel="1" x14ac:dyDescent="0.3">
      <c r="A18" s="3" t="s">
        <v>32</v>
      </c>
      <c r="B18" s="3" t="str">
        <f>_xlfn.CONCAT(ServerName,":",$A18)</f>
        <v>Bay-Ltd:}ElementAttributes_Account</v>
      </c>
      <c r="E18" s="38" t="s">
        <v>7</v>
      </c>
      <c r="F18" s="39" t="str">
        <f>"4"</f>
        <v>4</v>
      </c>
      <c r="G18" s="40"/>
    </row>
    <row r="19" spans="1:21" hidden="1" outlineLevel="1" x14ac:dyDescent="0.3">
      <c r="A19" s="3" t="s">
        <v>5</v>
      </c>
      <c r="B19" s="3" t="str">
        <f>_xlfn.CONCAT(ServerName,":",$A19)</f>
        <v>Bay-Ltd:Version</v>
      </c>
      <c r="E19" s="38" t="s">
        <v>8</v>
      </c>
      <c r="F19" s="39" t="str">
        <f>"Amount"</f>
        <v>Amount</v>
      </c>
      <c r="G19" s="40"/>
    </row>
    <row r="20" spans="1:21" collapsed="1" x14ac:dyDescent="0.3">
      <c r="A20" s="3" t="s">
        <v>6</v>
      </c>
      <c r="B20" s="3" t="str">
        <f>_xlfn.CONCAT(ServerName,":",$A20)</f>
        <v>Bay-Ltd:Currency</v>
      </c>
      <c r="E20" s="45" t="s">
        <v>30</v>
      </c>
      <c r="F20" s="51" t="str">
        <f>_xll.SUBNM($B$26,"Default","All_Locations","Caption")</f>
        <v>All_Locations</v>
      </c>
    </row>
    <row r="21" spans="1:21" x14ac:dyDescent="0.3">
      <c r="A21" s="3" t="s">
        <v>7</v>
      </c>
      <c r="B21" s="3" t="str">
        <f>_xlfn.CONCAT(ServerName,":",$A21)</f>
        <v>Bay-Ltd:Company</v>
      </c>
      <c r="E21" s="46" t="s">
        <v>31</v>
      </c>
      <c r="F21" s="47" t="str">
        <f>_xll.SUBNM($B$27,"LeafYear","2026")</f>
        <v>2026</v>
      </c>
    </row>
    <row r="22" spans="1:21" ht="15" hidden="1" outlineLevel="1" thickBot="1" x14ac:dyDescent="0.35">
      <c r="A22" s="3" t="s">
        <v>8</v>
      </c>
      <c r="B22" s="3" t="str">
        <f>_xlfn.CONCAT(ServerName,":",$A22)</f>
        <v>Bay-Ltd:Measure</v>
      </c>
      <c r="I22" s="41" t="str">
        <f>I$23&amp;"-"&amp;$F$21</f>
        <v>01-2026</v>
      </c>
      <c r="J22" s="41" t="str">
        <f t="shared" ref="J22:T22" si="0">J$23&amp;"-"&amp;$F$21</f>
        <v>02-2026</v>
      </c>
      <c r="K22" s="41" t="str">
        <f t="shared" si="0"/>
        <v>03-2026</v>
      </c>
      <c r="L22" s="41" t="str">
        <f t="shared" si="0"/>
        <v>04-2026</v>
      </c>
      <c r="M22" s="41" t="str">
        <f t="shared" si="0"/>
        <v>05-2026</v>
      </c>
      <c r="N22" s="41" t="str">
        <f t="shared" si="0"/>
        <v>06-2026</v>
      </c>
      <c r="O22" s="41" t="str">
        <f t="shared" si="0"/>
        <v>07-2026</v>
      </c>
      <c r="P22" s="41" t="str">
        <f t="shared" si="0"/>
        <v>08-2026</v>
      </c>
      <c r="Q22" s="41" t="str">
        <f t="shared" si="0"/>
        <v>09-2026</v>
      </c>
      <c r="R22" s="41" t="str">
        <f t="shared" si="0"/>
        <v>10-2026</v>
      </c>
      <c r="S22" s="41" t="str">
        <f t="shared" si="0"/>
        <v>11-2026</v>
      </c>
      <c r="T22" s="41" t="str">
        <f t="shared" si="0"/>
        <v>12-2026</v>
      </c>
      <c r="U22" s="41" t="s">
        <v>9</v>
      </c>
    </row>
    <row r="23" spans="1:21" ht="15" hidden="1" outlineLevel="1" thickBot="1" x14ac:dyDescent="0.35">
      <c r="A23" s="3" t="s">
        <v>33</v>
      </c>
      <c r="B23" s="3" t="str">
        <f>_xlfn.CONCAT(ServerName,":",$A23)</f>
        <v>Bay-Ltd:Account</v>
      </c>
      <c r="I23" s="41" t="s">
        <v>38</v>
      </c>
      <c r="J23" s="41" t="s">
        <v>39</v>
      </c>
      <c r="K23" s="41" t="s">
        <v>40</v>
      </c>
      <c r="L23" s="41" t="s">
        <v>41</v>
      </c>
      <c r="M23" s="41" t="s">
        <v>42</v>
      </c>
      <c r="N23" s="41" t="s">
        <v>43</v>
      </c>
      <c r="O23" s="41" t="s">
        <v>44</v>
      </c>
      <c r="P23" s="41" t="s">
        <v>45</v>
      </c>
      <c r="Q23" s="41" t="s">
        <v>46</v>
      </c>
      <c r="R23" s="41" t="s">
        <v>47</v>
      </c>
      <c r="S23" s="41" t="s">
        <v>48</v>
      </c>
      <c r="T23" s="41" t="s">
        <v>49</v>
      </c>
      <c r="U23" s="41"/>
    </row>
    <row r="24" spans="1:21" ht="15" hidden="1" outlineLevel="1" thickBot="1" x14ac:dyDescent="0.35">
      <c r="A24" s="3" t="s">
        <v>34</v>
      </c>
      <c r="B24" s="3" t="str">
        <f>_xlfn.CONCAT(ServerName,":",$A24)</f>
        <v>Bay-Ltd:Division</v>
      </c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</row>
    <row r="25" spans="1:21" ht="15" hidden="1" outlineLevel="1" thickBot="1" x14ac:dyDescent="0.35">
      <c r="A25" s="3" t="s">
        <v>64</v>
      </c>
      <c r="B25" s="3" t="str">
        <f>_xlfn.CONCAT(ServerName,":",$A25)</f>
        <v>Bay-Ltd:Division_Department</v>
      </c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</row>
    <row r="26" spans="1:21" ht="15" hidden="1" outlineLevel="1" thickBot="1" x14ac:dyDescent="0.35">
      <c r="A26" s="3" t="s">
        <v>65</v>
      </c>
      <c r="B26" s="3" t="str">
        <f>_xlfn.CONCAT(ServerName,":",$A26)</f>
        <v>Bay-Ltd:NLocation</v>
      </c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</row>
    <row r="27" spans="1:21" ht="15" hidden="1" outlineLevel="1" thickBot="1" x14ac:dyDescent="0.35">
      <c r="A27" s="3" t="s">
        <v>35</v>
      </c>
      <c r="B27" s="3" t="str">
        <f>_xlfn.CONCAT(ServerName,":",$A27)</f>
        <v>Bay-Ltd:Fiscal_Year</v>
      </c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</row>
    <row r="28" spans="1:21" ht="15" hidden="1" outlineLevel="1" thickBot="1" x14ac:dyDescent="0.35">
      <c r="A28" s="3" t="s">
        <v>36</v>
      </c>
      <c r="B28" s="3" t="str">
        <f>_xlfn.CONCAT(ServerName,":",$A28)</f>
        <v>Bay-Ltd:}ElementAttributes_Division</v>
      </c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</row>
    <row r="29" spans="1:21" ht="15" hidden="1" outlineLevel="1" thickBot="1" x14ac:dyDescent="0.35">
      <c r="A29" s="3" t="s">
        <v>37</v>
      </c>
      <c r="B29" s="3" t="str">
        <f>_xlfn.CONCAT(ServerName,":",$A29)</f>
        <v>Bay-Ltd:}ElementAttributes_Department</v>
      </c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</row>
    <row r="30" spans="1:21" ht="15" hidden="1" outlineLevel="1" thickBot="1" x14ac:dyDescent="0.35"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</row>
    <row r="31" spans="1:21" hidden="1" outlineLevel="1" x14ac:dyDescent="0.3"/>
    <row r="32" spans="1:21" collapsed="1" x14ac:dyDescent="0.3"/>
    <row r="33" spans="4:21" ht="15" thickBot="1" x14ac:dyDescent="0.35">
      <c r="E33" s="44" t="s">
        <v>53</v>
      </c>
      <c r="F33" s="44" t="s">
        <v>50</v>
      </c>
      <c r="G33" s="44" t="s">
        <v>51</v>
      </c>
      <c r="H33" s="44" t="s">
        <v>52</v>
      </c>
      <c r="I33" s="44" t="str">
        <f>TEXT(I$23*28,"MMMM")</f>
        <v>January</v>
      </c>
      <c r="J33" s="44" t="str">
        <f t="shared" ref="J33:T33" si="1">TEXT(J$23*28,"MMMM")</f>
        <v>February</v>
      </c>
      <c r="K33" s="44" t="str">
        <f t="shared" si="1"/>
        <v>March</v>
      </c>
      <c r="L33" s="44" t="str">
        <f t="shared" si="1"/>
        <v>April</v>
      </c>
      <c r="M33" s="44" t="str">
        <f t="shared" si="1"/>
        <v>May</v>
      </c>
      <c r="N33" s="44" t="str">
        <f t="shared" si="1"/>
        <v>June</v>
      </c>
      <c r="O33" s="44" t="str">
        <f t="shared" si="1"/>
        <v>July</v>
      </c>
      <c r="P33" s="44" t="str">
        <f t="shared" si="1"/>
        <v>August</v>
      </c>
      <c r="Q33" s="44" t="str">
        <f t="shared" si="1"/>
        <v>September</v>
      </c>
      <c r="R33" s="44" t="str">
        <f t="shared" si="1"/>
        <v>October</v>
      </c>
      <c r="S33" s="44" t="str">
        <f t="shared" si="1"/>
        <v>November</v>
      </c>
      <c r="T33" s="44" t="str">
        <f t="shared" si="1"/>
        <v>December</v>
      </c>
      <c r="U33" s="44" t="str">
        <f>"YTD"&amp;"-"&amp;$F$21</f>
        <v>YTD-2026</v>
      </c>
    </row>
    <row r="34" spans="4:21" s="37" customFormat="1" ht="15" outlineLevel="1" thickBot="1" x14ac:dyDescent="0.35">
      <c r="D34" s="33" t="str">
        <f>IF(_xll.TM1RPTELISCONSOLIDATED($H$34,$H34),IF(_xll.TM1RPTELLEV($H$34,$H34)&lt;=5,_xll.TM1RPTELLEV($H$34,$H34),"Default"),"Leaf")</f>
        <v>Leaf</v>
      </c>
      <c r="E34" s="42" t="str">
        <f>_xll.TM1RPTROW($E$12,"Bay-Ltd:Division_Department","Accounting",,"Caption")</f>
        <v>ACCOUNTING</v>
      </c>
      <c r="F34" s="34" t="str">
        <f>_xll.DBR($B$18,$H34,"Account_Type")</f>
        <v>NON LABOR</v>
      </c>
      <c r="G34" s="34" t="str">
        <f>_xll.DBR($B$18,$H34,"Description")</f>
        <v>Travel &amp; Lodging</v>
      </c>
      <c r="H34" s="43" t="str">
        <f>_xll.TM1RPTROW($E$12,"Bay-Ltd:Account","Non Labour",,"MEMBER_NAME")</f>
        <v>610077181000000</v>
      </c>
      <c r="I34" s="36">
        <f>_xll.DBRW($E$12,$F$16,$F$17,$F$18,$E34,$F$20,I$22,$H34,$F$19)</f>
        <v>10055.64</v>
      </c>
      <c r="J34" s="36">
        <f>_xll.DBRW($E$12,$F$16,$F$17,$F$18,$E34,$F$20,J$22,$H34,$F$19)</f>
        <v>12167.15</v>
      </c>
      <c r="K34" s="36">
        <f>_xll.DBRW($E$12,$F$16,$F$17,$F$18,$E34,$F$20,K$22,$H34,$F$19)</f>
        <v>9042.9</v>
      </c>
      <c r="L34" s="36">
        <f>_xll.DBRW($E$12,$F$16,$F$17,$F$18,$E34,$F$20,L$22,$H34,$F$19)</f>
        <v>5949.58</v>
      </c>
      <c r="M34" s="36">
        <f>_xll.DBRW($E$12,$F$16,$F$17,$F$18,$E34,$F$20,M$22,$H34,$F$19)</f>
        <v>6113.77</v>
      </c>
      <c r="N34" s="36">
        <f>_xll.DBRW($E$12,$F$16,$F$17,$F$18,$E34,$F$20,N$22,$H34,$F$19)</f>
        <v>6507.1</v>
      </c>
      <c r="O34" s="36">
        <f>_xll.DBRW($E$12,$F$16,$F$17,$F$18,$E34,$F$20,O$22,$H34,$F$19)</f>
        <v>0</v>
      </c>
      <c r="P34" s="36">
        <f>_xll.DBRW($E$12,$F$16,$F$17,$F$18,$E34,$F$20,P$22,$H34,$F$19)</f>
        <v>0</v>
      </c>
      <c r="Q34" s="36">
        <f>_xll.DBRW($E$12,$F$16,$F$17,$F$18,$E34,$F$20,Q$22,$H34,$F$19)</f>
        <v>0</v>
      </c>
      <c r="R34" s="36">
        <f>_xll.DBRW($E$12,$F$16,$F$17,$F$18,$E34,$F$20,R$22,$H34,$F$19)</f>
        <v>0</v>
      </c>
      <c r="S34" s="36">
        <f>_xll.DBRW($E$12,$F$16,$F$17,$F$18,$E34,$F$20,S$22,$H34,$F$19)</f>
        <v>0</v>
      </c>
      <c r="T34" s="36">
        <f>_xll.DBRW($E$12,$F$16,$F$17,$F$18,$E34,$F$20,T$22,$H34,$F$19)</f>
        <v>0</v>
      </c>
      <c r="U34" s="36">
        <f>_xll.DBRW($E$12,$F$16,$F$17,$F$18,$E34,$F$20,U$22,$H34,$F$19)</f>
        <v>49836.140000000007</v>
      </c>
    </row>
    <row r="35" spans="4:21" s="37" customFormat="1" ht="15" outlineLevel="1" thickBot="1" x14ac:dyDescent="0.35">
      <c r="D35" s="33" t="str">
        <f>IF(_xll.TM1RPTELISCONSOLIDATED($H$34,$H35),IF(_xll.TM1RPTELLEV($H$34,$H35)&lt;=5,_xll.TM1RPTELLEV($H$34,$H35),"Default"),"Leaf")</f>
        <v>Leaf</v>
      </c>
      <c r="E35" s="42" t="s">
        <v>10</v>
      </c>
      <c r="F35" s="34" t="str">
        <f>_xll.DBR($B$18,$H35,"Account_Type")</f>
        <v>NON LABOR</v>
      </c>
      <c r="G35" s="34" t="str">
        <f>_xll.DBR($B$18,$H35,"Description")</f>
        <v>Business Meals &amp; Entertainment</v>
      </c>
      <c r="H35" s="43" t="s">
        <v>11</v>
      </c>
      <c r="I35" s="36">
        <f>_xll.DBRW($E$12,$F$16,$F$17,$F$18,$E35,$F$20,I$22,$H35,$F$19)</f>
        <v>0</v>
      </c>
      <c r="J35" s="36">
        <f>_xll.DBRW($E$12,$F$16,$F$17,$F$18,$E35,$F$20,J$22,$H35,$F$19)</f>
        <v>72.62</v>
      </c>
      <c r="K35" s="36">
        <f>_xll.DBRW($E$12,$F$16,$F$17,$F$18,$E35,$F$20,K$22,$H35,$F$19)</f>
        <v>0</v>
      </c>
      <c r="L35" s="36">
        <f>_xll.DBRW($E$12,$F$16,$F$17,$F$18,$E35,$F$20,L$22,$H35,$F$19)</f>
        <v>134.1</v>
      </c>
      <c r="M35" s="36">
        <f>_xll.DBRW($E$12,$F$16,$F$17,$F$18,$E35,$F$20,M$22,$H35,$F$19)</f>
        <v>0</v>
      </c>
      <c r="N35" s="36">
        <f>_xll.DBRW($E$12,$F$16,$F$17,$F$18,$E35,$F$20,N$22,$H35,$F$19)</f>
        <v>0</v>
      </c>
      <c r="O35" s="36">
        <f>_xll.DBRW($E$12,$F$16,$F$17,$F$18,$E35,$F$20,O$22,$H35,$F$19)</f>
        <v>0</v>
      </c>
      <c r="P35" s="36">
        <f>_xll.DBRW($E$12,$F$16,$F$17,$F$18,$E35,$F$20,P$22,$H35,$F$19)</f>
        <v>0</v>
      </c>
      <c r="Q35" s="36">
        <f>_xll.DBRW($E$12,$F$16,$F$17,$F$18,$E35,$F$20,Q$22,$H35,$F$19)</f>
        <v>0</v>
      </c>
      <c r="R35" s="36">
        <f>_xll.DBRW($E$12,$F$16,$F$17,$F$18,$E35,$F$20,R$22,$H35,$F$19)</f>
        <v>0</v>
      </c>
      <c r="S35" s="36">
        <f>_xll.DBRW($E$12,$F$16,$F$17,$F$18,$E35,$F$20,S$22,$H35,$F$19)</f>
        <v>0</v>
      </c>
      <c r="T35" s="36">
        <f>_xll.DBRW($E$12,$F$16,$F$17,$F$18,$E35,$F$20,T$22,$H35,$F$19)</f>
        <v>0</v>
      </c>
      <c r="U35" s="36">
        <f>_xll.DBRW($E$12,$F$16,$F$17,$F$18,$E35,$F$20,U$22,$H35,$F$19)</f>
        <v>206.72</v>
      </c>
    </row>
    <row r="36" spans="4:21" s="37" customFormat="1" ht="15" outlineLevel="1" thickBot="1" x14ac:dyDescent="0.35">
      <c r="D36" s="33" t="str">
        <f>IF(_xll.TM1RPTELISCONSOLIDATED($H$34,$H36),IF(_xll.TM1RPTELLEV($H$34,$H36)&lt;=5,_xll.TM1RPTELLEV($H$34,$H36),"Default"),"Leaf")</f>
        <v>Leaf</v>
      </c>
      <c r="E36" s="42" t="s">
        <v>10</v>
      </c>
      <c r="F36" s="34" t="str">
        <f>_xll.DBR($B$18,$H36,"Account_Type")</f>
        <v>NON LABOR</v>
      </c>
      <c r="G36" s="34" t="str">
        <f>_xll.DBR($B$18,$H36,"Description")</f>
        <v>Business Meals &amp; Entertainment</v>
      </c>
      <c r="H36" s="43" t="s">
        <v>12</v>
      </c>
      <c r="I36" s="36">
        <f>_xll.DBRW($E$12,$F$16,$F$17,$F$18,$E36,$F$20,I$22,$H36,$F$19)</f>
        <v>88.82</v>
      </c>
      <c r="J36" s="36">
        <f>_xll.DBRW($E$12,$F$16,$F$17,$F$18,$E36,$F$20,J$22,$H36,$F$19)</f>
        <v>72.61</v>
      </c>
      <c r="K36" s="36">
        <f>_xll.DBRW($E$12,$F$16,$F$17,$F$18,$E36,$F$20,K$22,$H36,$F$19)</f>
        <v>263.82</v>
      </c>
      <c r="L36" s="36">
        <f>_xll.DBRW($E$12,$F$16,$F$17,$F$18,$E36,$F$20,L$22,$H36,$F$19)</f>
        <v>177.9</v>
      </c>
      <c r="M36" s="36">
        <f>_xll.DBRW($E$12,$F$16,$F$17,$F$18,$E36,$F$20,M$22,$H36,$F$19)</f>
        <v>768.27</v>
      </c>
      <c r="N36" s="36">
        <f>_xll.DBRW($E$12,$F$16,$F$17,$F$18,$E36,$F$20,N$22,$H36,$F$19)</f>
        <v>0</v>
      </c>
      <c r="O36" s="36">
        <f>_xll.DBRW($E$12,$F$16,$F$17,$F$18,$E36,$F$20,O$22,$H36,$F$19)</f>
        <v>0</v>
      </c>
      <c r="P36" s="36">
        <f>_xll.DBRW($E$12,$F$16,$F$17,$F$18,$E36,$F$20,P$22,$H36,$F$19)</f>
        <v>0</v>
      </c>
      <c r="Q36" s="36">
        <f>_xll.DBRW($E$12,$F$16,$F$17,$F$18,$E36,$F$20,Q$22,$H36,$F$19)</f>
        <v>0</v>
      </c>
      <c r="R36" s="36">
        <f>_xll.DBRW($E$12,$F$16,$F$17,$F$18,$E36,$F$20,R$22,$H36,$F$19)</f>
        <v>0</v>
      </c>
      <c r="S36" s="36">
        <f>_xll.DBRW($E$12,$F$16,$F$17,$F$18,$E36,$F$20,S$22,$H36,$F$19)</f>
        <v>0</v>
      </c>
      <c r="T36" s="36">
        <f>_xll.DBRW($E$12,$F$16,$F$17,$F$18,$E36,$F$20,T$22,$H36,$F$19)</f>
        <v>0</v>
      </c>
      <c r="U36" s="36">
        <f>_xll.DBRW($E$12,$F$16,$F$17,$F$18,$E36,$F$20,U$22,$H36,$F$19)</f>
        <v>1371.42</v>
      </c>
    </row>
    <row r="37" spans="4:21" s="37" customFormat="1" ht="15" outlineLevel="1" thickBot="1" x14ac:dyDescent="0.35">
      <c r="D37" s="33" t="str">
        <f>IF(_xll.TM1RPTELISCONSOLIDATED($H$34,$H37),IF(_xll.TM1RPTELLEV($H$34,$H37)&lt;=5,_xll.TM1RPTELLEV($H$34,$H37),"Default"),"Leaf")</f>
        <v>Leaf</v>
      </c>
      <c r="E37" s="42" t="s">
        <v>10</v>
      </c>
      <c r="F37" s="34" t="str">
        <f>_xll.DBR($B$18,$H37,"Account_Type")</f>
        <v>NON LABOR</v>
      </c>
      <c r="G37" s="34" t="str">
        <f>_xll.DBR($B$18,$H37,"Description")</f>
        <v>Telecommunications / Internet</v>
      </c>
      <c r="H37" s="43" t="s">
        <v>13</v>
      </c>
      <c r="I37" s="36">
        <f>_xll.DBRW($E$12,$F$16,$F$17,$F$18,$E37,$F$20,I$22,$H37,$F$19)</f>
        <v>377.73</v>
      </c>
      <c r="J37" s="36">
        <f>_xll.DBRW($E$12,$F$16,$F$17,$F$18,$E37,$F$20,J$22,$H37,$F$19)</f>
        <v>428.81</v>
      </c>
      <c r="K37" s="36">
        <f>_xll.DBRW($E$12,$F$16,$F$17,$F$18,$E37,$F$20,K$22,$H37,$F$19)</f>
        <v>287.91000000000003</v>
      </c>
      <c r="L37" s="36">
        <f>_xll.DBRW($E$12,$F$16,$F$17,$F$18,$E37,$F$20,L$22,$H37,$F$19)</f>
        <v>518.6</v>
      </c>
      <c r="M37" s="36">
        <f>_xll.DBRW($E$12,$F$16,$F$17,$F$18,$E37,$F$20,M$22,$H37,$F$19)</f>
        <v>178.93</v>
      </c>
      <c r="N37" s="36">
        <f>_xll.DBRW($E$12,$F$16,$F$17,$F$18,$E37,$F$20,N$22,$H37,$F$19)</f>
        <v>227.4</v>
      </c>
      <c r="O37" s="36">
        <f>_xll.DBRW($E$12,$F$16,$F$17,$F$18,$E37,$F$20,O$22,$H37,$F$19)</f>
        <v>50</v>
      </c>
      <c r="P37" s="36">
        <f>_xll.DBRW($E$12,$F$16,$F$17,$F$18,$E37,$F$20,P$22,$H37,$F$19)</f>
        <v>0</v>
      </c>
      <c r="Q37" s="36">
        <f>_xll.DBRW($E$12,$F$16,$F$17,$F$18,$E37,$F$20,Q$22,$H37,$F$19)</f>
        <v>0</v>
      </c>
      <c r="R37" s="36">
        <f>_xll.DBRW($E$12,$F$16,$F$17,$F$18,$E37,$F$20,R$22,$H37,$F$19)</f>
        <v>0</v>
      </c>
      <c r="S37" s="36">
        <f>_xll.DBRW($E$12,$F$16,$F$17,$F$18,$E37,$F$20,S$22,$H37,$F$19)</f>
        <v>0</v>
      </c>
      <c r="T37" s="36">
        <f>_xll.DBRW($E$12,$F$16,$F$17,$F$18,$E37,$F$20,T$22,$H37,$F$19)</f>
        <v>0</v>
      </c>
      <c r="U37" s="36">
        <f>_xll.DBRW($E$12,$F$16,$F$17,$F$18,$E37,$F$20,U$22,$H37,$F$19)</f>
        <v>2069.38</v>
      </c>
    </row>
    <row r="38" spans="4:21" s="37" customFormat="1" ht="15" outlineLevel="1" thickBot="1" x14ac:dyDescent="0.35">
      <c r="D38" s="33" t="str">
        <f>IF(_xll.TM1RPTELISCONSOLIDATED($H$34,$H38),IF(_xll.TM1RPTELLEV($H$34,$H38)&lt;=5,_xll.TM1RPTELLEV($H$34,$H38),"Default"),"Leaf")</f>
        <v>Leaf</v>
      </c>
      <c r="E38" s="42" t="s">
        <v>10</v>
      </c>
      <c r="F38" s="34" t="str">
        <f>_xll.DBR($B$18,$H38,"Account_Type")</f>
        <v>NON LABOR</v>
      </c>
      <c r="G38" s="34" t="str">
        <f>_xll.DBR($B$18,$H38,"Description")</f>
        <v>Office/Computer Supplies &amp; Eqpt</v>
      </c>
      <c r="H38" s="43" t="s">
        <v>14</v>
      </c>
      <c r="I38" s="36">
        <f>_xll.DBRW($E$12,$F$16,$F$17,$F$18,$E38,$F$20,I$22,$H38,$F$19)</f>
        <v>1030.17</v>
      </c>
      <c r="J38" s="36">
        <f>_xll.DBRW($E$12,$F$16,$F$17,$F$18,$E38,$F$20,J$22,$H38,$F$19)</f>
        <v>4566.82</v>
      </c>
      <c r="K38" s="36">
        <f>_xll.DBRW($E$12,$F$16,$F$17,$F$18,$E38,$F$20,K$22,$H38,$F$19)</f>
        <v>24217.72</v>
      </c>
      <c r="L38" s="36">
        <f>_xll.DBRW($E$12,$F$16,$F$17,$F$18,$E38,$F$20,L$22,$H38,$F$19)</f>
        <v>12295.32</v>
      </c>
      <c r="M38" s="36">
        <f>_xll.DBRW($E$12,$F$16,$F$17,$F$18,$E38,$F$20,M$22,$H38,$F$19)</f>
        <v>4630.49</v>
      </c>
      <c r="N38" s="36">
        <f>_xll.DBRW($E$12,$F$16,$F$17,$F$18,$E38,$F$20,N$22,$H38,$F$19)</f>
        <v>8272.0400000000009</v>
      </c>
      <c r="O38" s="36">
        <f>_xll.DBRW($E$12,$F$16,$F$17,$F$18,$E38,$F$20,O$22,$H38,$F$19)</f>
        <v>-327.22000000000003</v>
      </c>
      <c r="P38" s="36">
        <f>_xll.DBRW($E$12,$F$16,$F$17,$F$18,$E38,$F$20,P$22,$H38,$F$19)</f>
        <v>0</v>
      </c>
      <c r="Q38" s="36">
        <f>_xll.DBRW($E$12,$F$16,$F$17,$F$18,$E38,$F$20,Q$22,$H38,$F$19)</f>
        <v>0</v>
      </c>
      <c r="R38" s="36">
        <f>_xll.DBRW($E$12,$F$16,$F$17,$F$18,$E38,$F$20,R$22,$H38,$F$19)</f>
        <v>0</v>
      </c>
      <c r="S38" s="36">
        <f>_xll.DBRW($E$12,$F$16,$F$17,$F$18,$E38,$F$20,S$22,$H38,$F$19)</f>
        <v>0</v>
      </c>
      <c r="T38" s="36">
        <f>_xll.DBRW($E$12,$F$16,$F$17,$F$18,$E38,$F$20,T$22,$H38,$F$19)</f>
        <v>0</v>
      </c>
      <c r="U38" s="36">
        <f>_xll.DBRW($E$12,$F$16,$F$17,$F$18,$E38,$F$20,U$22,$H38,$F$19)</f>
        <v>54685.34</v>
      </c>
    </row>
    <row r="39" spans="4:21" s="37" customFormat="1" ht="15" outlineLevel="1" thickBot="1" x14ac:dyDescent="0.35">
      <c r="D39" s="33" t="str">
        <f>IF(_xll.TM1RPTELISCONSOLIDATED($H$34,$H39),IF(_xll.TM1RPTELLEV($H$34,$H39)&lt;=5,_xll.TM1RPTELLEV($H$34,$H39),"Default"),"Leaf")</f>
        <v>Leaf</v>
      </c>
      <c r="E39" s="42" t="s">
        <v>10</v>
      </c>
      <c r="F39" s="34" t="str">
        <f>_xll.DBR($B$18,$H39,"Account_Type")</f>
        <v>NON LABOR</v>
      </c>
      <c r="G39" s="34" t="str">
        <f>_xll.DBR($B$18,$H39,"Description")</f>
        <v>Postage &amp; Courier Fees</v>
      </c>
      <c r="H39" s="43" t="s">
        <v>15</v>
      </c>
      <c r="I39" s="36">
        <f>_xll.DBRW($E$12,$F$16,$F$17,$F$18,$E39,$F$20,I$22,$H39,$F$19)</f>
        <v>19.3</v>
      </c>
      <c r="J39" s="36">
        <f>_xll.DBRW($E$12,$F$16,$F$17,$F$18,$E39,$F$20,J$22,$H39,$F$19)</f>
        <v>102.13</v>
      </c>
      <c r="K39" s="36">
        <f>_xll.DBRW($E$12,$F$16,$F$17,$F$18,$E39,$F$20,K$22,$H39,$F$19)</f>
        <v>48.61</v>
      </c>
      <c r="L39" s="36">
        <f>_xll.DBRW($E$12,$F$16,$F$17,$F$18,$E39,$F$20,L$22,$H39,$F$19)</f>
        <v>132.44</v>
      </c>
      <c r="M39" s="36">
        <f>_xll.DBRW($E$12,$F$16,$F$17,$F$18,$E39,$F$20,M$22,$H39,$F$19)</f>
        <v>72.33</v>
      </c>
      <c r="N39" s="36">
        <f>_xll.DBRW($E$12,$F$16,$F$17,$F$18,$E39,$F$20,N$22,$H39,$F$19)</f>
        <v>99.56</v>
      </c>
      <c r="O39" s="36">
        <f>_xll.DBRW($E$12,$F$16,$F$17,$F$18,$E39,$F$20,O$22,$H39,$F$19)</f>
        <v>0</v>
      </c>
      <c r="P39" s="36">
        <f>_xll.DBRW($E$12,$F$16,$F$17,$F$18,$E39,$F$20,P$22,$H39,$F$19)</f>
        <v>0</v>
      </c>
      <c r="Q39" s="36">
        <f>_xll.DBRW($E$12,$F$16,$F$17,$F$18,$E39,$F$20,Q$22,$H39,$F$19)</f>
        <v>0</v>
      </c>
      <c r="R39" s="36">
        <f>_xll.DBRW($E$12,$F$16,$F$17,$F$18,$E39,$F$20,R$22,$H39,$F$19)</f>
        <v>0</v>
      </c>
      <c r="S39" s="36">
        <f>_xll.DBRW($E$12,$F$16,$F$17,$F$18,$E39,$F$20,S$22,$H39,$F$19)</f>
        <v>0</v>
      </c>
      <c r="T39" s="36">
        <f>_xll.DBRW($E$12,$F$16,$F$17,$F$18,$E39,$F$20,T$22,$H39,$F$19)</f>
        <v>0</v>
      </c>
      <c r="U39" s="36">
        <f>_xll.DBRW($E$12,$F$16,$F$17,$F$18,$E39,$F$20,U$22,$H39,$F$19)</f>
        <v>474.37</v>
      </c>
    </row>
    <row r="40" spans="4:21" s="37" customFormat="1" ht="15" outlineLevel="1" thickBot="1" x14ac:dyDescent="0.35">
      <c r="D40" s="33" t="str">
        <f>IF(_xll.TM1RPTELISCONSOLIDATED($H$34,$H40),IF(_xll.TM1RPTELLEV($H$34,$H40)&lt;=5,_xll.TM1RPTELLEV($H$34,$H40),"Default"),"Leaf")</f>
        <v>Leaf</v>
      </c>
      <c r="E40" s="42" t="s">
        <v>10</v>
      </c>
      <c r="F40" s="34" t="str">
        <f>_xll.DBR($B$18,$H40,"Account_Type")</f>
        <v>NON LABOR</v>
      </c>
      <c r="G40" s="34" t="str">
        <f>_xll.DBR($B$18,$H40,"Description")</f>
        <v>Printing &amp; Reproduction</v>
      </c>
      <c r="H40" s="43" t="s">
        <v>16</v>
      </c>
      <c r="I40" s="36">
        <f>_xll.DBRW($E$12,$F$16,$F$17,$F$18,$E40,$F$20,I$22,$H40,$F$19)</f>
        <v>858.53</v>
      </c>
      <c r="J40" s="36">
        <f>_xll.DBRW($E$12,$F$16,$F$17,$F$18,$E40,$F$20,J$22,$H40,$F$19)</f>
        <v>0</v>
      </c>
      <c r="K40" s="36">
        <f>_xll.DBRW($E$12,$F$16,$F$17,$F$18,$E40,$F$20,K$22,$H40,$F$19)</f>
        <v>57.95</v>
      </c>
      <c r="L40" s="36">
        <f>_xll.DBRW($E$12,$F$16,$F$17,$F$18,$E40,$F$20,L$22,$H40,$F$19)</f>
        <v>0</v>
      </c>
      <c r="M40" s="36">
        <f>_xll.DBRW($E$12,$F$16,$F$17,$F$18,$E40,$F$20,M$22,$H40,$F$19)</f>
        <v>0</v>
      </c>
      <c r="N40" s="36">
        <f>_xll.DBRW($E$12,$F$16,$F$17,$F$18,$E40,$F$20,N$22,$H40,$F$19)</f>
        <v>0</v>
      </c>
      <c r="O40" s="36">
        <f>_xll.DBRW($E$12,$F$16,$F$17,$F$18,$E40,$F$20,O$22,$H40,$F$19)</f>
        <v>0</v>
      </c>
      <c r="P40" s="36">
        <f>_xll.DBRW($E$12,$F$16,$F$17,$F$18,$E40,$F$20,P$22,$H40,$F$19)</f>
        <v>0</v>
      </c>
      <c r="Q40" s="36">
        <f>_xll.DBRW($E$12,$F$16,$F$17,$F$18,$E40,$F$20,Q$22,$H40,$F$19)</f>
        <v>0</v>
      </c>
      <c r="R40" s="36">
        <f>_xll.DBRW($E$12,$F$16,$F$17,$F$18,$E40,$F$20,R$22,$H40,$F$19)</f>
        <v>0</v>
      </c>
      <c r="S40" s="36">
        <f>_xll.DBRW($E$12,$F$16,$F$17,$F$18,$E40,$F$20,S$22,$H40,$F$19)</f>
        <v>0</v>
      </c>
      <c r="T40" s="36">
        <f>_xll.DBRW($E$12,$F$16,$F$17,$F$18,$E40,$F$20,T$22,$H40,$F$19)</f>
        <v>0</v>
      </c>
      <c r="U40" s="36">
        <f>_xll.DBRW($E$12,$F$16,$F$17,$F$18,$E40,$F$20,U$22,$H40,$F$19)</f>
        <v>916.48</v>
      </c>
    </row>
    <row r="41" spans="4:21" s="37" customFormat="1" ht="15" outlineLevel="1" thickBot="1" x14ac:dyDescent="0.35">
      <c r="D41" s="33" t="str">
        <f>IF(_xll.TM1RPTELISCONSOLIDATED($H$34,$H41),IF(_xll.TM1RPTELLEV($H$34,$H41)&lt;=5,_xll.TM1RPTELLEV($H$34,$H41),"Default"),"Leaf")</f>
        <v>Leaf</v>
      </c>
      <c r="E41" s="42" t="s">
        <v>10</v>
      </c>
      <c r="F41" s="34" t="str">
        <f>_xll.DBR($B$18,$H41,"Account_Type")</f>
        <v>NON LABOR</v>
      </c>
      <c r="G41" s="34" t="str">
        <f>_xll.DBR($B$18,$H41,"Description")</f>
        <v>Education/Training/Dues/Subscriptions</v>
      </c>
      <c r="H41" s="43" t="s">
        <v>17</v>
      </c>
      <c r="I41" s="36">
        <f>_xll.DBRW($E$12,$F$16,$F$17,$F$18,$E41,$F$20,I$22,$H41,$F$19)</f>
        <v>4126.88</v>
      </c>
      <c r="J41" s="36">
        <f>_xll.DBRW($E$12,$F$16,$F$17,$F$18,$E41,$F$20,J$22,$H41,$F$19)</f>
        <v>2</v>
      </c>
      <c r="K41" s="36">
        <f>_xll.DBRW($E$12,$F$16,$F$17,$F$18,$E41,$F$20,K$22,$H41,$F$19)</f>
        <v>0</v>
      </c>
      <c r="L41" s="36">
        <f>_xll.DBRW($E$12,$F$16,$F$17,$F$18,$E41,$F$20,L$22,$H41,$F$19)</f>
        <v>80.03</v>
      </c>
      <c r="M41" s="36">
        <f>_xll.DBRW($E$12,$F$16,$F$17,$F$18,$E41,$F$20,M$22,$H41,$F$19)</f>
        <v>6.39</v>
      </c>
      <c r="N41" s="36">
        <f>_xll.DBRW($E$12,$F$16,$F$17,$F$18,$E41,$F$20,N$22,$H41,$F$19)</f>
        <v>141.33000000000001</v>
      </c>
      <c r="O41" s="36">
        <f>_xll.DBRW($E$12,$F$16,$F$17,$F$18,$E41,$F$20,O$22,$H41,$F$19)</f>
        <v>0</v>
      </c>
      <c r="P41" s="36">
        <f>_xll.DBRW($E$12,$F$16,$F$17,$F$18,$E41,$F$20,P$22,$H41,$F$19)</f>
        <v>0</v>
      </c>
      <c r="Q41" s="36">
        <f>_xll.DBRW($E$12,$F$16,$F$17,$F$18,$E41,$F$20,Q$22,$H41,$F$19)</f>
        <v>0</v>
      </c>
      <c r="R41" s="36">
        <f>_xll.DBRW($E$12,$F$16,$F$17,$F$18,$E41,$F$20,R$22,$H41,$F$19)</f>
        <v>0</v>
      </c>
      <c r="S41" s="36">
        <f>_xll.DBRW($E$12,$F$16,$F$17,$F$18,$E41,$F$20,S$22,$H41,$F$19)</f>
        <v>0</v>
      </c>
      <c r="T41" s="36">
        <f>_xll.DBRW($E$12,$F$16,$F$17,$F$18,$E41,$F$20,T$22,$H41,$F$19)</f>
        <v>0</v>
      </c>
      <c r="U41" s="36">
        <f>_xll.DBRW($E$12,$F$16,$F$17,$F$18,$E41,$F$20,U$22,$H41,$F$19)</f>
        <v>4356.63</v>
      </c>
    </row>
    <row r="42" spans="4:21" s="37" customFormat="1" ht="15" outlineLevel="1" thickBot="1" x14ac:dyDescent="0.35">
      <c r="D42" s="33" t="str">
        <f>IF(_xll.TM1RPTELISCONSOLIDATED($H$34,$H42),IF(_xll.TM1RPTELLEV($H$34,$H42)&lt;=5,_xll.TM1RPTELLEV($H$34,$H42),"Default"),"Leaf")</f>
        <v>Leaf</v>
      </c>
      <c r="E42" s="42" t="s">
        <v>10</v>
      </c>
      <c r="F42" s="34" t="str">
        <f>_xll.DBR($B$18,$H42,"Account_Type")</f>
        <v>NON LABOR</v>
      </c>
      <c r="G42" s="34" t="str">
        <f>_xll.DBR($B$18,$H42,"Description")</f>
        <v>Certificates/Licenses/Permits</v>
      </c>
      <c r="H42" s="43" t="s">
        <v>18</v>
      </c>
      <c r="I42" s="36">
        <f>_xll.DBRW($E$12,$F$16,$F$17,$F$18,$E42,$F$20,I$22,$H42,$F$19)</f>
        <v>0</v>
      </c>
      <c r="J42" s="36">
        <f>_xll.DBRW($E$12,$F$16,$F$17,$F$18,$E42,$F$20,J$22,$H42,$F$19)</f>
        <v>0</v>
      </c>
      <c r="K42" s="36">
        <f>_xll.DBRW($E$12,$F$16,$F$17,$F$18,$E42,$F$20,K$22,$H42,$F$19)</f>
        <v>0</v>
      </c>
      <c r="L42" s="36">
        <f>_xll.DBRW($E$12,$F$16,$F$17,$F$18,$E42,$F$20,L$22,$H42,$F$19)</f>
        <v>0</v>
      </c>
      <c r="M42" s="36">
        <f>_xll.DBRW($E$12,$F$16,$F$17,$F$18,$E42,$F$20,M$22,$H42,$F$19)</f>
        <v>0</v>
      </c>
      <c r="N42" s="36">
        <f>_xll.DBRW($E$12,$F$16,$F$17,$F$18,$E42,$F$20,N$22,$H42,$F$19)</f>
        <v>285.5</v>
      </c>
      <c r="O42" s="36">
        <f>_xll.DBRW($E$12,$F$16,$F$17,$F$18,$E42,$F$20,O$22,$H42,$F$19)</f>
        <v>0</v>
      </c>
      <c r="P42" s="36">
        <f>_xll.DBRW($E$12,$F$16,$F$17,$F$18,$E42,$F$20,P$22,$H42,$F$19)</f>
        <v>0</v>
      </c>
      <c r="Q42" s="36">
        <f>_xll.DBRW($E$12,$F$16,$F$17,$F$18,$E42,$F$20,Q$22,$H42,$F$19)</f>
        <v>0</v>
      </c>
      <c r="R42" s="36">
        <f>_xll.DBRW($E$12,$F$16,$F$17,$F$18,$E42,$F$20,R$22,$H42,$F$19)</f>
        <v>0</v>
      </c>
      <c r="S42" s="36">
        <f>_xll.DBRW($E$12,$F$16,$F$17,$F$18,$E42,$F$20,S$22,$H42,$F$19)</f>
        <v>0</v>
      </c>
      <c r="T42" s="36">
        <f>_xll.DBRW($E$12,$F$16,$F$17,$F$18,$E42,$F$20,T$22,$H42,$F$19)</f>
        <v>0</v>
      </c>
      <c r="U42" s="36">
        <f>_xll.DBRW($E$12,$F$16,$F$17,$F$18,$E42,$F$20,U$22,$H42,$F$19)</f>
        <v>285.5</v>
      </c>
    </row>
    <row r="43" spans="4:21" s="37" customFormat="1" ht="15" outlineLevel="1" thickBot="1" x14ac:dyDescent="0.35">
      <c r="D43" s="33" t="str">
        <f>IF(_xll.TM1RPTELISCONSOLIDATED($H$34,$H43),IF(_xll.TM1RPTELLEV($H$34,$H43)&lt;=5,_xll.TM1RPTELLEV($H$34,$H43),"Default"),"Leaf")</f>
        <v>Leaf</v>
      </c>
      <c r="E43" s="42" t="s">
        <v>10</v>
      </c>
      <c r="F43" s="34" t="str">
        <f>_xll.DBR($B$18,$H43,"Account_Type")</f>
        <v>NON LABOR</v>
      </c>
      <c r="G43" s="34" t="str">
        <f>_xll.DBR($B$18,$H43,"Description")</f>
        <v>Temporary Service/Recruiting/Relocation</v>
      </c>
      <c r="H43" s="43" t="s">
        <v>19</v>
      </c>
      <c r="I43" s="36">
        <f>_xll.DBRW($E$12,$F$16,$F$17,$F$18,$E43,$F$20,I$22,$H43,$F$19)</f>
        <v>558.72</v>
      </c>
      <c r="J43" s="36">
        <f>_xll.DBRW($E$12,$F$16,$F$17,$F$18,$E43,$F$20,J$22,$H43,$F$19)</f>
        <v>136.09</v>
      </c>
      <c r="K43" s="36">
        <f>_xll.DBRW($E$12,$F$16,$F$17,$F$18,$E43,$F$20,K$22,$H43,$F$19)</f>
        <v>220.02</v>
      </c>
      <c r="L43" s="36">
        <f>_xll.DBRW($E$12,$F$16,$F$17,$F$18,$E43,$F$20,L$22,$H43,$F$19)</f>
        <v>0</v>
      </c>
      <c r="M43" s="36">
        <f>_xll.DBRW($E$12,$F$16,$F$17,$F$18,$E43,$F$20,M$22,$H43,$F$19)</f>
        <v>1085</v>
      </c>
      <c r="N43" s="36">
        <f>_xll.DBRW($E$12,$F$16,$F$17,$F$18,$E43,$F$20,N$22,$H43,$F$19)</f>
        <v>0</v>
      </c>
      <c r="O43" s="36">
        <f>_xll.DBRW($E$12,$F$16,$F$17,$F$18,$E43,$F$20,O$22,$H43,$F$19)</f>
        <v>0</v>
      </c>
      <c r="P43" s="36">
        <f>_xll.DBRW($E$12,$F$16,$F$17,$F$18,$E43,$F$20,P$22,$H43,$F$19)</f>
        <v>0</v>
      </c>
      <c r="Q43" s="36">
        <f>_xll.DBRW($E$12,$F$16,$F$17,$F$18,$E43,$F$20,Q$22,$H43,$F$19)</f>
        <v>0</v>
      </c>
      <c r="R43" s="36">
        <f>_xll.DBRW($E$12,$F$16,$F$17,$F$18,$E43,$F$20,R$22,$H43,$F$19)</f>
        <v>0</v>
      </c>
      <c r="S43" s="36">
        <f>_xll.DBRW($E$12,$F$16,$F$17,$F$18,$E43,$F$20,S$22,$H43,$F$19)</f>
        <v>0</v>
      </c>
      <c r="T43" s="36">
        <f>_xll.DBRW($E$12,$F$16,$F$17,$F$18,$E43,$F$20,T$22,$H43,$F$19)</f>
        <v>0</v>
      </c>
      <c r="U43" s="36">
        <f>_xll.DBRW($E$12,$F$16,$F$17,$F$18,$E43,$F$20,U$22,$H43,$F$19)</f>
        <v>1999.83</v>
      </c>
    </row>
    <row r="44" spans="4:21" s="37" customFormat="1" ht="15" outlineLevel="1" thickBot="1" x14ac:dyDescent="0.35">
      <c r="D44" s="33" t="str">
        <f>IF(_xll.TM1RPTELISCONSOLIDATED($H$34,$H44),IF(_xll.TM1RPTELLEV($H$34,$H44)&lt;=5,_xll.TM1RPTELLEV($H$34,$H44),"Default"),"Leaf")</f>
        <v>Leaf</v>
      </c>
      <c r="E44" s="42" t="s">
        <v>10</v>
      </c>
      <c r="F44" s="34" t="str">
        <f>_xll.DBR($B$18,$H44,"Account_Type")</f>
        <v>NON LABOR</v>
      </c>
      <c r="G44" s="34" t="str">
        <f>_xll.DBR($B$18,$H44,"Description")</f>
        <v>Office Rent</v>
      </c>
      <c r="H44" s="43" t="s">
        <v>20</v>
      </c>
      <c r="I44" s="36">
        <f>_xll.DBRW($E$12,$F$16,$F$17,$F$18,$E44,$F$20,I$22,$H44,$F$19)</f>
        <v>6186.69</v>
      </c>
      <c r="J44" s="36">
        <f>_xll.DBRW($E$12,$F$16,$F$17,$F$18,$E44,$F$20,J$22,$H44,$F$19)</f>
        <v>8202.59</v>
      </c>
      <c r="K44" s="36">
        <f>_xll.DBRW($E$12,$F$16,$F$17,$F$18,$E44,$F$20,K$22,$H44,$F$19)</f>
        <v>8898.8799999999992</v>
      </c>
      <c r="L44" s="36">
        <f>_xll.DBRW($E$12,$F$16,$F$17,$F$18,$E44,$F$20,L$22,$H44,$F$19)</f>
        <v>229.36</v>
      </c>
      <c r="M44" s="36">
        <f>_xll.DBRW($E$12,$F$16,$F$17,$F$18,$E44,$F$20,M$22,$H44,$F$19)</f>
        <v>8282.32</v>
      </c>
      <c r="N44" s="36">
        <f>_xll.DBRW($E$12,$F$16,$F$17,$F$18,$E44,$F$20,N$22,$H44,$F$19)</f>
        <v>554.37</v>
      </c>
      <c r="O44" s="36">
        <f>_xll.DBRW($E$12,$F$16,$F$17,$F$18,$E44,$F$20,O$22,$H44,$F$19)</f>
        <v>0</v>
      </c>
      <c r="P44" s="36">
        <f>_xll.DBRW($E$12,$F$16,$F$17,$F$18,$E44,$F$20,P$22,$H44,$F$19)</f>
        <v>0</v>
      </c>
      <c r="Q44" s="36">
        <f>_xll.DBRW($E$12,$F$16,$F$17,$F$18,$E44,$F$20,Q$22,$H44,$F$19)</f>
        <v>0</v>
      </c>
      <c r="R44" s="36">
        <f>_xll.DBRW($E$12,$F$16,$F$17,$F$18,$E44,$F$20,R$22,$H44,$F$19)</f>
        <v>0</v>
      </c>
      <c r="S44" s="36">
        <f>_xll.DBRW($E$12,$F$16,$F$17,$F$18,$E44,$F$20,S$22,$H44,$F$19)</f>
        <v>0</v>
      </c>
      <c r="T44" s="36">
        <f>_xll.DBRW($E$12,$F$16,$F$17,$F$18,$E44,$F$20,T$22,$H44,$F$19)</f>
        <v>0</v>
      </c>
      <c r="U44" s="36">
        <f>_xll.DBRW($E$12,$F$16,$F$17,$F$18,$E44,$F$20,U$22,$H44,$F$19)</f>
        <v>32354.209999999995</v>
      </c>
    </row>
    <row r="45" spans="4:21" s="37" customFormat="1" ht="15" outlineLevel="1" thickBot="1" x14ac:dyDescent="0.35">
      <c r="D45" s="33" t="str">
        <f>IF(_xll.TM1RPTELISCONSOLIDATED($H$34,$H45),IF(_xll.TM1RPTELLEV($H$34,$H45)&lt;=5,_xll.TM1RPTELLEV($H$34,$H45),"Default"),"Leaf")</f>
        <v>Leaf</v>
      </c>
      <c r="E45" s="42" t="s">
        <v>10</v>
      </c>
      <c r="F45" s="34" t="str">
        <f>_xll.DBR($B$18,$H45,"Account_Type")</f>
        <v>NON LABOR</v>
      </c>
      <c r="G45" s="34" t="str">
        <f>_xll.DBR($B$18,$H45,"Description")</f>
        <v>Utilities</v>
      </c>
      <c r="H45" s="43" t="s">
        <v>21</v>
      </c>
      <c r="I45" s="36">
        <f>_xll.DBRW($E$12,$F$16,$F$17,$F$18,$E45,$F$20,I$22,$H45,$F$19)</f>
        <v>5.34</v>
      </c>
      <c r="J45" s="36">
        <f>_xll.DBRW($E$12,$F$16,$F$17,$F$18,$E45,$F$20,J$22,$H45,$F$19)</f>
        <v>43.84</v>
      </c>
      <c r="K45" s="36">
        <f>_xll.DBRW($E$12,$F$16,$F$17,$F$18,$E45,$F$20,K$22,$H45,$F$19)</f>
        <v>82.34</v>
      </c>
      <c r="L45" s="36">
        <f>_xll.DBRW($E$12,$F$16,$F$17,$F$18,$E45,$F$20,L$22,$H45,$F$19)</f>
        <v>30.64</v>
      </c>
      <c r="M45" s="36">
        <f>_xll.DBRW($E$12,$F$16,$F$17,$F$18,$E45,$F$20,M$22,$H45,$F$19)</f>
        <v>30.64</v>
      </c>
      <c r="N45" s="36">
        <f>_xll.DBRW($E$12,$F$16,$F$17,$F$18,$E45,$F$20,N$22,$H45,$F$19)</f>
        <v>5.34</v>
      </c>
      <c r="O45" s="36">
        <f>_xll.DBRW($E$12,$F$16,$F$17,$F$18,$E45,$F$20,O$22,$H45,$F$19)</f>
        <v>0</v>
      </c>
      <c r="P45" s="36">
        <f>_xll.DBRW($E$12,$F$16,$F$17,$F$18,$E45,$F$20,P$22,$H45,$F$19)</f>
        <v>0</v>
      </c>
      <c r="Q45" s="36">
        <f>_xll.DBRW($E$12,$F$16,$F$17,$F$18,$E45,$F$20,Q$22,$H45,$F$19)</f>
        <v>0</v>
      </c>
      <c r="R45" s="36">
        <f>_xll.DBRW($E$12,$F$16,$F$17,$F$18,$E45,$F$20,R$22,$H45,$F$19)</f>
        <v>0</v>
      </c>
      <c r="S45" s="36">
        <f>_xll.DBRW($E$12,$F$16,$F$17,$F$18,$E45,$F$20,S$22,$H45,$F$19)</f>
        <v>0</v>
      </c>
      <c r="T45" s="36">
        <f>_xll.DBRW($E$12,$F$16,$F$17,$F$18,$E45,$F$20,T$22,$H45,$F$19)</f>
        <v>0</v>
      </c>
      <c r="U45" s="36">
        <f>_xll.DBRW($E$12,$F$16,$F$17,$F$18,$E45,$F$20,U$22,$H45,$F$19)</f>
        <v>198.14000000000001</v>
      </c>
    </row>
    <row r="46" spans="4:21" s="37" customFormat="1" ht="15" outlineLevel="1" thickBot="1" x14ac:dyDescent="0.35">
      <c r="D46" s="33" t="str">
        <f>IF(_xll.TM1RPTELISCONSOLIDATED($H$34,$H46),IF(_xll.TM1RPTELLEV($H$34,$H46)&lt;=5,_xll.TM1RPTELLEV($H$34,$H46),"Default"),"Leaf")</f>
        <v>Leaf</v>
      </c>
      <c r="E46" s="42" t="s">
        <v>10</v>
      </c>
      <c r="F46" s="34" t="str">
        <f>_xll.DBR($B$18,$H46,"Account_Type")</f>
        <v>NON LABOR</v>
      </c>
      <c r="G46" s="34" t="str">
        <f>_xll.DBR($B$18,$H46,"Description")</f>
        <v>Security / Janitorial Charges</v>
      </c>
      <c r="H46" s="43" t="s">
        <v>22</v>
      </c>
      <c r="I46" s="36">
        <f>_xll.DBRW($E$12,$F$16,$F$17,$F$18,$E46,$F$20,I$22,$H46,$F$19)</f>
        <v>19</v>
      </c>
      <c r="J46" s="36">
        <f>_xll.DBRW($E$12,$F$16,$F$17,$F$18,$E46,$F$20,J$22,$H46,$F$19)</f>
        <v>19</v>
      </c>
      <c r="K46" s="36">
        <f>_xll.DBRW($E$12,$F$16,$F$17,$F$18,$E46,$F$20,K$22,$H46,$F$19)</f>
        <v>23.75</v>
      </c>
      <c r="L46" s="36">
        <f>_xll.DBRW($E$12,$F$16,$F$17,$F$18,$E46,$F$20,L$22,$H46,$F$19)</f>
        <v>23.75</v>
      </c>
      <c r="M46" s="36">
        <f>_xll.DBRW($E$12,$F$16,$F$17,$F$18,$E46,$F$20,M$22,$H46,$F$19)</f>
        <v>0</v>
      </c>
      <c r="N46" s="36">
        <f>_xll.DBRW($E$12,$F$16,$F$17,$F$18,$E46,$F$20,N$22,$H46,$F$19)</f>
        <v>23.75</v>
      </c>
      <c r="O46" s="36">
        <f>_xll.DBRW($E$12,$F$16,$F$17,$F$18,$E46,$F$20,O$22,$H46,$F$19)</f>
        <v>0</v>
      </c>
      <c r="P46" s="36">
        <f>_xll.DBRW($E$12,$F$16,$F$17,$F$18,$E46,$F$20,P$22,$H46,$F$19)</f>
        <v>0</v>
      </c>
      <c r="Q46" s="36">
        <f>_xll.DBRW($E$12,$F$16,$F$17,$F$18,$E46,$F$20,Q$22,$H46,$F$19)</f>
        <v>0</v>
      </c>
      <c r="R46" s="36">
        <f>_xll.DBRW($E$12,$F$16,$F$17,$F$18,$E46,$F$20,R$22,$H46,$F$19)</f>
        <v>0</v>
      </c>
      <c r="S46" s="36">
        <f>_xll.DBRW($E$12,$F$16,$F$17,$F$18,$E46,$F$20,S$22,$H46,$F$19)</f>
        <v>0</v>
      </c>
      <c r="T46" s="36">
        <f>_xll.DBRW($E$12,$F$16,$F$17,$F$18,$E46,$F$20,T$22,$H46,$F$19)</f>
        <v>0</v>
      </c>
      <c r="U46" s="36">
        <f>_xll.DBRW($E$12,$F$16,$F$17,$F$18,$E46,$F$20,U$22,$H46,$F$19)</f>
        <v>109.25</v>
      </c>
    </row>
    <row r="47" spans="4:21" s="37" customFormat="1" ht="15" outlineLevel="1" thickBot="1" x14ac:dyDescent="0.35">
      <c r="D47" s="33" t="str">
        <f>IF(_xll.TM1RPTELISCONSOLIDATED($H$34,$H47),IF(_xll.TM1RPTELLEV($H$34,$H47)&lt;=5,_xll.TM1RPTELLEV($H$34,$H47),"Default"),"Leaf")</f>
        <v>Leaf</v>
      </c>
      <c r="E47" s="42" t="s">
        <v>10</v>
      </c>
      <c r="F47" s="34" t="str">
        <f>_xll.DBR($B$18,$H47,"Account_Type")</f>
        <v>NON LABOR</v>
      </c>
      <c r="G47" s="34" t="str">
        <f>_xll.DBR($B$18,$H47,"Description")</f>
        <v>Professional Services / Consultants</v>
      </c>
      <c r="H47" s="43" t="s">
        <v>23</v>
      </c>
      <c r="I47" s="36">
        <f>_xll.DBRW($E$12,$F$16,$F$17,$F$18,$E47,$F$20,I$22,$H47,$F$19)</f>
        <v>0</v>
      </c>
      <c r="J47" s="36">
        <f>_xll.DBRW($E$12,$F$16,$F$17,$F$18,$E47,$F$20,J$22,$H47,$F$19)</f>
        <v>108585</v>
      </c>
      <c r="K47" s="36">
        <f>_xll.DBRW($E$12,$F$16,$F$17,$F$18,$E47,$F$20,K$22,$H47,$F$19)</f>
        <v>59975</v>
      </c>
      <c r="L47" s="36">
        <f>_xll.DBRW($E$12,$F$16,$F$17,$F$18,$E47,$F$20,L$22,$H47,$F$19)</f>
        <v>90226.2</v>
      </c>
      <c r="M47" s="36">
        <f>_xll.DBRW($E$12,$F$16,$F$17,$F$18,$E47,$F$20,M$22,$H47,$F$19)</f>
        <v>102041.8</v>
      </c>
      <c r="N47" s="36">
        <f>_xll.DBRW($E$12,$F$16,$F$17,$F$18,$E47,$F$20,N$22,$H47,$F$19)</f>
        <v>32745</v>
      </c>
      <c r="O47" s="36">
        <f>_xll.DBRW($E$12,$F$16,$F$17,$F$18,$E47,$F$20,O$22,$H47,$F$19)</f>
        <v>-134786.79999999999</v>
      </c>
      <c r="P47" s="36">
        <f>_xll.DBRW($E$12,$F$16,$F$17,$F$18,$E47,$F$20,P$22,$H47,$F$19)</f>
        <v>0</v>
      </c>
      <c r="Q47" s="36">
        <f>_xll.DBRW($E$12,$F$16,$F$17,$F$18,$E47,$F$20,Q$22,$H47,$F$19)</f>
        <v>0</v>
      </c>
      <c r="R47" s="36">
        <f>_xll.DBRW($E$12,$F$16,$F$17,$F$18,$E47,$F$20,R$22,$H47,$F$19)</f>
        <v>0</v>
      </c>
      <c r="S47" s="36">
        <f>_xll.DBRW($E$12,$F$16,$F$17,$F$18,$E47,$F$20,S$22,$H47,$F$19)</f>
        <v>0</v>
      </c>
      <c r="T47" s="36">
        <f>_xll.DBRW($E$12,$F$16,$F$17,$F$18,$E47,$F$20,T$22,$H47,$F$19)</f>
        <v>0</v>
      </c>
      <c r="U47" s="36">
        <f>_xll.DBRW($E$12,$F$16,$F$17,$F$18,$E47,$F$20,U$22,$H47,$F$19)</f>
        <v>258786.2</v>
      </c>
    </row>
    <row r="48" spans="4:21" s="37" customFormat="1" ht="15" outlineLevel="1" thickBot="1" x14ac:dyDescent="0.35">
      <c r="D48" s="33" t="str">
        <f>IF(_xll.TM1RPTELISCONSOLIDATED($H$34,$H48),IF(_xll.TM1RPTELLEV($H$34,$H48)&lt;=5,_xll.TM1RPTELLEV($H$34,$H48),"Default"),"Leaf")</f>
        <v>Leaf</v>
      </c>
      <c r="E48" s="42" t="s">
        <v>10</v>
      </c>
      <c r="F48" s="34" t="str">
        <f>_xll.DBR($B$18,$H48,"Account_Type")</f>
        <v>NON LABOR</v>
      </c>
      <c r="G48" s="34" t="str">
        <f>_xll.DBR($B$18,$H48,"Description")</f>
        <v>Professional Services / Consultants</v>
      </c>
      <c r="H48" s="43" t="s">
        <v>24</v>
      </c>
      <c r="I48" s="36">
        <f>_xll.DBRW($E$12,$F$16,$F$17,$F$18,$E48,$F$20,I$22,$H48,$F$19)</f>
        <v>88741</v>
      </c>
      <c r="J48" s="36">
        <f>_xll.DBRW($E$12,$F$16,$F$17,$F$18,$E48,$F$20,J$22,$H48,$F$19)</f>
        <v>5000</v>
      </c>
      <c r="K48" s="36">
        <f>_xll.DBRW($E$12,$F$16,$F$17,$F$18,$E48,$F$20,K$22,$H48,$F$19)</f>
        <v>0</v>
      </c>
      <c r="L48" s="36">
        <f>_xll.DBRW($E$12,$F$16,$F$17,$F$18,$E48,$F$20,L$22,$H48,$F$19)</f>
        <v>0</v>
      </c>
      <c r="M48" s="36">
        <f>_xll.DBRW($E$12,$F$16,$F$17,$F$18,$E48,$F$20,M$22,$H48,$F$19)</f>
        <v>0</v>
      </c>
      <c r="N48" s="36">
        <f>_xll.DBRW($E$12,$F$16,$F$17,$F$18,$E48,$F$20,N$22,$H48,$F$19)</f>
        <v>0</v>
      </c>
      <c r="O48" s="36">
        <f>_xll.DBRW($E$12,$F$16,$F$17,$F$18,$E48,$F$20,O$22,$H48,$F$19)</f>
        <v>0</v>
      </c>
      <c r="P48" s="36">
        <f>_xll.DBRW($E$12,$F$16,$F$17,$F$18,$E48,$F$20,P$22,$H48,$F$19)</f>
        <v>0</v>
      </c>
      <c r="Q48" s="36">
        <f>_xll.DBRW($E$12,$F$16,$F$17,$F$18,$E48,$F$20,Q$22,$H48,$F$19)</f>
        <v>0</v>
      </c>
      <c r="R48" s="36">
        <f>_xll.DBRW($E$12,$F$16,$F$17,$F$18,$E48,$F$20,R$22,$H48,$F$19)</f>
        <v>0</v>
      </c>
      <c r="S48" s="36">
        <f>_xll.DBRW($E$12,$F$16,$F$17,$F$18,$E48,$F$20,S$22,$H48,$F$19)</f>
        <v>0</v>
      </c>
      <c r="T48" s="36">
        <f>_xll.DBRW($E$12,$F$16,$F$17,$F$18,$E48,$F$20,T$22,$H48,$F$19)</f>
        <v>0</v>
      </c>
      <c r="U48" s="36">
        <f>_xll.DBRW($E$12,$F$16,$F$17,$F$18,$E48,$F$20,U$22,$H48,$F$19)</f>
        <v>93741</v>
      </c>
    </row>
    <row r="49" spans="4:21" s="37" customFormat="1" ht="15" outlineLevel="1" thickBot="1" x14ac:dyDescent="0.35">
      <c r="D49" s="33" t="str">
        <f>IF(_xll.TM1RPTELISCONSOLIDATED($H$34,$H49),IF(_xll.TM1RPTELLEV($H$34,$H49)&lt;=5,_xll.TM1RPTELLEV($H$34,$H49),"Default"),"Leaf")</f>
        <v>Leaf</v>
      </c>
      <c r="E49" s="42" t="s">
        <v>10</v>
      </c>
      <c r="F49" s="34" t="str">
        <f>_xll.DBR($B$18,$H49,"Account_Type")</f>
        <v>NON LABOR</v>
      </c>
      <c r="G49" s="34" t="str">
        <f>_xll.DBR($B$18,$H49,"Description")</f>
        <v>Legal Fees</v>
      </c>
      <c r="H49" s="43" t="s">
        <v>25</v>
      </c>
      <c r="I49" s="36">
        <f>_xll.DBRW($E$12,$F$16,$F$17,$F$18,$E49,$F$20,I$22,$H49,$F$19)</f>
        <v>3445</v>
      </c>
      <c r="J49" s="36">
        <f>_xll.DBRW($E$12,$F$16,$F$17,$F$18,$E49,$F$20,J$22,$H49,$F$19)</f>
        <v>810</v>
      </c>
      <c r="K49" s="36">
        <f>_xll.DBRW($E$12,$F$16,$F$17,$F$18,$E49,$F$20,K$22,$H49,$F$19)</f>
        <v>0</v>
      </c>
      <c r="L49" s="36">
        <f>_xll.DBRW($E$12,$F$16,$F$17,$F$18,$E49,$F$20,L$22,$H49,$F$19)</f>
        <v>0</v>
      </c>
      <c r="M49" s="36">
        <f>_xll.DBRW($E$12,$F$16,$F$17,$F$18,$E49,$F$20,M$22,$H49,$F$19)</f>
        <v>0</v>
      </c>
      <c r="N49" s="36">
        <f>_xll.DBRW($E$12,$F$16,$F$17,$F$18,$E49,$F$20,N$22,$H49,$F$19)</f>
        <v>0</v>
      </c>
      <c r="O49" s="36">
        <f>_xll.DBRW($E$12,$F$16,$F$17,$F$18,$E49,$F$20,O$22,$H49,$F$19)</f>
        <v>0</v>
      </c>
      <c r="P49" s="36">
        <f>_xll.DBRW($E$12,$F$16,$F$17,$F$18,$E49,$F$20,P$22,$H49,$F$19)</f>
        <v>0</v>
      </c>
      <c r="Q49" s="36">
        <f>_xll.DBRW($E$12,$F$16,$F$17,$F$18,$E49,$F$20,Q$22,$H49,$F$19)</f>
        <v>0</v>
      </c>
      <c r="R49" s="36">
        <f>_xll.DBRW($E$12,$F$16,$F$17,$F$18,$E49,$F$20,R$22,$H49,$F$19)</f>
        <v>0</v>
      </c>
      <c r="S49" s="36">
        <f>_xll.DBRW($E$12,$F$16,$F$17,$F$18,$E49,$F$20,S$22,$H49,$F$19)</f>
        <v>0</v>
      </c>
      <c r="T49" s="36">
        <f>_xll.DBRW($E$12,$F$16,$F$17,$F$18,$E49,$F$20,T$22,$H49,$F$19)</f>
        <v>0</v>
      </c>
      <c r="U49" s="36">
        <f>_xll.DBRW($E$12,$F$16,$F$17,$F$18,$E49,$F$20,U$22,$H49,$F$19)</f>
        <v>4255</v>
      </c>
    </row>
    <row r="50" spans="4:21" s="37" customFormat="1" ht="15" outlineLevel="1" thickBot="1" x14ac:dyDescent="0.35">
      <c r="D50" s="33" t="str">
        <f>IF(_xll.TM1RPTELISCONSOLIDATED($H$34,$H50),IF(_xll.TM1RPTELLEV($H$34,$H50)&lt;=5,_xll.TM1RPTELLEV($H$34,$H50),"Default"),"Leaf")</f>
        <v>Leaf</v>
      </c>
      <c r="E50" s="42" t="s">
        <v>10</v>
      </c>
      <c r="F50" s="34" t="str">
        <f>_xll.DBR($B$18,$H50,"Account_Type")</f>
        <v>NON LABOR</v>
      </c>
      <c r="G50" s="34" t="str">
        <f>_xll.DBR($B$18,$H50,"Description")</f>
        <v>Employee Morale &amp; Welfare</v>
      </c>
      <c r="H50" s="43" t="s">
        <v>26</v>
      </c>
      <c r="I50" s="36">
        <f>_xll.DBRW($E$12,$F$16,$F$17,$F$18,$E50,$F$20,I$22,$H50,$F$19)</f>
        <v>50</v>
      </c>
      <c r="J50" s="36">
        <f>_xll.DBRW($E$12,$F$16,$F$17,$F$18,$E50,$F$20,J$22,$H50,$F$19)</f>
        <v>0</v>
      </c>
      <c r="K50" s="36">
        <f>_xll.DBRW($E$12,$F$16,$F$17,$F$18,$E50,$F$20,K$22,$H50,$F$19)</f>
        <v>0</v>
      </c>
      <c r="L50" s="36">
        <f>_xll.DBRW($E$12,$F$16,$F$17,$F$18,$E50,$F$20,L$22,$H50,$F$19)</f>
        <v>0</v>
      </c>
      <c r="M50" s="36">
        <f>_xll.DBRW($E$12,$F$16,$F$17,$F$18,$E50,$F$20,M$22,$H50,$F$19)</f>
        <v>0</v>
      </c>
      <c r="N50" s="36">
        <f>_xll.DBRW($E$12,$F$16,$F$17,$F$18,$E50,$F$20,N$22,$H50,$F$19)</f>
        <v>0</v>
      </c>
      <c r="O50" s="36">
        <f>_xll.DBRW($E$12,$F$16,$F$17,$F$18,$E50,$F$20,O$22,$H50,$F$19)</f>
        <v>0</v>
      </c>
      <c r="P50" s="36">
        <f>_xll.DBRW($E$12,$F$16,$F$17,$F$18,$E50,$F$20,P$22,$H50,$F$19)</f>
        <v>0</v>
      </c>
      <c r="Q50" s="36">
        <f>_xll.DBRW($E$12,$F$16,$F$17,$F$18,$E50,$F$20,Q$22,$H50,$F$19)</f>
        <v>0</v>
      </c>
      <c r="R50" s="36">
        <f>_xll.DBRW($E$12,$F$16,$F$17,$F$18,$E50,$F$20,R$22,$H50,$F$19)</f>
        <v>0</v>
      </c>
      <c r="S50" s="36">
        <f>_xll.DBRW($E$12,$F$16,$F$17,$F$18,$E50,$F$20,S$22,$H50,$F$19)</f>
        <v>0</v>
      </c>
      <c r="T50" s="36">
        <f>_xll.DBRW($E$12,$F$16,$F$17,$F$18,$E50,$F$20,T$22,$H50,$F$19)</f>
        <v>0</v>
      </c>
      <c r="U50" s="36">
        <f>_xll.DBRW($E$12,$F$16,$F$17,$F$18,$E50,$F$20,U$22,$H50,$F$19)</f>
        <v>50</v>
      </c>
    </row>
    <row r="51" spans="4:21" s="37" customFormat="1" ht="15" outlineLevel="1" thickBot="1" x14ac:dyDescent="0.35">
      <c r="D51" s="33" t="str">
        <f>IF(_xll.TM1RPTELISCONSOLIDATED($H$34,$H51),IF(_xll.TM1RPTELLEV($H$34,$H51)&lt;=5,_xll.TM1RPTELLEV($H$34,$H51),"Default"),"Leaf")</f>
        <v>Leaf</v>
      </c>
      <c r="E51" s="42" t="s">
        <v>10</v>
      </c>
      <c r="F51" s="34" t="str">
        <f>_xll.DBR($B$18,$H51,"Account_Type")</f>
        <v>NON LABOR</v>
      </c>
      <c r="G51" s="34" t="str">
        <f>_xll.DBR($B$18,$H51,"Description")</f>
        <v>Employee Leased Vehicles</v>
      </c>
      <c r="H51" s="43" t="s">
        <v>27</v>
      </c>
      <c r="I51" s="36">
        <f>_xll.DBRW($E$12,$F$16,$F$17,$F$18,$E51,$F$20,I$22,$H51,$F$19)</f>
        <v>4350</v>
      </c>
      <c r="J51" s="36">
        <f>_xll.DBRW($E$12,$F$16,$F$17,$F$18,$E51,$F$20,J$22,$H51,$F$19)</f>
        <v>4350</v>
      </c>
      <c r="K51" s="36">
        <f>_xll.DBRW($E$12,$F$16,$F$17,$F$18,$E51,$F$20,K$22,$H51,$F$19)</f>
        <v>4350</v>
      </c>
      <c r="L51" s="36">
        <f>_xll.DBRW($E$12,$F$16,$F$17,$F$18,$E51,$F$20,L$22,$H51,$F$19)</f>
        <v>4350</v>
      </c>
      <c r="M51" s="36">
        <f>_xll.DBRW($E$12,$F$16,$F$17,$F$18,$E51,$F$20,M$22,$H51,$F$19)</f>
        <v>6050</v>
      </c>
      <c r="N51" s="36">
        <f>_xll.DBRW($E$12,$F$16,$F$17,$F$18,$E51,$F$20,N$22,$H51,$F$19)</f>
        <v>2650</v>
      </c>
      <c r="O51" s="36">
        <f>_xll.DBRW($E$12,$F$16,$F$17,$F$18,$E51,$F$20,O$22,$H51,$F$19)</f>
        <v>2650</v>
      </c>
      <c r="P51" s="36">
        <f>_xll.DBRW($E$12,$F$16,$F$17,$F$18,$E51,$F$20,P$22,$H51,$F$19)</f>
        <v>0</v>
      </c>
      <c r="Q51" s="36">
        <f>_xll.DBRW($E$12,$F$16,$F$17,$F$18,$E51,$F$20,Q$22,$H51,$F$19)</f>
        <v>0</v>
      </c>
      <c r="R51" s="36">
        <f>_xll.DBRW($E$12,$F$16,$F$17,$F$18,$E51,$F$20,R$22,$H51,$F$19)</f>
        <v>0</v>
      </c>
      <c r="S51" s="36">
        <f>_xll.DBRW($E$12,$F$16,$F$17,$F$18,$E51,$F$20,S$22,$H51,$F$19)</f>
        <v>0</v>
      </c>
      <c r="T51" s="36">
        <f>_xll.DBRW($E$12,$F$16,$F$17,$F$18,$E51,$F$20,T$22,$H51,$F$19)</f>
        <v>0</v>
      </c>
      <c r="U51" s="36">
        <f>_xll.DBRW($E$12,$F$16,$F$17,$F$18,$E51,$F$20,U$22,$H51,$F$19)</f>
        <v>28750</v>
      </c>
    </row>
    <row r="52" spans="4:21" s="37" customFormat="1" ht="15" outlineLevel="1" thickBot="1" x14ac:dyDescent="0.35">
      <c r="D52" s="33" t="str">
        <f>IF(_xll.TM1RPTELISCONSOLIDATED($H$34,$H52),IF(_xll.TM1RPTELLEV($H$34,$H52)&lt;=5,_xll.TM1RPTELLEV($H$34,$H52),"Default"),"Leaf")</f>
        <v>Leaf</v>
      </c>
      <c r="E52" s="42" t="s">
        <v>10</v>
      </c>
      <c r="F52" s="34" t="str">
        <f>_xll.DBR($B$18,$H52,"Account_Type")</f>
        <v>NON LABOR</v>
      </c>
      <c r="G52" s="34" t="str">
        <f>_xll.DBR($B$18,$H52,"Description")</f>
        <v>Fuel Purchases to Leased Vehicles</v>
      </c>
      <c r="H52" s="43" t="s">
        <v>28</v>
      </c>
      <c r="I52" s="36">
        <f>_xll.DBRW($E$12,$F$16,$F$17,$F$18,$E52,$F$20,I$22,$H52,$F$19)</f>
        <v>0</v>
      </c>
      <c r="J52" s="36">
        <f>_xll.DBRW($E$12,$F$16,$F$17,$F$18,$E52,$F$20,J$22,$H52,$F$19)</f>
        <v>111.14</v>
      </c>
      <c r="K52" s="36">
        <f>_xll.DBRW($E$12,$F$16,$F$17,$F$18,$E52,$F$20,K$22,$H52,$F$19)</f>
        <v>0</v>
      </c>
      <c r="L52" s="36">
        <f>_xll.DBRW($E$12,$F$16,$F$17,$F$18,$E52,$F$20,L$22,$H52,$F$19)</f>
        <v>238.38</v>
      </c>
      <c r="M52" s="36">
        <f>_xll.DBRW($E$12,$F$16,$F$17,$F$18,$E52,$F$20,M$22,$H52,$F$19)</f>
        <v>0</v>
      </c>
      <c r="N52" s="36">
        <f>_xll.DBRW($E$12,$F$16,$F$17,$F$18,$E52,$F$20,N$22,$H52,$F$19)</f>
        <v>0</v>
      </c>
      <c r="O52" s="36">
        <f>_xll.DBRW($E$12,$F$16,$F$17,$F$18,$E52,$F$20,O$22,$H52,$F$19)</f>
        <v>0</v>
      </c>
      <c r="P52" s="36">
        <f>_xll.DBRW($E$12,$F$16,$F$17,$F$18,$E52,$F$20,P$22,$H52,$F$19)</f>
        <v>0</v>
      </c>
      <c r="Q52" s="36">
        <f>_xll.DBRW($E$12,$F$16,$F$17,$F$18,$E52,$F$20,Q$22,$H52,$F$19)</f>
        <v>0</v>
      </c>
      <c r="R52" s="36">
        <f>_xll.DBRW($E$12,$F$16,$F$17,$F$18,$E52,$F$20,R$22,$H52,$F$19)</f>
        <v>0</v>
      </c>
      <c r="S52" s="36">
        <f>_xll.DBRW($E$12,$F$16,$F$17,$F$18,$E52,$F$20,S$22,$H52,$F$19)</f>
        <v>0</v>
      </c>
      <c r="T52" s="36">
        <f>_xll.DBRW($E$12,$F$16,$F$17,$F$18,$E52,$F$20,T$22,$H52,$F$19)</f>
        <v>0</v>
      </c>
      <c r="U52" s="36">
        <f>_xll.DBRW($E$12,$F$16,$F$17,$F$18,$E52,$F$20,U$22,$H52,$F$19)</f>
        <v>349.52</v>
      </c>
    </row>
    <row r="53" spans="4:21" s="37" customFormat="1" ht="15" outlineLevel="1" thickBot="1" x14ac:dyDescent="0.35">
      <c r="D53" s="33" t="str">
        <f>IF(_xll.TM1RPTELISCONSOLIDATED($H$34,$H53),IF(_xll.TM1RPTELLEV($H$34,$H53)&lt;=5,_xll.TM1RPTELLEV($H$34,$H53),"Default"),"Leaf")</f>
        <v>Leaf</v>
      </c>
      <c r="E53" s="42" t="s">
        <v>10</v>
      </c>
      <c r="F53" s="34" t="str">
        <f>_xll.DBR($B$18,$H53,"Account_Type")</f>
        <v>NON LABOR</v>
      </c>
      <c r="G53" s="34" t="str">
        <f>_xll.DBR($B$18,$H53,"Description")</f>
        <v>Fuel to Company Owned Equipment</v>
      </c>
      <c r="H53" s="43" t="s">
        <v>29</v>
      </c>
      <c r="I53" s="36">
        <f>_xll.DBRW($E$12,$F$16,$F$17,$F$18,$E53,$F$20,I$22,$H53,$F$19)</f>
        <v>83.8</v>
      </c>
      <c r="J53" s="36">
        <f>_xll.DBRW($E$12,$F$16,$F$17,$F$18,$E53,$F$20,J$22,$H53,$F$19)</f>
        <v>150.54</v>
      </c>
      <c r="K53" s="36">
        <f>_xll.DBRW($E$12,$F$16,$F$17,$F$18,$E53,$F$20,K$22,$H53,$F$19)</f>
        <v>71.37</v>
      </c>
      <c r="L53" s="36">
        <f>_xll.DBRW($E$12,$F$16,$F$17,$F$18,$E53,$F$20,L$22,$H53,$F$19)</f>
        <v>120.68</v>
      </c>
      <c r="M53" s="36">
        <f>_xll.DBRW($E$12,$F$16,$F$17,$F$18,$E53,$F$20,M$22,$H53,$F$19)</f>
        <v>127.01</v>
      </c>
      <c r="N53" s="36">
        <f>_xll.DBRW($E$12,$F$16,$F$17,$F$18,$E53,$F$20,N$22,$H53,$F$19)</f>
        <v>0</v>
      </c>
      <c r="O53" s="36">
        <f>_xll.DBRW($E$12,$F$16,$F$17,$F$18,$E53,$F$20,O$22,$H53,$F$19)</f>
        <v>0</v>
      </c>
      <c r="P53" s="36">
        <f>_xll.DBRW($E$12,$F$16,$F$17,$F$18,$E53,$F$20,P$22,$H53,$F$19)</f>
        <v>0</v>
      </c>
      <c r="Q53" s="36">
        <f>_xll.DBRW($E$12,$F$16,$F$17,$F$18,$E53,$F$20,Q$22,$H53,$F$19)</f>
        <v>0</v>
      </c>
      <c r="R53" s="36">
        <f>_xll.DBRW($E$12,$F$16,$F$17,$F$18,$E53,$F$20,R$22,$H53,$F$19)</f>
        <v>0</v>
      </c>
      <c r="S53" s="36">
        <f>_xll.DBRW($E$12,$F$16,$F$17,$F$18,$E53,$F$20,S$22,$H53,$F$19)</f>
        <v>0</v>
      </c>
      <c r="T53" s="36">
        <f>_xll.DBRW($E$12,$F$16,$F$17,$F$18,$E53,$F$20,T$22,$H53,$F$19)</f>
        <v>0</v>
      </c>
      <c r="U53" s="36">
        <f>_xll.DBRW($E$12,$F$16,$F$17,$F$18,$E53,$F$20,U$22,$H53,$F$19)</f>
        <v>553.4</v>
      </c>
    </row>
  </sheetData>
  <sheetProtection sheet="1" objects="1" scenarios="1"/>
  <mergeCells count="1">
    <mergeCell ref="E14:V14"/>
  </mergeCells>
  <conditionalFormatting sqref="I9:U9">
    <cfRule type="expression" dxfId="2" priority="3">
      <formula>MOD(ROW(),2)=0</formula>
    </cfRule>
  </conditionalFormatting>
  <conditionalFormatting sqref="I34:U53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ServerName</vt:lpstr>
      <vt:lpstr>Sheet1!TM1RPTDATARNG15695952</vt:lpstr>
      <vt:lpstr>Sheet1!TM1RPTFMTIDCOL15695952</vt:lpstr>
      <vt:lpstr>Sheet1!TM1RPTFMTRNG15695952</vt:lpstr>
      <vt:lpstr>Sheet1!TM1RPTQRYRNG15695952</vt:lpstr>
      <vt:lpstr>Sheet1!TM1RPTVIEWRNG15695952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kumar</dc:creator>
  <cp:lastModifiedBy>Anuj kumar</cp:lastModifiedBy>
  <dcterms:created xsi:type="dcterms:W3CDTF">2026-07-17T18:10:18Z</dcterms:created>
  <dcterms:modified xsi:type="dcterms:W3CDTF">2026-07-20T14:05:28Z</dcterms:modified>
</cp:coreProperties>
</file>