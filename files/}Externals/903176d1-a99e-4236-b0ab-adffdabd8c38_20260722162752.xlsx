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Resco\Report\New folder\07212026\"/>
    </mc:Choice>
  </mc:AlternateContent>
  <xr:revisionPtr revIDLastSave="0" documentId="8_{5B25F54C-0A59-49B4-8B04-20252346050E}" xr6:coauthVersionLast="47" xr6:coauthVersionMax="47" xr10:uidLastSave="{00000000-0000-0000-0000-000000000000}"/>
  <bookViews>
    <workbookView xWindow="-108" yWindow="-108" windowWidth="23256" windowHeight="12576" firstSheet="1" activeTab="1" xr2:uid="{07A53D07-0E60-4F38-A1C9-C6B7F5025BD6}"/>
  </bookViews>
  <sheets>
    <sheet name="Cognos_Office_Connection_Cache" sheetId="2" state="veryHidden" r:id="rId1"/>
    <sheet name="Sheet1" sheetId="1" r:id="rId2"/>
  </sheets>
  <definedNames>
    <definedName name="cafe_validation_temp" hidden="1">Cognos_Office_Connection_Cache!$B$2:$B$34</definedName>
    <definedName name="ID" localSheetId="0" hidden="1">"0a46fe86-20d4-4f37-b9e0-751f8f0debcf"</definedName>
    <definedName name="ID" localSheetId="1" hidden="1">"ba0a3f79-d98a-4e33-a652-724c8fb6cb22"</definedName>
    <definedName name="Server">Sheet1!$A$17</definedName>
    <definedName name="ServerName">Sheet1!$A$17</definedName>
    <definedName name="TM1RPTDATARNG15695952" localSheetId="1">Sheet1!$35:$36</definedName>
    <definedName name="TM1RPTFMTIDCOL15695952" localSheetId="1">Sheet1!$D$1:$D$10</definedName>
    <definedName name="TM1RPTFMTRNG15695952" localSheetId="1">Sheet1!$E$1:$T$10</definedName>
    <definedName name="TM1RPTQRYRNG15695952" localSheetId="1">Sheet1!$E$11:$H$11</definedName>
    <definedName name="TM1RPTVIEWRNG15695952" localSheetId="1">Sheet1!$E$12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4" i="1" l="1"/>
  <c r="I34" i="1"/>
  <c r="J34" i="1"/>
  <c r="K34" i="1"/>
  <c r="L34" i="1"/>
  <c r="M34" i="1"/>
  <c r="N34" i="1"/>
  <c r="O34" i="1"/>
  <c r="P34" i="1"/>
  <c r="Q34" i="1"/>
  <c r="R34" i="1"/>
  <c r="H34" i="1"/>
  <c r="F19" i="1"/>
  <c r="F18" i="1"/>
  <c r="F17" i="1"/>
  <c r="F16" i="1"/>
  <c r="A17" i="1"/>
  <c r="D35" i="1"/>
  <c r="D36" i="1"/>
  <c r="B31" i="1" l="1"/>
  <c r="B19" i="1"/>
  <c r="B28" i="1"/>
  <c r="B21" i="1"/>
  <c r="B29" i="1"/>
  <c r="B22" i="1"/>
  <c r="B30" i="1"/>
  <c r="B23" i="1"/>
  <c r="B18" i="1"/>
  <c r="B24" i="1"/>
  <c r="B25" i="1"/>
  <c r="B27" i="1"/>
  <c r="B26" i="1"/>
  <c r="E12" i="1"/>
  <c r="F23" i="1"/>
  <c r="F22" i="1"/>
  <c r="F20" i="1"/>
  <c r="F36" i="1"/>
  <c r="E36" i="1"/>
  <c r="G18" i="1" l="1"/>
  <c r="G17" i="1"/>
  <c r="T34" i="1"/>
  <c r="S24" i="1"/>
  <c r="K24" i="1"/>
  <c r="R24" i="1"/>
  <c r="J24" i="1"/>
  <c r="Q24" i="1"/>
  <c r="I24" i="1"/>
  <c r="P24" i="1"/>
  <c r="H24" i="1"/>
  <c r="O24" i="1"/>
  <c r="N24" i="1"/>
  <c r="M24" i="1"/>
  <c r="L24" i="1"/>
  <c r="F21" i="1"/>
  <c r="G35" i="1"/>
  <c r="E35" i="1" s="1"/>
  <c r="F35" i="1"/>
  <c r="I35" i="1"/>
  <c r="P36" i="1"/>
  <c r="R36" i="1"/>
  <c r="Q35" i="1"/>
  <c r="R35" i="1"/>
  <c r="K35" i="1"/>
  <c r="Q36" i="1"/>
  <c r="L35" i="1"/>
  <c r="O36" i="1"/>
  <c r="J35" i="1"/>
  <c r="T35" i="1"/>
  <c r="S35" i="1"/>
  <c r="T36" i="1"/>
  <c r="I36" i="1"/>
  <c r="H36" i="1"/>
  <c r="P35" i="1"/>
  <c r="H35" i="1"/>
  <c r="L36" i="1"/>
  <c r="S36" i="1"/>
  <c r="O35" i="1"/>
  <c r="J36" i="1"/>
  <c r="K36" i="1"/>
  <c r="M36" i="1"/>
  <c r="N35" i="1"/>
  <c r="N36" i="1"/>
  <c r="M35" i="1"/>
</calcChain>
</file>

<file path=xl/sharedStrings.xml><?xml version="1.0" encoding="utf-8"?>
<sst xmlns="http://schemas.openxmlformats.org/spreadsheetml/2006/main" count="101" uniqueCount="73">
  <si>
    <t>[Begin Format Range]</t>
  </si>
  <si>
    <t>Default</t>
  </si>
  <si>
    <t>Leaf</t>
  </si>
  <si>
    <t>[End Format Range]</t>
  </si>
  <si>
    <t>Element Name</t>
  </si>
  <si>
    <t>Version</t>
  </si>
  <si>
    <t>Currency</t>
  </si>
  <si>
    <t>Company</t>
  </si>
  <si>
    <t>Measure</t>
  </si>
  <si>
    <t>FY-2026</t>
  </si>
  <si>
    <t>Location</t>
  </si>
  <si>
    <t>Years</t>
  </si>
  <si>
    <t>}ElementAttributes_Account</t>
  </si>
  <si>
    <t>Account</t>
  </si>
  <si>
    <t>Division</t>
  </si>
  <si>
    <t>Fiscal_Year</t>
  </si>
  <si>
    <t>}ElementAttributes_Division</t>
  </si>
  <si>
    <t>}ElementAttributes_Department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</si>
  <si>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</si>
  <si>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</si>
  <si>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</si>
  <si>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</si>
  <si>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</si>
  <si>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</si>
  <si>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</si>
  <si>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</si>
  <si>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</si>
  <si>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</si>
  <si>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</si>
  <si>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</si>
  <si>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Labor / Non-Labor</t>
  </si>
  <si>
    <t>Cost Description</t>
  </si>
  <si>
    <t>GL Number</t>
  </si>
  <si>
    <t>Overhead Non-Labor Actual</t>
  </si>
  <si>
    <t>Account_Type</t>
  </si>
  <si>
    <t>Labor / Non Labor</t>
  </si>
  <si>
    <t>Division / Department</t>
  </si>
  <si>
    <t>Division_Department</t>
  </si>
  <si>
    <t>PROJECT FINANCE</t>
  </si>
  <si>
    <t>RIGGING HAULING</t>
  </si>
  <si>
    <t>CORP MGT</t>
  </si>
  <si>
    <t>OTHER</t>
  </si>
  <si>
    <t>FABRICATION</t>
  </si>
  <si>
    <t>HWYTRKMAT</t>
  </si>
  <si>
    <t>INDUSTRIAL</t>
  </si>
  <si>
    <t>HR</t>
  </si>
  <si>
    <t>IT</t>
  </si>
  <si>
    <t>ESTIMATING</t>
  </si>
  <si>
    <t>LEGAL</t>
  </si>
  <si>
    <t>TOOLROOM</t>
  </si>
  <si>
    <t>TANK</t>
  </si>
  <si>
    <t>PIPELINE</t>
  </si>
  <si>
    <t>OFFSHORE</t>
  </si>
  <si>
    <t>PERSONNEL</t>
  </si>
  <si>
    <t>IE</t>
  </si>
  <si>
    <t>SCAFFOLDING</t>
  </si>
  <si>
    <t>INTERNAL EQUIP</t>
  </si>
  <si>
    <t>TURNAROUND</t>
  </si>
  <si>
    <t>INVEST RECOVERY</t>
  </si>
  <si>
    <t>PURCHASING</t>
  </si>
  <si>
    <t>REDFISH BAY</t>
  </si>
  <si>
    <t>ACCOUNTING</t>
  </si>
  <si>
    <t>DOCK</t>
  </si>
  <si>
    <t>BUS DEVELOP</t>
  </si>
  <si>
    <t>QAQC</t>
  </si>
  <si>
    <t>INTERNAL AUDIT</t>
  </si>
  <si>
    <t>PMO</t>
  </si>
  <si>
    <t>PROJECT CONTROLS</t>
  </si>
  <si>
    <t>BI</t>
  </si>
  <si>
    <t>SAFETY</t>
  </si>
  <si>
    <t>MANAGEMENTADMIN</t>
  </si>
  <si>
    <t>641077197000000</t>
  </si>
  <si>
    <t>[85c9af0f-7c80-467b-8ae3-e42feb019961_20260722130210.xlsx]Sheet1'!F20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</si>
</sst>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10"/>
      <color rgb="FF165D81"/>
      <name val="Arial"/>
      <family val="2"/>
    </font>
    <font>
      <b/>
      <sz val="9"/>
      <color theme="1" tint="0.24994659260841701"/>
      <name val="Arial"/>
      <family val="2"/>
    </font>
    <font>
      <sz val="24"/>
      <color rgb="FF185EB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76">
    <xf numFmtId="0" fontId="0" fillId="0" borderId="0"/>
    <xf numFmtId="0" fontId="3" fillId="0" borderId="1" applyNumberFormat="0" applyFill="0" applyProtection="0">
      <alignment horizontal="center" vertical="center"/>
    </xf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>
      <alignment horizontal="right" vertical="center"/>
    </xf>
    <xf numFmtId="3" fontId="4" fillId="2" borderId="2">
      <alignment horizontal="center" vertical="center"/>
    </xf>
    <xf numFmtId="0" fontId="4" fillId="2" borderId="2">
      <alignment horizontal="right" vertical="center"/>
    </xf>
    <xf numFmtId="0" fontId="3" fillId="0" borderId="3">
      <alignment horizontal="left" vertical="center"/>
    </xf>
    <xf numFmtId="0" fontId="3" fillId="0" borderId="4">
      <alignment horizontal="center" vertical="center"/>
    </xf>
    <xf numFmtId="0" fontId="5" fillId="0" borderId="5">
      <alignment horizontal="center" vertical="center"/>
    </xf>
    <xf numFmtId="0" fontId="4" fillId="3" borderId="2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4">
      <alignment horizontal="center" vertical="center"/>
    </xf>
    <xf numFmtId="0" fontId="3" fillId="0" borderId="4">
      <alignment horizontal="center" vertical="center"/>
    </xf>
    <xf numFmtId="3" fontId="4" fillId="0" borderId="2" applyFill="0" applyAlignment="0" applyProtection="0"/>
    <xf numFmtId="0" fontId="4" fillId="0" borderId="2" applyFill="0" applyAlignment="0" applyProtection="0"/>
    <xf numFmtId="3" fontId="3" fillId="4" borderId="6" applyNumberFormat="0" applyFont="0" applyAlignment="0" applyProtection="0"/>
    <xf numFmtId="0" fontId="1" fillId="5" borderId="7" applyNumberFormat="0" applyFont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3">
      <alignment horizontal="left" vertical="center"/>
    </xf>
    <xf numFmtId="3" fontId="3" fillId="0" borderId="1" applyFill="0" applyAlignment="0" applyProtection="0"/>
    <xf numFmtId="3" fontId="6" fillId="0" borderId="2"/>
    <xf numFmtId="3" fontId="7" fillId="0" borderId="2"/>
    <xf numFmtId="0" fontId="3" fillId="0" borderId="4">
      <alignment horizontal="left" vertical="top"/>
    </xf>
    <xf numFmtId="0" fontId="8" fillId="0" borderId="2"/>
    <xf numFmtId="0" fontId="3" fillId="0" borderId="4">
      <alignment horizontal="left" vertical="center"/>
    </xf>
    <xf numFmtId="0" fontId="4" fillId="2" borderId="8"/>
    <xf numFmtId="3" fontId="4" fillId="0" borderId="2">
      <alignment horizontal="right" vertical="center"/>
    </xf>
    <xf numFmtId="0" fontId="3" fillId="0" borderId="4">
      <alignment horizontal="right" vertical="center"/>
    </xf>
    <xf numFmtId="0" fontId="4" fillId="0" borderId="5">
      <alignment horizontal="center" vertical="center"/>
    </xf>
    <xf numFmtId="3" fontId="4" fillId="0" borderId="2"/>
    <xf numFmtId="3" fontId="4" fillId="0" borderId="2"/>
    <xf numFmtId="0" fontId="4" fillId="0" borderId="5">
      <alignment horizontal="center" vertical="center" wrapText="1"/>
    </xf>
    <xf numFmtId="0" fontId="9" fillId="0" borderId="5">
      <alignment horizontal="left" vertical="center" indent="1"/>
    </xf>
    <xf numFmtId="0" fontId="10" fillId="0" borderId="2"/>
    <xf numFmtId="0" fontId="3" fillId="0" borderId="3">
      <alignment horizontal="left" vertical="center"/>
    </xf>
    <xf numFmtId="3" fontId="4" fillId="0" borderId="2">
      <alignment horizontal="center" vertical="center"/>
    </xf>
    <xf numFmtId="0" fontId="3" fillId="0" borderId="4">
      <alignment horizontal="center" vertical="center"/>
    </xf>
    <xf numFmtId="0" fontId="3" fillId="0" borderId="4">
      <alignment horizontal="center" vertical="center"/>
    </xf>
    <xf numFmtId="0" fontId="3" fillId="0" borderId="3">
      <alignment horizontal="left" vertical="center"/>
    </xf>
    <xf numFmtId="0" fontId="3" fillId="0" borderId="3">
      <alignment horizontal="left" vertical="center"/>
    </xf>
    <xf numFmtId="0" fontId="11" fillId="0" borderId="2"/>
  </cellStyleXfs>
  <cellXfs count="53">
    <xf numFmtId="0" fontId="0" fillId="0" borderId="0" xfId="0"/>
    <xf numFmtId="0" fontId="0" fillId="0" borderId="0" xfId="0" quotePrefix="1"/>
    <xf numFmtId="0" fontId="0" fillId="6" borderId="0" xfId="0" quotePrefix="1" applyFill="1"/>
    <xf numFmtId="0" fontId="0" fillId="6" borderId="0" xfId="0" applyFill="1"/>
    <xf numFmtId="0" fontId="4" fillId="6" borderId="0" xfId="19" applyNumberFormat="1" applyFill="1"/>
    <xf numFmtId="0" fontId="3" fillId="6" borderId="1" xfId="11" applyNumberFormat="1" applyFill="1"/>
    <xf numFmtId="3" fontId="4" fillId="6" borderId="12" xfId="3" applyFill="1" applyBorder="1"/>
    <xf numFmtId="0" fontId="4" fillId="6" borderId="0" xfId="20" applyNumberFormat="1" applyFill="1"/>
    <xf numFmtId="0" fontId="3" fillId="6" borderId="1" xfId="12" applyNumberFormat="1" applyFill="1"/>
    <xf numFmtId="3" fontId="4" fillId="6" borderId="12" xfId="4" applyFill="1" applyBorder="1"/>
    <xf numFmtId="0" fontId="4" fillId="6" borderId="0" xfId="21" applyNumberFormat="1" applyFill="1"/>
    <xf numFmtId="0" fontId="3" fillId="6" borderId="1" xfId="13" applyNumberFormat="1" applyFill="1"/>
    <xf numFmtId="3" fontId="4" fillId="6" borderId="12" xfId="5" applyFill="1" applyBorder="1"/>
    <xf numFmtId="0" fontId="4" fillId="6" borderId="0" xfId="22" applyNumberFormat="1" applyFill="1"/>
    <xf numFmtId="0" fontId="3" fillId="6" borderId="1" xfId="14" applyNumberFormat="1" applyFill="1"/>
    <xf numFmtId="3" fontId="4" fillId="6" borderId="12" xfId="6" applyFill="1" applyBorder="1"/>
    <xf numFmtId="0" fontId="4" fillId="6" borderId="0" xfId="23" applyNumberFormat="1" applyFill="1" applyBorder="1"/>
    <xf numFmtId="0" fontId="3" fillId="6" borderId="1" xfId="15" applyNumberFormat="1" applyFill="1"/>
    <xf numFmtId="3" fontId="4" fillId="6" borderId="12" xfId="7" applyFill="1" applyBorder="1"/>
    <xf numFmtId="0" fontId="4" fillId="6" borderId="0" xfId="24" applyNumberFormat="1" applyFill="1" applyBorder="1"/>
    <xf numFmtId="0" fontId="3" fillId="6" borderId="1" xfId="16" applyNumberFormat="1" applyFill="1"/>
    <xf numFmtId="3" fontId="4" fillId="6" borderId="12" xfId="8" applyFill="1" applyBorder="1"/>
    <xf numFmtId="0" fontId="4" fillId="6" borderId="0" xfId="18" quotePrefix="1" applyNumberFormat="1" applyFill="1"/>
    <xf numFmtId="0" fontId="3" fillId="6" borderId="1" xfId="10" applyNumberFormat="1" applyFill="1"/>
    <xf numFmtId="3" fontId="4" fillId="6" borderId="12" xfId="2" applyFill="1" applyBorder="1"/>
    <xf numFmtId="0" fontId="4" fillId="6" borderId="0" xfId="18" applyNumberFormat="1" applyFill="1"/>
    <xf numFmtId="0" fontId="4" fillId="6" borderId="0" xfId="25" quotePrefix="1" applyNumberFormat="1" applyFill="1" applyBorder="1"/>
    <xf numFmtId="0" fontId="12" fillId="6" borderId="1" xfId="17" applyNumberFormat="1" applyFont="1" applyFill="1" applyAlignment="1" applyProtection="1">
      <alignment horizontal="left" vertical="center"/>
    </xf>
    <xf numFmtId="2" fontId="13" fillId="6" borderId="12" xfId="9" applyNumberFormat="1" applyFont="1" applyFill="1" applyBorder="1" applyAlignment="1" applyProtection="1">
      <alignment horizontal="right" vertical="center"/>
      <protection locked="0"/>
    </xf>
    <xf numFmtId="0" fontId="4" fillId="6" borderId="0" xfId="25" applyNumberFormat="1" applyFill="1" applyBorder="1"/>
    <xf numFmtId="0" fontId="4" fillId="6" borderId="2" xfId="26" applyFill="1"/>
    <xf numFmtId="0" fontId="3" fillId="6" borderId="1" xfId="1" quotePrefix="1" applyFill="1">
      <alignment horizontal="center" vertical="center"/>
    </xf>
    <xf numFmtId="49" fontId="12" fillId="6" borderId="1" xfId="17" applyNumberFormat="1" applyFont="1" applyFill="1" applyAlignment="1" applyProtection="1">
      <alignment horizontal="left" vertical="center"/>
    </xf>
    <xf numFmtId="0" fontId="2" fillId="7" borderId="0" xfId="0" applyFont="1" applyFill="1" applyAlignment="1">
      <alignment horizontal="left" vertical="center"/>
    </xf>
    <xf numFmtId="0" fontId="4" fillId="6" borderId="2" xfId="26" quotePrefix="1" applyFill="1"/>
    <xf numFmtId="0" fontId="4" fillId="0" borderId="0" xfId="19" applyNumberFormat="1"/>
    <xf numFmtId="0" fontId="4" fillId="0" borderId="0" xfId="20" applyNumberFormat="1"/>
    <xf numFmtId="0" fontId="4" fillId="0" borderId="0" xfId="21" applyNumberFormat="1"/>
    <xf numFmtId="0" fontId="4" fillId="0" borderId="0" xfId="22" applyNumberFormat="1"/>
    <xf numFmtId="0" fontId="4" fillId="0" borderId="0" xfId="23" applyNumberFormat="1" applyBorder="1"/>
    <xf numFmtId="0" fontId="4" fillId="0" borderId="0" xfId="24" applyNumberFormat="1" applyBorder="1"/>
    <xf numFmtId="0" fontId="4" fillId="0" borderId="0" xfId="18" applyNumberFormat="1"/>
    <xf numFmtId="0" fontId="4" fillId="0" borderId="0" xfId="25" applyNumberFormat="1" applyBorder="1"/>
    <xf numFmtId="0" fontId="4" fillId="7" borderId="9" xfId="27" quotePrefix="1" applyFill="1" applyBorder="1" applyProtection="1"/>
    <xf numFmtId="0" fontId="4" fillId="6" borderId="9" xfId="27" quotePrefix="1" applyFill="1" applyBorder="1" applyProtection="1"/>
    <xf numFmtId="0" fontId="4" fillId="6" borderId="0" xfId="26" applyFill="1" applyBorder="1" applyProtection="1"/>
    <xf numFmtId="0" fontId="2" fillId="7" borderId="0" xfId="0" applyFont="1" applyFill="1"/>
    <xf numFmtId="0" fontId="3" fillId="6" borderId="1" xfId="10" applyNumberFormat="1" applyFill="1" applyAlignment="1">
      <alignment horizontal="left" vertical="top" wrapText="1"/>
    </xf>
    <xf numFmtId="0" fontId="12" fillId="6" borderId="1" xfId="17" applyNumberFormat="1" applyFont="1" applyFill="1" applyAlignment="1" applyProtection="1">
      <alignment horizontal="left" vertical="top" wrapText="1"/>
    </xf>
    <xf numFmtId="0" fontId="14" fillId="6" borderId="13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2" fillId="7" borderId="0" xfId="0" applyFont="1" applyFill="1" applyProtection="1"/>
  </cellXfs>
  <cellStyles count="76">
    <cellStyle name="AF Column - IBM Cognos" xfId="1" xr:uid="{54177081-91C8-4000-89E9-53A6CEAE0B36}"/>
    <cellStyle name="AF Data - IBM Cognos" xfId="2" xr:uid="{EC9C888A-E726-4C9D-B21E-652E11EE21AC}"/>
    <cellStyle name="AF Data 0 - IBM Cognos" xfId="3" xr:uid="{00ED10A7-087C-47ED-8EC5-87CFC5A8C6E8}"/>
    <cellStyle name="AF Data 1 - IBM Cognos" xfId="4" xr:uid="{FA438EB4-29F1-4C46-A327-0388E61AA7E8}"/>
    <cellStyle name="AF Data 2 - IBM Cognos" xfId="5" xr:uid="{6B293F2F-EDD3-41C4-A7D7-B14058131EC8}"/>
    <cellStyle name="AF Data 3 - IBM Cognos" xfId="6" xr:uid="{F6690BFE-0DEA-4E48-AE00-7369FA08ABA9}"/>
    <cellStyle name="AF Data 4 - IBM Cognos" xfId="7" xr:uid="{E7CE3592-4A79-45BD-8B49-4937C4B210E3}"/>
    <cellStyle name="AF Data 5 - IBM Cognos" xfId="8" xr:uid="{C9620F9B-F689-4B7B-AD89-0A47C22A004E}"/>
    <cellStyle name="AF Data Leaf - IBM Cognos" xfId="9" xr:uid="{D78C757F-DDBE-4E48-9865-ABDF76221D79}"/>
    <cellStyle name="AF Header - IBM Cognos" xfId="10" xr:uid="{F65E0D79-87FE-4B40-B388-1B52943EFEB1}"/>
    <cellStyle name="AF Header 0 - IBM Cognos" xfId="11" xr:uid="{24B548A7-6684-496E-AC64-B5912661C00A}"/>
    <cellStyle name="AF Header 1 - IBM Cognos" xfId="12" xr:uid="{4B9D6820-535B-4790-9A39-7DD330DE90F2}"/>
    <cellStyle name="AF Header 2 - IBM Cognos" xfId="13" xr:uid="{611153B9-D60F-42D7-A6A1-181CD581D514}"/>
    <cellStyle name="AF Header 3 - IBM Cognos" xfId="14" xr:uid="{C413968C-ABB3-4A5A-A6BF-A802A99D4255}"/>
    <cellStyle name="AF Header 4 - IBM Cognos" xfId="15" xr:uid="{62D4F187-7C57-4501-9962-0A5ED17B772E}"/>
    <cellStyle name="AF Header 5 - IBM Cognos" xfId="16" xr:uid="{4B307FF7-DCAA-40EB-9CD4-2D9DEBC6634F}"/>
    <cellStyle name="AF Header Leaf - IBM Cognos" xfId="17" xr:uid="{60B6C62C-0D1B-417B-AA29-CE1788EA0DC0}"/>
    <cellStyle name="AF Row - IBM Cognos" xfId="18" xr:uid="{B5D53FD0-A36A-46FA-B2E5-AAE3606B6288}"/>
    <cellStyle name="AF Row 0 - IBM Cognos" xfId="19" xr:uid="{019C0DED-8164-4056-9194-C94AC57371B7}"/>
    <cellStyle name="AF Row 1 - IBM Cognos" xfId="20" xr:uid="{DE331D57-8810-4E10-80DB-02366D9D2BD2}"/>
    <cellStyle name="AF Row 2 - IBM Cognos" xfId="21" xr:uid="{56C979DA-08A3-465E-AF06-9BD426E8F86A}"/>
    <cellStyle name="AF Row 3 - IBM Cognos" xfId="22" xr:uid="{F0F0948C-C473-400C-AB55-E5C02708BECB}"/>
    <cellStyle name="AF Row 4 - IBM Cognos" xfId="23" xr:uid="{E57A0FF9-5D34-472B-9145-A941212EF1B6}"/>
    <cellStyle name="AF Row 5 - IBM Cognos" xfId="24" xr:uid="{DACC6854-E2F8-4F52-B813-509B84761475}"/>
    <cellStyle name="AF Row Leaf - IBM Cognos" xfId="25" xr:uid="{E6B708BB-CB54-4BF0-B028-FE8CD3CE737C}"/>
    <cellStyle name="AF Subnm - IBM Cognos" xfId="26" xr:uid="{D5A941B3-0B77-4EE8-898D-3A66958D5C22}"/>
    <cellStyle name="AF Title - IBM Cognos" xfId="27" xr:uid="{EFCCD55A-F486-438A-8E94-829DB0CE974D}"/>
    <cellStyle name="Calculated Column - IBM Cognos" xfId="28" xr:uid="{66E56143-297C-475F-95F2-DE4DE60C23AD}"/>
    <cellStyle name="Calculated Column Name - IBM Cognos" xfId="29" xr:uid="{3F92C85F-4622-47E8-A00D-D1239DCE187D}"/>
    <cellStyle name="Calculated Row - IBM Cognos" xfId="30" xr:uid="{B9F6126D-18DD-471F-8398-BE921473B4A8}"/>
    <cellStyle name="Calculated Row Name - IBM Cognos" xfId="31" xr:uid="{1B2AB41E-9141-436E-A451-A84957D22C43}"/>
    <cellStyle name="Column Name - IBM Cognos" xfId="32" xr:uid="{FA393DC6-BB3E-49DA-A68F-2C63CB7F05B7}"/>
    <cellStyle name="Column Template - IBM Cognos" xfId="33" xr:uid="{D5FCFDF4-E11A-46A0-8900-E249F4172F96}"/>
    <cellStyle name="Differs From Base - IBM Cognos" xfId="34" xr:uid="{314AF555-6D01-4575-B8E3-7E46058D7E99}"/>
    <cellStyle name="DQR Column 0 - IBM Cognos" xfId="35" xr:uid="{5ED00E28-DC74-4C5C-A5BF-96658DC676E8}"/>
    <cellStyle name="DQR Column 1 - IBM Cognos" xfId="36" xr:uid="{9DCB1CD0-5ABF-4A26-B4AC-3A7B8ED73608}"/>
    <cellStyle name="DQR Column 2 - IBM Cognos" xfId="37" xr:uid="{4612B796-1E86-466E-9EAB-EC3926803C0B}"/>
    <cellStyle name="DQR Column 3 - IBM Cognos" xfId="38" xr:uid="{3E0E3703-4CD8-45CE-9404-7452CF934492}"/>
    <cellStyle name="DQR Column 4 - IBM Cognos" xfId="39" xr:uid="{5E3B981B-C8F5-425D-8C49-72855F7BA740}"/>
    <cellStyle name="DQR Column 5 - IBM Cognos" xfId="40" xr:uid="{FCC056A0-D071-49D0-86C0-938BE95B3902}"/>
    <cellStyle name="DQR Column Default - IBM Cognos" xfId="41" xr:uid="{A254810B-8895-4DB8-BB07-4AFE46648065}"/>
    <cellStyle name="DQR Column Leaf - IBM Cognos" xfId="42" xr:uid="{BB618627-6198-4ADF-B531-9B580DA6EE34}"/>
    <cellStyle name="DQR Data Default - IBM Cognos" xfId="43" xr:uid="{5FDF8CFD-4CA5-4C28-9FE2-6E5265AF0F11}"/>
    <cellStyle name="DQR Default - IBM Cognos" xfId="44" xr:uid="{4130BA62-F91F-4F12-8433-5CE822D12632}"/>
    <cellStyle name="DQR Gutter Default - IBM Cognos" xfId="45" xr:uid="{BF7BFDA7-F57C-405E-B7F4-5A3E28238444}"/>
    <cellStyle name="DQR Gutter Default (OFF) - IBM Cognos" xfId="46" xr:uid="{6DA0A432-73BF-4152-9EF2-5524A71CAF3E}"/>
    <cellStyle name="DQR Row 0 - IBM Cognos" xfId="47" xr:uid="{02E6AAB8-D334-4AC1-9763-7C5207236F21}"/>
    <cellStyle name="DQR Row 1 - IBM Cognos" xfId="48" xr:uid="{462E7F63-2B29-4802-B874-C0363EDCB86B}"/>
    <cellStyle name="DQR Row 2 - IBM Cognos" xfId="49" xr:uid="{6100BC2C-463B-4D89-A5B4-37ED941EC923}"/>
    <cellStyle name="DQR Row 3 - IBM Cognos" xfId="50" xr:uid="{A64CEBCB-0241-4FC4-9082-E28C0CB4CC3D}"/>
    <cellStyle name="DQR Row 4 - IBM Cognos" xfId="51" xr:uid="{5C0061B3-9397-434F-863D-D86EC53106DF}"/>
    <cellStyle name="DQR Row 5 - IBM Cognos" xfId="52" xr:uid="{D81D2A9F-2F4F-4BBB-BA69-490E62FD3C82}"/>
    <cellStyle name="DQR Row Default - IBM Cognos" xfId="53" xr:uid="{0C704675-2CA1-4AB5-AF35-948182DC1D7E}"/>
    <cellStyle name="DQR Row Leaf - IBM Cognos" xfId="54" xr:uid="{01222773-0077-4F52-949A-AF99DE3A9B58}"/>
    <cellStyle name="Edit - IBM Cognos" xfId="55" xr:uid="{66E46CE0-B229-4690-A2E6-75A62EA0544A}"/>
    <cellStyle name="Formula - IBM Cognos" xfId="56" xr:uid="{8845A77D-E858-434B-8724-4CB8590DB6AD}"/>
    <cellStyle name="Group Name - IBM Cognos" xfId="57" xr:uid="{5A43E269-8B24-4B20-9882-B83501ABDB4D}"/>
    <cellStyle name="Hold Values - IBM Cognos" xfId="58" xr:uid="{491696BC-3A78-43F7-A502-E6B165ACD01E}"/>
    <cellStyle name="List Name - IBM Cognos" xfId="59" xr:uid="{212F00C9-796A-45DA-8D62-38E799DFB25D}"/>
    <cellStyle name="Locked - IBM Cognos" xfId="60" xr:uid="{A855D940-F267-4928-8548-EFB9BF848D18}"/>
    <cellStyle name="Measure - IBM Cognos" xfId="61" xr:uid="{EB735063-18FA-485E-9DD8-B58FE9E6BD80}"/>
    <cellStyle name="Measure Header - IBM Cognos" xfId="62" xr:uid="{51D24CE1-F377-4720-A485-969CD0E5B15C}"/>
    <cellStyle name="Measure Name - IBM Cognos" xfId="63" xr:uid="{F2BDEA27-9FCE-4FFB-A6BB-EE9C99E464C7}"/>
    <cellStyle name="Measure Summary - IBM Cognos" xfId="64" xr:uid="{0027C930-5876-41AB-81B3-A4843C5A9FC2}"/>
    <cellStyle name="Measure Summary TM1 - IBM Cognos" xfId="65" xr:uid="{E89ECD83-67FA-4A55-B062-41282A34F267}"/>
    <cellStyle name="Measure Template - IBM Cognos" xfId="66" xr:uid="{862608F4-FDA0-42D3-95E2-77287DBFCD0C}"/>
    <cellStyle name="More - IBM Cognos" xfId="67" xr:uid="{06127155-61A1-4E65-9783-74709FA9581C}"/>
    <cellStyle name="Normal" xfId="0" builtinId="0" customBuiltin="1"/>
    <cellStyle name="Pending Change - IBM Cognos" xfId="68" xr:uid="{ADB9794F-DCCF-4B57-91AB-DF87788BF2AE}"/>
    <cellStyle name="Row Name - IBM Cognos" xfId="69" xr:uid="{FAC4AC6B-A20F-4142-8A7A-DF154FA25473}"/>
    <cellStyle name="Row Template - IBM Cognos" xfId="70" xr:uid="{5EFA0C04-63D3-4811-8758-2E1AD12159A1}"/>
    <cellStyle name="Summary Column Name - IBM Cognos" xfId="71" xr:uid="{0B3B8BF4-E275-41CE-83DF-86EA6573D89F}"/>
    <cellStyle name="Summary Column Name TM1 - IBM Cognos" xfId="72" xr:uid="{3E3F9451-E6F0-4576-9B01-FEA6D3D87E38}"/>
    <cellStyle name="Summary Row Name - IBM Cognos" xfId="73" xr:uid="{FD44B661-9ECF-40EF-BC13-3ED2423C0CC3}"/>
    <cellStyle name="Summary Row Name TM1 - IBM Cognos" xfId="74" xr:uid="{C99BC60A-1051-4CF3-A5F1-23CB5EDF56C2}"/>
    <cellStyle name="Unsaved Change - IBM Cognos" xfId="75" xr:uid="{1E7A470D-B559-4B13-86B1-B2446B30AEB3}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372D-6AE5-47AA-8B93-E90E096B920E}">
  <dimension ref="B1:B34"/>
  <sheetViews>
    <sheetView workbookViewId="0"/>
  </sheetViews>
  <sheetFormatPr defaultRowHeight="14.4" x14ac:dyDescent="0.3"/>
  <sheetData>
    <row r="1" spans="2:2" x14ac:dyDescent="0.3">
      <c r="B1" s="1" t="s">
        <v>72</v>
      </c>
    </row>
    <row r="2" spans="2:2" x14ac:dyDescent="0.3">
      <c r="B2" s="1" t="s">
        <v>38</v>
      </c>
    </row>
    <row r="3" spans="2:2" x14ac:dyDescent="0.3">
      <c r="B3" s="1" t="s">
        <v>39</v>
      </c>
    </row>
    <row r="4" spans="2:2" x14ac:dyDescent="0.3">
      <c r="B4" s="1" t="s">
        <v>40</v>
      </c>
    </row>
    <row r="5" spans="2:2" x14ac:dyDescent="0.3">
      <c r="B5" s="1" t="s">
        <v>41</v>
      </c>
    </row>
    <row r="6" spans="2:2" x14ac:dyDescent="0.3">
      <c r="B6" s="1" t="s">
        <v>42</v>
      </c>
    </row>
    <row r="7" spans="2:2" x14ac:dyDescent="0.3">
      <c r="B7" s="1" t="s">
        <v>43</v>
      </c>
    </row>
    <row r="8" spans="2:2" x14ac:dyDescent="0.3">
      <c r="B8" s="1" t="s">
        <v>44</v>
      </c>
    </row>
    <row r="9" spans="2:2" x14ac:dyDescent="0.3">
      <c r="B9" s="1" t="s">
        <v>45</v>
      </c>
    </row>
    <row r="10" spans="2:2" x14ac:dyDescent="0.3">
      <c r="B10" s="1" t="s">
        <v>46</v>
      </c>
    </row>
    <row r="11" spans="2:2" x14ac:dyDescent="0.3">
      <c r="B11" s="1" t="s">
        <v>47</v>
      </c>
    </row>
    <row r="12" spans="2:2" x14ac:dyDescent="0.3">
      <c r="B12" s="1" t="s">
        <v>48</v>
      </c>
    </row>
    <row r="13" spans="2:2" x14ac:dyDescent="0.3">
      <c r="B13" s="1" t="s">
        <v>49</v>
      </c>
    </row>
    <row r="14" spans="2:2" x14ac:dyDescent="0.3">
      <c r="B14" s="1" t="s">
        <v>50</v>
      </c>
    </row>
    <row r="15" spans="2:2" x14ac:dyDescent="0.3">
      <c r="B15" s="1" t="s">
        <v>51</v>
      </c>
    </row>
    <row r="16" spans="2:2" x14ac:dyDescent="0.3">
      <c r="B16" s="1" t="s">
        <v>52</v>
      </c>
    </row>
    <row r="17" spans="2:2" x14ac:dyDescent="0.3">
      <c r="B17" s="1" t="s">
        <v>53</v>
      </c>
    </row>
    <row r="18" spans="2:2" x14ac:dyDescent="0.3">
      <c r="B18" s="1" t="s">
        <v>54</v>
      </c>
    </row>
    <row r="19" spans="2:2" x14ac:dyDescent="0.3">
      <c r="B19" s="1" t="s">
        <v>55</v>
      </c>
    </row>
    <row r="20" spans="2:2" x14ac:dyDescent="0.3">
      <c r="B20" s="1" t="s">
        <v>56</v>
      </c>
    </row>
    <row r="21" spans="2:2" x14ac:dyDescent="0.3">
      <c r="B21" s="1" t="s">
        <v>57</v>
      </c>
    </row>
    <row r="22" spans="2:2" x14ac:dyDescent="0.3">
      <c r="B22" s="1" t="s">
        <v>58</v>
      </c>
    </row>
    <row r="23" spans="2:2" x14ac:dyDescent="0.3">
      <c r="B23" s="1" t="s">
        <v>59</v>
      </c>
    </row>
    <row r="24" spans="2:2" x14ac:dyDescent="0.3">
      <c r="B24" s="1" t="s">
        <v>60</v>
      </c>
    </row>
    <row r="25" spans="2:2" x14ac:dyDescent="0.3">
      <c r="B25" s="1" t="s">
        <v>61</v>
      </c>
    </row>
    <row r="26" spans="2:2" x14ac:dyDescent="0.3">
      <c r="B26" s="1" t="s">
        <v>62</v>
      </c>
    </row>
    <row r="27" spans="2:2" x14ac:dyDescent="0.3">
      <c r="B27" s="1" t="s">
        <v>63</v>
      </c>
    </row>
    <row r="28" spans="2:2" x14ac:dyDescent="0.3">
      <c r="B28" s="1" t="s">
        <v>64</v>
      </c>
    </row>
    <row r="29" spans="2:2" x14ac:dyDescent="0.3">
      <c r="B29" s="1" t="s">
        <v>65</v>
      </c>
    </row>
    <row r="30" spans="2:2" x14ac:dyDescent="0.3">
      <c r="B30" s="1" t="s">
        <v>66</v>
      </c>
    </row>
    <row r="31" spans="2:2" x14ac:dyDescent="0.3">
      <c r="B31" s="1" t="s">
        <v>67</v>
      </c>
    </row>
    <row r="32" spans="2:2" x14ac:dyDescent="0.3">
      <c r="B32" s="1" t="s">
        <v>68</v>
      </c>
    </row>
    <row r="33" spans="2:2" x14ac:dyDescent="0.3">
      <c r="B33" s="1" t="s">
        <v>69</v>
      </c>
    </row>
    <row r="34" spans="2:2" x14ac:dyDescent="0.3">
      <c r="B34" s="1" t="s">
        <v>70</v>
      </c>
    </row>
  </sheetData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3586-A152-46F7-8DD7-C474D6DCFA11}">
  <dimension ref="A1:T36"/>
  <sheetViews>
    <sheetView showGridLines="0" tabSelected="1" topLeftCell="E14" workbookViewId="0">
      <selection activeCell="F16" sqref="F16"/>
    </sheetView>
  </sheetViews>
  <sheetFormatPr defaultRowHeight="14.4" outlineLevelRow="1" outlineLevelCol="1" x14ac:dyDescent="0.3"/>
  <cols>
    <col min="1" max="1" width="21.33203125" hidden="1" customWidth="1" outlineLevel="1"/>
    <col min="2" max="2" width="19.88671875" hidden="1" customWidth="1" outlineLevel="1"/>
    <col min="3" max="3" width="8.88671875" hidden="1" customWidth="1" outlineLevel="1"/>
    <col min="4" max="4" width="25.77734375" hidden="1" customWidth="1" outlineLevel="1"/>
    <col min="5" max="5" width="22.5546875" customWidth="1" collapsed="1"/>
    <col min="6" max="6" width="34.5546875" customWidth="1"/>
    <col min="7" max="7" width="22.33203125" customWidth="1"/>
    <col min="8" max="8" width="12.88671875" customWidth="1"/>
    <col min="9" max="20" width="12.77734375" customWidth="1"/>
  </cols>
  <sheetData>
    <row r="1" spans="1:20" ht="15" hidden="1" outlineLevel="1" thickBot="1" x14ac:dyDescent="0.35">
      <c r="A1" s="3"/>
      <c r="B1" s="3"/>
      <c r="C1" s="3"/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s="35" customFormat="1" ht="15" hidden="1" outlineLevel="1" thickBot="1" x14ac:dyDescent="0.35">
      <c r="A2" s="4"/>
      <c r="B2" s="4"/>
      <c r="C2" s="4"/>
      <c r="D2" s="4">
        <v>0</v>
      </c>
      <c r="E2" s="5" t="s">
        <v>4</v>
      </c>
      <c r="F2" s="5" t="s">
        <v>4</v>
      </c>
      <c r="G2" s="5" t="s">
        <v>4</v>
      </c>
      <c r="H2" s="6">
        <v>123.456789</v>
      </c>
      <c r="I2" s="6">
        <v>123.456789</v>
      </c>
      <c r="J2" s="6">
        <v>123.456789</v>
      </c>
      <c r="K2" s="6">
        <v>123.456789</v>
      </c>
      <c r="L2" s="6">
        <v>123.456789</v>
      </c>
      <c r="M2" s="6">
        <v>123.456789</v>
      </c>
      <c r="N2" s="6">
        <v>123.456789</v>
      </c>
      <c r="O2" s="6">
        <v>123.456789</v>
      </c>
      <c r="P2" s="6">
        <v>123.456789</v>
      </c>
      <c r="Q2" s="6">
        <v>123.456789</v>
      </c>
      <c r="R2" s="6">
        <v>123.456789</v>
      </c>
      <c r="S2" s="6">
        <v>123.456789</v>
      </c>
      <c r="T2" s="6">
        <v>123.456789</v>
      </c>
    </row>
    <row r="3" spans="1:20" s="36" customFormat="1" ht="15" hidden="1" outlineLevel="1" thickBot="1" x14ac:dyDescent="0.35">
      <c r="A3" s="7"/>
      <c r="B3" s="7"/>
      <c r="C3" s="7"/>
      <c r="D3" s="7">
        <v>1</v>
      </c>
      <c r="E3" s="8" t="s">
        <v>4</v>
      </c>
      <c r="F3" s="8" t="s">
        <v>4</v>
      </c>
      <c r="G3" s="8" t="s">
        <v>4</v>
      </c>
      <c r="H3" s="9">
        <v>123.456789</v>
      </c>
      <c r="I3" s="9">
        <v>123.456789</v>
      </c>
      <c r="J3" s="9">
        <v>123.456789</v>
      </c>
      <c r="K3" s="9">
        <v>123.456789</v>
      </c>
      <c r="L3" s="9">
        <v>123.456789</v>
      </c>
      <c r="M3" s="9">
        <v>123.456789</v>
      </c>
      <c r="N3" s="9">
        <v>123.456789</v>
      </c>
      <c r="O3" s="9">
        <v>123.456789</v>
      </c>
      <c r="P3" s="9">
        <v>123.456789</v>
      </c>
      <c r="Q3" s="9">
        <v>123.456789</v>
      </c>
      <c r="R3" s="9">
        <v>123.456789</v>
      </c>
      <c r="S3" s="9">
        <v>123.456789</v>
      </c>
      <c r="T3" s="9">
        <v>123.456789</v>
      </c>
    </row>
    <row r="4" spans="1:20" s="37" customFormat="1" ht="15" hidden="1" outlineLevel="1" thickBot="1" x14ac:dyDescent="0.35">
      <c r="A4" s="10"/>
      <c r="B4" s="10"/>
      <c r="C4" s="10"/>
      <c r="D4" s="10">
        <v>2</v>
      </c>
      <c r="E4" s="11" t="s">
        <v>4</v>
      </c>
      <c r="F4" s="11" t="s">
        <v>4</v>
      </c>
      <c r="G4" s="11" t="s">
        <v>4</v>
      </c>
      <c r="H4" s="12">
        <v>123.456789</v>
      </c>
      <c r="I4" s="12">
        <v>123.456789</v>
      </c>
      <c r="J4" s="12">
        <v>123.456789</v>
      </c>
      <c r="K4" s="12">
        <v>123.456789</v>
      </c>
      <c r="L4" s="12">
        <v>123.456789</v>
      </c>
      <c r="M4" s="12">
        <v>123.456789</v>
      </c>
      <c r="N4" s="12">
        <v>123.456789</v>
      </c>
      <c r="O4" s="12">
        <v>123.456789</v>
      </c>
      <c r="P4" s="12">
        <v>123.456789</v>
      </c>
      <c r="Q4" s="12">
        <v>123.456789</v>
      </c>
      <c r="R4" s="12">
        <v>123.456789</v>
      </c>
      <c r="S4" s="12">
        <v>123.456789</v>
      </c>
      <c r="T4" s="12">
        <v>123.456789</v>
      </c>
    </row>
    <row r="5" spans="1:20" s="38" customFormat="1" ht="15" hidden="1" outlineLevel="1" thickBot="1" x14ac:dyDescent="0.35">
      <c r="A5" s="13"/>
      <c r="B5" s="13"/>
      <c r="C5" s="13"/>
      <c r="D5" s="13">
        <v>3</v>
      </c>
      <c r="E5" s="14" t="s">
        <v>4</v>
      </c>
      <c r="F5" s="14" t="s">
        <v>4</v>
      </c>
      <c r="G5" s="14" t="s">
        <v>4</v>
      </c>
      <c r="H5" s="15">
        <v>123.456789</v>
      </c>
      <c r="I5" s="15">
        <v>123.456789</v>
      </c>
      <c r="J5" s="15">
        <v>123.456789</v>
      </c>
      <c r="K5" s="15">
        <v>123.456789</v>
      </c>
      <c r="L5" s="15">
        <v>123.456789</v>
      </c>
      <c r="M5" s="15">
        <v>123.456789</v>
      </c>
      <c r="N5" s="15">
        <v>123.456789</v>
      </c>
      <c r="O5" s="15">
        <v>123.456789</v>
      </c>
      <c r="P5" s="15">
        <v>123.456789</v>
      </c>
      <c r="Q5" s="15">
        <v>123.456789</v>
      </c>
      <c r="R5" s="15">
        <v>123.456789</v>
      </c>
      <c r="S5" s="15">
        <v>123.456789</v>
      </c>
      <c r="T5" s="15">
        <v>123.456789</v>
      </c>
    </row>
    <row r="6" spans="1:20" s="39" customFormat="1" ht="15" hidden="1" outlineLevel="1" thickBot="1" x14ac:dyDescent="0.35">
      <c r="A6" s="16"/>
      <c r="B6" s="16"/>
      <c r="C6" s="16"/>
      <c r="D6" s="16">
        <v>4</v>
      </c>
      <c r="E6" s="17" t="s">
        <v>4</v>
      </c>
      <c r="F6" s="17" t="s">
        <v>4</v>
      </c>
      <c r="G6" s="17" t="s">
        <v>4</v>
      </c>
      <c r="H6" s="18">
        <v>123.456789</v>
      </c>
      <c r="I6" s="18">
        <v>123.456789</v>
      </c>
      <c r="J6" s="18">
        <v>123.456789</v>
      </c>
      <c r="K6" s="18">
        <v>123.456789</v>
      </c>
      <c r="L6" s="18">
        <v>123.456789</v>
      </c>
      <c r="M6" s="18">
        <v>123.456789</v>
      </c>
      <c r="N6" s="18">
        <v>123.456789</v>
      </c>
      <c r="O6" s="18">
        <v>123.456789</v>
      </c>
      <c r="P6" s="18">
        <v>123.456789</v>
      </c>
      <c r="Q6" s="18">
        <v>123.456789</v>
      </c>
      <c r="R6" s="18">
        <v>123.456789</v>
      </c>
      <c r="S6" s="18">
        <v>123.456789</v>
      </c>
      <c r="T6" s="18">
        <v>123.456789</v>
      </c>
    </row>
    <row r="7" spans="1:20" s="40" customFormat="1" ht="15" hidden="1" outlineLevel="1" thickBot="1" x14ac:dyDescent="0.35">
      <c r="A7" s="19"/>
      <c r="B7" s="19"/>
      <c r="C7" s="19"/>
      <c r="D7" s="19">
        <v>5</v>
      </c>
      <c r="E7" s="20" t="s">
        <v>4</v>
      </c>
      <c r="F7" s="20" t="s">
        <v>4</v>
      </c>
      <c r="G7" s="20" t="s">
        <v>4</v>
      </c>
      <c r="H7" s="21">
        <v>123.456789</v>
      </c>
      <c r="I7" s="21">
        <v>123.456789</v>
      </c>
      <c r="J7" s="21">
        <v>123.456789</v>
      </c>
      <c r="K7" s="21">
        <v>123.456789</v>
      </c>
      <c r="L7" s="21">
        <v>123.456789</v>
      </c>
      <c r="M7" s="21">
        <v>123.456789</v>
      </c>
      <c r="N7" s="21">
        <v>123.456789</v>
      </c>
      <c r="O7" s="21">
        <v>123.456789</v>
      </c>
      <c r="P7" s="21">
        <v>123.456789</v>
      </c>
      <c r="Q7" s="21">
        <v>123.456789</v>
      </c>
      <c r="R7" s="21">
        <v>123.456789</v>
      </c>
      <c r="S7" s="21">
        <v>123.456789</v>
      </c>
      <c r="T7" s="21">
        <v>123.456789</v>
      </c>
    </row>
    <row r="8" spans="1:20" s="41" customFormat="1" ht="15" hidden="1" outlineLevel="1" thickBot="1" x14ac:dyDescent="0.35">
      <c r="A8" s="25"/>
      <c r="B8" s="25"/>
      <c r="C8" s="25"/>
      <c r="D8" s="22" t="s">
        <v>1</v>
      </c>
      <c r="E8" s="23" t="s">
        <v>4</v>
      </c>
      <c r="F8" s="47" t="s">
        <v>4</v>
      </c>
      <c r="G8" s="23" t="s">
        <v>4</v>
      </c>
      <c r="H8" s="24">
        <v>123.456789</v>
      </c>
      <c r="I8" s="24">
        <v>123.456789</v>
      </c>
      <c r="J8" s="24">
        <v>123.456789</v>
      </c>
      <c r="K8" s="24">
        <v>123.456789</v>
      </c>
      <c r="L8" s="24">
        <v>123.456789</v>
      </c>
      <c r="M8" s="24">
        <v>123.456789</v>
      </c>
      <c r="N8" s="24">
        <v>123.456789</v>
      </c>
      <c r="O8" s="24">
        <v>123.456789</v>
      </c>
      <c r="P8" s="24">
        <v>123.456789</v>
      </c>
      <c r="Q8" s="24">
        <v>123.456789</v>
      </c>
      <c r="R8" s="24">
        <v>123.456789</v>
      </c>
      <c r="S8" s="24">
        <v>123.456789</v>
      </c>
      <c r="T8" s="24">
        <v>123.456789</v>
      </c>
    </row>
    <row r="9" spans="1:20" s="42" customFormat="1" ht="15" hidden="1" outlineLevel="1" thickBot="1" x14ac:dyDescent="0.35">
      <c r="A9" s="29"/>
      <c r="B9" s="29"/>
      <c r="C9" s="29"/>
      <c r="D9" s="26" t="s">
        <v>2</v>
      </c>
      <c r="E9" s="27" t="s">
        <v>4</v>
      </c>
      <c r="F9" s="48" t="s">
        <v>4</v>
      </c>
      <c r="G9" s="27" t="s">
        <v>4</v>
      </c>
      <c r="H9" s="28">
        <v>123.456789</v>
      </c>
      <c r="I9" s="28">
        <v>123.456789</v>
      </c>
      <c r="J9" s="28">
        <v>123.456789</v>
      </c>
      <c r="K9" s="28">
        <v>123.456789</v>
      </c>
      <c r="L9" s="28">
        <v>123.456789</v>
      </c>
      <c r="M9" s="28">
        <v>123.456789</v>
      </c>
      <c r="N9" s="28">
        <v>123.456789</v>
      </c>
      <c r="O9" s="28">
        <v>123.456789</v>
      </c>
      <c r="P9" s="28">
        <v>123.456789</v>
      </c>
      <c r="Q9" s="28">
        <v>123.456789</v>
      </c>
      <c r="R9" s="28">
        <v>123.456789</v>
      </c>
      <c r="S9" s="28">
        <v>123.456789</v>
      </c>
      <c r="T9" s="28">
        <v>123.456789</v>
      </c>
    </row>
    <row r="10" spans="1:20" hidden="1" outlineLevel="1" x14ac:dyDescent="0.3">
      <c r="A10" s="3"/>
      <c r="B10" s="3"/>
      <c r="C10" s="3"/>
      <c r="D10" s="2" t="s">
        <v>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idden="1" outlineLevel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idden="1" outlineLevel="1" x14ac:dyDescent="0.3">
      <c r="A12" s="3"/>
      <c r="B12" s="3"/>
      <c r="C12" s="3"/>
      <c r="D12" s="3"/>
      <c r="E12" s="3" t="str">
        <f>_xll.TM1RPTVIEW(ServerName&amp;":nReporting_Financial:15695952",1,_xll.TM1RPTTITLE(ServerName&amp;":Version",$F$16),_xll.TM1RPTTITLE(ServerName&amp;":Currency",$F$17),_xll.TM1RPTTITLE(ServerName&amp;":Company",$F$18),_xll.TM1RPTTITLE(ServerName&amp;":Measure",$F$19),TM1RPTFMTRNG15695952,TM1RPTFMTIDCOL15695952)</f>
        <v>Bay-Ltd:nReporting_Financial:15695952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5" hidden="1" outlineLevel="1" thickBo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30" customHeight="1" collapsed="1" thickBot="1" x14ac:dyDescent="0.35">
      <c r="A14" s="3"/>
      <c r="B14" s="3"/>
      <c r="C14" s="3"/>
      <c r="D14" s="3"/>
      <c r="E14" s="49" t="s">
        <v>33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1"/>
    </row>
    <row r="15" spans="1:20" ht="16.8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6.8" customHeight="1" x14ac:dyDescent="0.3">
      <c r="A16" s="3"/>
      <c r="B16" s="3"/>
      <c r="C16" s="3"/>
      <c r="D16" s="3"/>
      <c r="E16" s="43" t="s">
        <v>5</v>
      </c>
      <c r="F16" s="46" t="str">
        <f>"Actual"</f>
        <v>Actual</v>
      </c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idden="1" outlineLevel="1" x14ac:dyDescent="0.3">
      <c r="A17" s="3" t="str">
        <f>_xll.TM1PRIMARYDBNAME()</f>
        <v>Bay-Ltd</v>
      </c>
      <c r="B17" s="3"/>
      <c r="C17" s="3"/>
      <c r="D17" s="3"/>
      <c r="E17" s="44" t="s">
        <v>6</v>
      </c>
      <c r="F17" s="45" t="str">
        <f>"Local Currency"</f>
        <v>Local Currency</v>
      </c>
      <c r="G17" s="34" t="str">
        <f>"{TM1SubsetToSet([Account].[Account], """&amp;$F$23&amp;""")}"</f>
        <v>{TM1SubsetToSet([Account].[Account], "Non Labor")}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idden="1" outlineLevel="1" x14ac:dyDescent="0.3">
      <c r="A18" s="3" t="s">
        <v>12</v>
      </c>
      <c r="B18" s="3" t="str">
        <f t="shared" ref="B18:B31" si="0">_xlfn.CONCAT(Server,":",$A18)</f>
        <v>Bay-Ltd:}ElementAttributes_Account</v>
      </c>
      <c r="C18" s="3"/>
      <c r="D18" s="3"/>
      <c r="E18" s="44" t="s">
        <v>7</v>
      </c>
      <c r="F18" s="45" t="str">
        <f>"4"</f>
        <v>4</v>
      </c>
      <c r="G18" s="30" t="str">
        <f>$F$20</f>
        <v>PROJECT FINANCE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idden="1" outlineLevel="1" x14ac:dyDescent="0.3">
      <c r="A19" s="3" t="s">
        <v>5</v>
      </c>
      <c r="B19" s="3" t="str">
        <f t="shared" si="0"/>
        <v>Bay-Ltd:Version</v>
      </c>
      <c r="C19" s="3"/>
      <c r="D19" s="3"/>
      <c r="E19" s="44" t="s">
        <v>8</v>
      </c>
      <c r="F19" s="45" t="str">
        <f>"Amount"</f>
        <v>Amount</v>
      </c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collapsed="1" x14ac:dyDescent="0.3">
      <c r="A20" s="3"/>
      <c r="B20" s="3"/>
      <c r="C20" s="3"/>
      <c r="D20" s="3"/>
      <c r="E20" s="43" t="s">
        <v>36</v>
      </c>
      <c r="F20" s="52" t="str">
        <f>_xll.SUBNM($B$26,"LeafLevel",1,"Caption")</f>
        <v>PROJECT FINANCE</v>
      </c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3">
      <c r="A21" s="3" t="s">
        <v>6</v>
      </c>
      <c r="B21" s="3" t="str">
        <f t="shared" si="0"/>
        <v>Bay-Ltd:Currency</v>
      </c>
      <c r="C21" s="3"/>
      <c r="D21" s="3"/>
      <c r="E21" s="43" t="s">
        <v>10</v>
      </c>
      <c r="F21" s="52" t="str">
        <f>_xll.SUBNM("Bay-Ltd:nLocation",_xlfn.CONCAT($G$18),1,"Caption")</f>
        <v>Corpus Christi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3">
      <c r="A22" s="3" t="s">
        <v>7</v>
      </c>
      <c r="B22" s="3" t="str">
        <f t="shared" si="0"/>
        <v>Bay-Ltd:Company</v>
      </c>
      <c r="C22" s="3"/>
      <c r="D22" s="3"/>
      <c r="E22" s="43" t="s">
        <v>11</v>
      </c>
      <c r="F22" s="52" t="str">
        <f>_xll.SUBNM($B$28,"LeafYear","2026")</f>
        <v>2026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3">
      <c r="A23" s="3" t="s">
        <v>8</v>
      </c>
      <c r="B23" s="3" t="str">
        <f t="shared" si="0"/>
        <v>Bay-Ltd:Measure</v>
      </c>
      <c r="C23" s="3"/>
      <c r="D23" s="3"/>
      <c r="E23" s="43" t="s">
        <v>35</v>
      </c>
      <c r="F23" s="52" t="str">
        <f>_xll.SUBNM($B$31,"Default",1)</f>
        <v>Non Labor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5" hidden="1" outlineLevel="1" thickBot="1" x14ac:dyDescent="0.35">
      <c r="A24" s="3" t="s">
        <v>13</v>
      </c>
      <c r="B24" s="3" t="str">
        <f t="shared" si="0"/>
        <v>Bay-Ltd:Account</v>
      </c>
      <c r="C24" s="3"/>
      <c r="D24" s="3"/>
      <c r="E24" s="3"/>
      <c r="F24" s="3"/>
      <c r="G24" s="3"/>
      <c r="H24" s="31" t="str">
        <f t="shared" ref="H24:S24" si="1">H$25&amp;"-"&amp;$F$22</f>
        <v>01-2026</v>
      </c>
      <c r="I24" s="31" t="str">
        <f t="shared" si="1"/>
        <v>02-2026</v>
      </c>
      <c r="J24" s="31" t="str">
        <f t="shared" si="1"/>
        <v>03-2026</v>
      </c>
      <c r="K24" s="31" t="str">
        <f t="shared" si="1"/>
        <v>04-2026</v>
      </c>
      <c r="L24" s="31" t="str">
        <f t="shared" si="1"/>
        <v>05-2026</v>
      </c>
      <c r="M24" s="31" t="str">
        <f t="shared" si="1"/>
        <v>06-2026</v>
      </c>
      <c r="N24" s="31" t="str">
        <f t="shared" si="1"/>
        <v>07-2026</v>
      </c>
      <c r="O24" s="31" t="str">
        <f t="shared" si="1"/>
        <v>08-2026</v>
      </c>
      <c r="P24" s="31" t="str">
        <f t="shared" si="1"/>
        <v>09-2026</v>
      </c>
      <c r="Q24" s="31" t="str">
        <f t="shared" si="1"/>
        <v>10-2026</v>
      </c>
      <c r="R24" s="31" t="str">
        <f t="shared" si="1"/>
        <v>11-2026</v>
      </c>
      <c r="S24" s="31" t="str">
        <f t="shared" si="1"/>
        <v>12-2026</v>
      </c>
      <c r="T24" s="31" t="s">
        <v>9</v>
      </c>
    </row>
    <row r="25" spans="1:20" ht="15" hidden="1" outlineLevel="1" thickBot="1" x14ac:dyDescent="0.35">
      <c r="A25" s="3" t="s">
        <v>14</v>
      </c>
      <c r="B25" s="3" t="str">
        <f t="shared" si="0"/>
        <v>Bay-Ltd:Division</v>
      </c>
      <c r="C25" s="3"/>
      <c r="D25" s="3"/>
      <c r="E25" s="3"/>
      <c r="F25" s="3"/>
      <c r="G25" s="3"/>
      <c r="H25" s="31" t="s">
        <v>18</v>
      </c>
      <c r="I25" s="31" t="s">
        <v>19</v>
      </c>
      <c r="J25" s="31" t="s">
        <v>20</v>
      </c>
      <c r="K25" s="31" t="s">
        <v>21</v>
      </c>
      <c r="L25" s="31" t="s">
        <v>22</v>
      </c>
      <c r="M25" s="31" t="s">
        <v>23</v>
      </c>
      <c r="N25" s="31" t="s">
        <v>24</v>
      </c>
      <c r="O25" s="31" t="s">
        <v>25</v>
      </c>
      <c r="P25" s="31" t="s">
        <v>26</v>
      </c>
      <c r="Q25" s="31" t="s">
        <v>27</v>
      </c>
      <c r="R25" s="31" t="s">
        <v>28</v>
      </c>
      <c r="S25" s="31" t="s">
        <v>29</v>
      </c>
      <c r="T25" s="31"/>
    </row>
    <row r="26" spans="1:20" ht="15" hidden="1" outlineLevel="1" thickBot="1" x14ac:dyDescent="0.35">
      <c r="A26" s="3" t="s">
        <v>37</v>
      </c>
      <c r="B26" s="3" t="str">
        <f t="shared" si="0"/>
        <v>Bay-Ltd:Division_Department</v>
      </c>
      <c r="C26" s="3"/>
      <c r="D26" s="3"/>
      <c r="E26" s="3"/>
      <c r="F26" s="3"/>
      <c r="G26" s="3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"/>
      <c r="T26" s="3"/>
    </row>
    <row r="27" spans="1:20" ht="15" hidden="1" outlineLevel="1" thickBot="1" x14ac:dyDescent="0.35">
      <c r="A27" s="3" t="s">
        <v>10</v>
      </c>
      <c r="B27" s="3" t="str">
        <f t="shared" si="0"/>
        <v>Bay-Ltd:Location</v>
      </c>
      <c r="C27" s="3"/>
      <c r="D27" s="3"/>
      <c r="E27" s="3"/>
      <c r="F27" s="3"/>
      <c r="G27" s="3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"/>
      <c r="T27" s="3"/>
    </row>
    <row r="28" spans="1:20" ht="15" hidden="1" outlineLevel="1" thickBot="1" x14ac:dyDescent="0.35">
      <c r="A28" s="3" t="s">
        <v>15</v>
      </c>
      <c r="B28" s="3" t="str">
        <f t="shared" si="0"/>
        <v>Bay-Ltd:Fiscal_Year</v>
      </c>
      <c r="C28" s="3"/>
      <c r="D28" s="3"/>
      <c r="E28" s="3"/>
      <c r="F28" s="3"/>
      <c r="G28" s="3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"/>
      <c r="T28" s="3"/>
    </row>
    <row r="29" spans="1:20" ht="15" hidden="1" outlineLevel="1" thickBot="1" x14ac:dyDescent="0.35">
      <c r="A29" s="3" t="s">
        <v>16</v>
      </c>
      <c r="B29" s="3" t="str">
        <f t="shared" si="0"/>
        <v>Bay-Ltd:}ElementAttributes_Division</v>
      </c>
      <c r="C29" s="3"/>
      <c r="D29" s="3"/>
      <c r="E29" s="3"/>
      <c r="F29" s="3"/>
      <c r="G29" s="3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"/>
      <c r="T29" s="3"/>
    </row>
    <row r="30" spans="1:20" ht="15" hidden="1" outlineLevel="1" thickBot="1" x14ac:dyDescent="0.35">
      <c r="A30" s="3" t="s">
        <v>17</v>
      </c>
      <c r="B30" s="3" t="str">
        <f t="shared" si="0"/>
        <v>Bay-Ltd:}ElementAttributes_Department</v>
      </c>
      <c r="C30" s="3"/>
      <c r="D30" s="3"/>
      <c r="E30" s="3"/>
      <c r="F30" s="3"/>
      <c r="G30" s="3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"/>
      <c r="T30" s="3"/>
    </row>
    <row r="31" spans="1:20" ht="15" hidden="1" outlineLevel="1" thickBot="1" x14ac:dyDescent="0.35">
      <c r="A31" s="3" t="s">
        <v>34</v>
      </c>
      <c r="B31" s="3" t="str">
        <f t="shared" si="0"/>
        <v>Bay-Ltd:Account_Type</v>
      </c>
      <c r="C31" s="3"/>
      <c r="D31" s="3"/>
      <c r="E31" s="3"/>
      <c r="F31" s="3"/>
      <c r="G31" s="3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"/>
      <c r="T31" s="3"/>
    </row>
    <row r="32" spans="1:20" ht="15" hidden="1" outlineLevel="1" thickBot="1" x14ac:dyDescent="0.35">
      <c r="A32" s="3"/>
      <c r="B32" s="3"/>
      <c r="C32" s="3"/>
      <c r="D32" s="3"/>
      <c r="E32" s="3"/>
      <c r="F32" s="3"/>
      <c r="G32" s="3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"/>
      <c r="T32" s="3"/>
    </row>
    <row r="33" spans="1:20" collapsed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5" thickBot="1" x14ac:dyDescent="0.35">
      <c r="A34" s="3"/>
      <c r="B34" s="3"/>
      <c r="C34" s="3"/>
      <c r="D34" s="3"/>
      <c r="E34" s="33" t="s">
        <v>30</v>
      </c>
      <c r="F34" s="33" t="s">
        <v>31</v>
      </c>
      <c r="G34" s="33" t="s">
        <v>32</v>
      </c>
      <c r="H34" s="33" t="str">
        <f t="shared" ref="H34:S34" si="2">TEXT(H$25*28,"MMMM")</f>
        <v>January</v>
      </c>
      <c r="I34" s="33" t="str">
        <f t="shared" si="2"/>
        <v>February</v>
      </c>
      <c r="J34" s="33" t="str">
        <f t="shared" si="2"/>
        <v>March</v>
      </c>
      <c r="K34" s="33" t="str">
        <f t="shared" si="2"/>
        <v>April</v>
      </c>
      <c r="L34" s="33" t="str">
        <f t="shared" si="2"/>
        <v>May</v>
      </c>
      <c r="M34" s="33" t="str">
        <f t="shared" si="2"/>
        <v>June</v>
      </c>
      <c r="N34" s="33" t="str">
        <f t="shared" si="2"/>
        <v>July</v>
      </c>
      <c r="O34" s="33" t="str">
        <f t="shared" si="2"/>
        <v>August</v>
      </c>
      <c r="P34" s="33" t="str">
        <f t="shared" si="2"/>
        <v>September</v>
      </c>
      <c r="Q34" s="33" t="str">
        <f t="shared" si="2"/>
        <v>October</v>
      </c>
      <c r="R34" s="33" t="str">
        <f t="shared" si="2"/>
        <v>November</v>
      </c>
      <c r="S34" s="33" t="str">
        <f t="shared" si="2"/>
        <v>December</v>
      </c>
      <c r="T34" s="33" t="str">
        <f>"YTD"&amp;"-"&amp;$F$22</f>
        <v>YTD-2026</v>
      </c>
    </row>
    <row r="35" spans="1:20" s="42" customFormat="1" ht="15" outlineLevel="1" thickBot="1" x14ac:dyDescent="0.35">
      <c r="A35" s="29"/>
      <c r="B35" s="29"/>
      <c r="C35" s="29"/>
      <c r="D35" s="26" t="str">
        <f>IF(_xll.TM1RPTELISCONSOLIDATED($G$35,$G35),IF(_xll.TM1RPTELLEV($G$35,$G35)&lt;=5,_xll.TM1RPTELLEV($G$35,$G35),"Default"),"Leaf")</f>
        <v>Leaf</v>
      </c>
      <c r="E35" s="27" t="str">
        <f>_xll.DBR($B$18,$G35,"Account_Type")</f>
        <v>NON LABOR</v>
      </c>
      <c r="F35" s="48" t="str">
        <f>_xll.DBR($B$18,$G35,"Description")</f>
        <v>Office/Computer Supplies &amp; Eqpt</v>
      </c>
      <c r="G35" s="32" t="str">
        <f>_xll.TM1RPTROW($E$12,"Bay-Ltd:Account",,,"MEMBER_NAME",,$G$17)</f>
        <v>615077197000000</v>
      </c>
      <c r="H35" s="28">
        <f>_xll.DBRW($E$12,$F$16,$F$17,$F$18,$F$20,$F$21,H$24,$G35,$F$19)</f>
        <v>0</v>
      </c>
      <c r="I35" s="28">
        <f>_xll.DBRW($E$12,$F$16,$F$17,$F$18,$F$20,$F$21,I$24,$G35,$F$19)</f>
        <v>142</v>
      </c>
      <c r="J35" s="28">
        <f>_xll.DBRW($E$12,$F$16,$F$17,$F$18,$F$20,$F$21,J$24,$G35,$F$19)</f>
        <v>240</v>
      </c>
      <c r="K35" s="28">
        <f>_xll.DBRW($E$12,$F$16,$F$17,$F$18,$F$20,$F$21,K$24,$G35,$F$19)</f>
        <v>0</v>
      </c>
      <c r="L35" s="28">
        <f>_xll.DBRW($E$12,$F$16,$F$17,$F$18,$F$20,$F$21,L$24,$G35,$F$19)</f>
        <v>739.92</v>
      </c>
      <c r="M35" s="28">
        <f>_xll.DBRW($E$12,$F$16,$F$17,$F$18,$F$20,$F$21,M$24,$G35,$F$19)</f>
        <v>181</v>
      </c>
      <c r="N35" s="28">
        <f>_xll.DBRW($E$12,$F$16,$F$17,$F$18,$F$20,$F$21,N$24,$G35,$F$19)</f>
        <v>0</v>
      </c>
      <c r="O35" s="28">
        <f>_xll.DBRW($E$12,$F$16,$F$17,$F$18,$F$20,$F$21,O$24,$G35,$F$19)</f>
        <v>0</v>
      </c>
      <c r="P35" s="28">
        <f>_xll.DBRW($E$12,$F$16,$F$17,$F$18,$F$20,$F$21,P$24,$G35,$F$19)</f>
        <v>0</v>
      </c>
      <c r="Q35" s="28">
        <f>_xll.DBRW($E$12,$F$16,$F$17,$F$18,$F$20,$F$21,Q$24,$G35,$F$19)</f>
        <v>0</v>
      </c>
      <c r="R35" s="28">
        <f>_xll.DBRW($E$12,$F$16,$F$17,$F$18,$F$20,$F$21,R$24,$G35,$F$19)</f>
        <v>0</v>
      </c>
      <c r="S35" s="28">
        <f>_xll.DBRW($E$12,$F$16,$F$17,$F$18,$F$20,$F$21,S$24,$G35,$F$19)</f>
        <v>0</v>
      </c>
      <c r="T35" s="28">
        <f>_xll.DBRW($E$12,$F$16,$F$17,$F$18,$F$20,$F$21,T$24,$G35,$F$19)</f>
        <v>1302.92</v>
      </c>
    </row>
    <row r="36" spans="1:20" s="42" customFormat="1" ht="15" outlineLevel="1" thickBot="1" x14ac:dyDescent="0.35">
      <c r="A36" s="29"/>
      <c r="B36" s="29"/>
      <c r="C36" s="29"/>
      <c r="D36" s="26" t="str">
        <f>IF(_xll.TM1RPTELISCONSOLIDATED($G$35,$G36),IF(_xll.TM1RPTELLEV($G$35,$G36)&lt;=5,_xll.TM1RPTELLEV($G$35,$G36),"Default"),"Leaf")</f>
        <v>Leaf</v>
      </c>
      <c r="E36" s="27" t="str">
        <f>_xll.DBR($B$18,$G36,"Account_Type")</f>
        <v>NON LABOR</v>
      </c>
      <c r="F36" s="48" t="str">
        <f>_xll.DBR($B$18,$G36,"Description")</f>
        <v>Employee Leased Vehicles</v>
      </c>
      <c r="G36" s="32" t="s">
        <v>71</v>
      </c>
      <c r="H36" s="28">
        <f>_xll.DBRW($E$12,$F$16,$F$17,$F$18,$F$20,$F$21,H$24,$G36,$F$19)</f>
        <v>0</v>
      </c>
      <c r="I36" s="28">
        <f>_xll.DBRW($E$12,$F$16,$F$17,$F$18,$F$20,$F$21,I$24,$G36,$F$19)</f>
        <v>0</v>
      </c>
      <c r="J36" s="28">
        <f>_xll.DBRW($E$12,$F$16,$F$17,$F$18,$F$20,$F$21,J$24,$G36,$F$19)</f>
        <v>0</v>
      </c>
      <c r="K36" s="28">
        <f>_xll.DBRW($E$12,$F$16,$F$17,$F$18,$F$20,$F$21,K$24,$G36,$F$19)</f>
        <v>0</v>
      </c>
      <c r="L36" s="28">
        <f>_xll.DBRW($E$12,$F$16,$F$17,$F$18,$F$20,$F$21,L$24,$G36,$F$19)</f>
        <v>0</v>
      </c>
      <c r="M36" s="28">
        <f>_xll.DBRW($E$12,$F$16,$F$17,$F$18,$F$20,$F$21,M$24,$G36,$F$19)</f>
        <v>0</v>
      </c>
      <c r="N36" s="28">
        <f>_xll.DBRW($E$12,$F$16,$F$17,$F$18,$F$20,$F$21,N$24,$G36,$F$19)</f>
        <v>1150</v>
      </c>
      <c r="O36" s="28">
        <f>_xll.DBRW($E$12,$F$16,$F$17,$F$18,$F$20,$F$21,O$24,$G36,$F$19)</f>
        <v>0</v>
      </c>
      <c r="P36" s="28">
        <f>_xll.DBRW($E$12,$F$16,$F$17,$F$18,$F$20,$F$21,P$24,$G36,$F$19)</f>
        <v>0</v>
      </c>
      <c r="Q36" s="28">
        <f>_xll.DBRW($E$12,$F$16,$F$17,$F$18,$F$20,$F$21,Q$24,$G36,$F$19)</f>
        <v>0</v>
      </c>
      <c r="R36" s="28">
        <f>_xll.DBRW($E$12,$F$16,$F$17,$F$18,$F$20,$F$21,R$24,$G36,$F$19)</f>
        <v>0</v>
      </c>
      <c r="S36" s="28">
        <f>_xll.DBRW($E$12,$F$16,$F$17,$F$18,$F$20,$F$21,S$24,$G36,$F$19)</f>
        <v>0</v>
      </c>
      <c r="T36" s="28">
        <f>_xll.DBRW($E$12,$F$16,$F$17,$F$18,$F$20,$F$21,T$24,$G36,$F$19)</f>
        <v>1150</v>
      </c>
    </row>
  </sheetData>
  <sheetProtection sheet="1" objects="1" scenarios="1"/>
  <mergeCells count="1">
    <mergeCell ref="E14:T14"/>
  </mergeCells>
  <conditionalFormatting sqref="H9:T9 H35:T36">
    <cfRule type="expression" dxfId="0" priority="4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Server</vt:lpstr>
      <vt:lpstr>ServerName</vt:lpstr>
      <vt:lpstr>Sheet1!TM1RPTDATARNG15695952</vt:lpstr>
      <vt:lpstr>Sheet1!TM1RPTFMTIDCOL15695952</vt:lpstr>
      <vt:lpstr>Sheet1!TM1RPTFMTRNG15695952</vt:lpstr>
      <vt:lpstr>Sheet1!TM1RPTQRYRNG15695952</vt:lpstr>
      <vt:lpstr>Sheet1!TM1RPTVIEWRNG15695952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kumar</dc:creator>
  <cp:lastModifiedBy>Anuj kumar</cp:lastModifiedBy>
  <dcterms:created xsi:type="dcterms:W3CDTF">2026-07-17T18:10:18Z</dcterms:created>
  <dcterms:modified xsi:type="dcterms:W3CDTF">2026-07-22T16:27:40Z</dcterms:modified>
</cp:coreProperties>
</file>