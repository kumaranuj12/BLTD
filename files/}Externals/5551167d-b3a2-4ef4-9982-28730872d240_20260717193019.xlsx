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CResco\Report\Back_Old Report\New Report\"/>
    </mc:Choice>
  </mc:AlternateContent>
  <xr:revisionPtr revIDLastSave="0" documentId="8_{41EC5703-52CF-476F-9518-B235CDD46935}" xr6:coauthVersionLast="47" xr6:coauthVersionMax="47" xr10:uidLastSave="{00000000-0000-0000-0000-000000000000}"/>
  <bookViews>
    <workbookView xWindow="-108" yWindow="-108" windowWidth="23256" windowHeight="12576" firstSheet="1" activeTab="1" xr2:uid="{07A53D07-0E60-4F38-A1C9-C6B7F5025BD6}"/>
  </bookViews>
  <sheets>
    <sheet name="Cognos_Office_Connection_Cache" sheetId="2" state="veryHidden" r:id="rId1"/>
    <sheet name="Sheet1" sheetId="1" r:id="rId2"/>
  </sheets>
  <definedNames>
    <definedName name="cafe_validation_temp" hidden="1">Cognos_Office_Connection_Cache!$B$2:$B$10</definedName>
    <definedName name="ID" localSheetId="0" hidden="1">"0a46fe86-20d4-4f37-b9e0-751f8f0debcf"</definedName>
    <definedName name="ID" localSheetId="1" hidden="1">"ba0a3f79-d98a-4e33-a652-724c8fb6cb22"</definedName>
    <definedName name="Server">Sheet1!$A$17</definedName>
    <definedName name="ServerName">Sheet1!$A$17</definedName>
    <definedName name="TM1RPTDATARNG15695952" localSheetId="1">Sheet1!$34:$670</definedName>
    <definedName name="TM1RPTFMTIDCOL15695952" localSheetId="1">Sheet1!$D$1:$D$10</definedName>
    <definedName name="TM1RPTFMTRNG15695952" localSheetId="1">Sheet1!$E$1:$U$10</definedName>
    <definedName name="TM1RPTQRYRNG15695952" localSheetId="1">Sheet1!$E$11:$H$11</definedName>
    <definedName name="TM1RPTVIEWRNG15695952" localSheetId="1">Sheet1!$E$12</definedName>
  </definedNames>
  <calcPr calcId="191029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33" i="1" l="1"/>
  <c r="J33" i="1"/>
  <c r="K33" i="1"/>
  <c r="L33" i="1"/>
  <c r="M33" i="1"/>
  <c r="N33" i="1"/>
  <c r="O33" i="1"/>
  <c r="P33" i="1"/>
  <c r="Q33" i="1"/>
  <c r="R33" i="1"/>
  <c r="S33" i="1"/>
  <c r="I33" i="1"/>
  <c r="F19" i="1"/>
  <c r="F18" i="1"/>
  <c r="F17" i="1"/>
  <c r="F16" i="1"/>
  <c r="D45" i="1"/>
  <c r="D44" i="1"/>
  <c r="D43" i="1"/>
  <c r="D46" i="1"/>
  <c r="D42" i="1"/>
  <c r="D41" i="1"/>
  <c r="D40" i="1"/>
  <c r="D39" i="1"/>
  <c r="D38" i="1"/>
  <c r="D37" i="1"/>
  <c r="D36" i="1"/>
  <c r="D35" i="1"/>
  <c r="D614" i="1"/>
  <c r="D610" i="1"/>
  <c r="D606" i="1"/>
  <c r="D602" i="1"/>
  <c r="D598" i="1"/>
  <c r="D594" i="1"/>
  <c r="D590" i="1"/>
  <c r="D624" i="1"/>
  <c r="D613" i="1"/>
  <c r="D609" i="1"/>
  <c r="D605" i="1"/>
  <c r="D601" i="1"/>
  <c r="D597" i="1"/>
  <c r="D593" i="1"/>
  <c r="D589" i="1"/>
  <c r="D651" i="1"/>
  <c r="D649" i="1"/>
  <c r="D647" i="1"/>
  <c r="D645" i="1"/>
  <c r="D643" i="1"/>
  <c r="D641" i="1"/>
  <c r="D639" i="1"/>
  <c r="D637" i="1"/>
  <c r="D635" i="1"/>
  <c r="D633" i="1"/>
  <c r="D631" i="1"/>
  <c r="D629" i="1"/>
  <c r="D627" i="1"/>
  <c r="D625" i="1"/>
  <c r="D612" i="1"/>
  <c r="D608" i="1"/>
  <c r="D604" i="1"/>
  <c r="D600" i="1"/>
  <c r="D596" i="1"/>
  <c r="D592" i="1"/>
  <c r="D611" i="1"/>
  <c r="D607" i="1"/>
  <c r="D603" i="1"/>
  <c r="D599" i="1"/>
  <c r="D595" i="1"/>
  <c r="D591" i="1"/>
  <c r="D650" i="1"/>
  <c r="D642" i="1"/>
  <c r="D634" i="1"/>
  <c r="D626" i="1"/>
  <c r="D621" i="1"/>
  <c r="D617" i="1"/>
  <c r="D588" i="1"/>
  <c r="D584" i="1"/>
  <c r="D582" i="1"/>
  <c r="D580" i="1"/>
  <c r="D578" i="1"/>
  <c r="D576" i="1"/>
  <c r="D574" i="1"/>
  <c r="D572" i="1"/>
  <c r="D570" i="1"/>
  <c r="D568" i="1"/>
  <c r="D566" i="1"/>
  <c r="D564" i="1"/>
  <c r="D562" i="1"/>
  <c r="D560" i="1"/>
  <c r="D558" i="1"/>
  <c r="D556" i="1"/>
  <c r="D554" i="1"/>
  <c r="D648" i="1"/>
  <c r="D640" i="1"/>
  <c r="D632" i="1"/>
  <c r="D620" i="1"/>
  <c r="D616" i="1"/>
  <c r="D586" i="1"/>
  <c r="D646" i="1"/>
  <c r="D638" i="1"/>
  <c r="D630" i="1"/>
  <c r="D623" i="1"/>
  <c r="D619" i="1"/>
  <c r="D615" i="1"/>
  <c r="D587" i="1"/>
  <c r="D585" i="1"/>
  <c r="D577" i="1"/>
  <c r="D569" i="1"/>
  <c r="D561" i="1"/>
  <c r="D644" i="1"/>
  <c r="D618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579" i="1"/>
  <c r="D571" i="1"/>
  <c r="D563" i="1"/>
  <c r="D552" i="1"/>
  <c r="D550" i="1"/>
  <c r="D548" i="1"/>
  <c r="D546" i="1"/>
  <c r="D544" i="1"/>
  <c r="D542" i="1"/>
  <c r="D540" i="1"/>
  <c r="D538" i="1"/>
  <c r="D536" i="1"/>
  <c r="D534" i="1"/>
  <c r="D532" i="1"/>
  <c r="D530" i="1"/>
  <c r="D528" i="1"/>
  <c r="D526" i="1"/>
  <c r="D524" i="1"/>
  <c r="D522" i="1"/>
  <c r="D636" i="1"/>
  <c r="D555" i="1"/>
  <c r="D581" i="1"/>
  <c r="D573" i="1"/>
  <c r="D565" i="1"/>
  <c r="D628" i="1"/>
  <c r="D583" i="1"/>
  <c r="D549" i="1"/>
  <c r="D541" i="1"/>
  <c r="D533" i="1"/>
  <c r="D525" i="1"/>
  <c r="D489" i="1"/>
  <c r="D487" i="1"/>
  <c r="D485" i="1"/>
  <c r="D483" i="1"/>
  <c r="D481" i="1"/>
  <c r="D479" i="1"/>
  <c r="D477" i="1"/>
  <c r="D475" i="1"/>
  <c r="D473" i="1"/>
  <c r="D471" i="1"/>
  <c r="D469" i="1"/>
  <c r="D467" i="1"/>
  <c r="D465" i="1"/>
  <c r="D463" i="1"/>
  <c r="D461" i="1"/>
  <c r="D459" i="1"/>
  <c r="D457" i="1"/>
  <c r="D455" i="1"/>
  <c r="D453" i="1"/>
  <c r="D451" i="1"/>
  <c r="D449" i="1"/>
  <c r="D447" i="1"/>
  <c r="D445" i="1"/>
  <c r="D443" i="1"/>
  <c r="D441" i="1"/>
  <c r="D439" i="1"/>
  <c r="D437" i="1"/>
  <c r="D435" i="1"/>
  <c r="D433" i="1"/>
  <c r="D431" i="1"/>
  <c r="D428" i="1"/>
  <c r="D622" i="1"/>
  <c r="D559" i="1"/>
  <c r="D551" i="1"/>
  <c r="D543" i="1"/>
  <c r="D535" i="1"/>
  <c r="D527" i="1"/>
  <c r="D429" i="1"/>
  <c r="D567" i="1"/>
  <c r="D557" i="1"/>
  <c r="D553" i="1"/>
  <c r="D545" i="1"/>
  <c r="D537" i="1"/>
  <c r="D529" i="1"/>
  <c r="D490" i="1"/>
  <c r="D488" i="1"/>
  <c r="D486" i="1"/>
  <c r="D484" i="1"/>
  <c r="D482" i="1"/>
  <c r="D480" i="1"/>
  <c r="D478" i="1"/>
  <c r="D476" i="1"/>
  <c r="D474" i="1"/>
  <c r="D472" i="1"/>
  <c r="D470" i="1"/>
  <c r="D468" i="1"/>
  <c r="D466" i="1"/>
  <c r="D464" i="1"/>
  <c r="D462" i="1"/>
  <c r="D460" i="1"/>
  <c r="D458" i="1"/>
  <c r="D456" i="1"/>
  <c r="D454" i="1"/>
  <c r="D452" i="1"/>
  <c r="D450" i="1"/>
  <c r="D448" i="1"/>
  <c r="D446" i="1"/>
  <c r="D444" i="1"/>
  <c r="D442" i="1"/>
  <c r="D440" i="1"/>
  <c r="D438" i="1"/>
  <c r="D436" i="1"/>
  <c r="D434" i="1"/>
  <c r="D432" i="1"/>
  <c r="D575" i="1"/>
  <c r="D547" i="1"/>
  <c r="D539" i="1"/>
  <c r="D531" i="1"/>
  <c r="D523" i="1"/>
  <c r="D368" i="1"/>
  <c r="D367" i="1"/>
  <c r="D366" i="1"/>
  <c r="D365" i="1"/>
  <c r="D364" i="1"/>
  <c r="D363" i="1"/>
  <c r="D377" i="1"/>
  <c r="D373" i="1"/>
  <c r="D369" i="1"/>
  <c r="D427" i="1"/>
  <c r="D425" i="1"/>
  <c r="D423" i="1"/>
  <c r="D421" i="1"/>
  <c r="D419" i="1"/>
  <c r="D417" i="1"/>
  <c r="D415" i="1"/>
  <c r="D413" i="1"/>
  <c r="D411" i="1"/>
  <c r="D409" i="1"/>
  <c r="D407" i="1"/>
  <c r="D405" i="1"/>
  <c r="D403" i="1"/>
  <c r="D401" i="1"/>
  <c r="D399" i="1"/>
  <c r="D397" i="1"/>
  <c r="D395" i="1"/>
  <c r="D393" i="1"/>
  <c r="D391" i="1"/>
  <c r="D389" i="1"/>
  <c r="D387" i="1"/>
  <c r="D385" i="1"/>
  <c r="D383" i="1"/>
  <c r="D381" i="1"/>
  <c r="D378" i="1"/>
  <c r="D374" i="1"/>
  <c r="D370" i="1"/>
  <c r="D379" i="1"/>
  <c r="D375" i="1"/>
  <c r="D371" i="1"/>
  <c r="D426" i="1"/>
  <c r="D418" i="1"/>
  <c r="D410" i="1"/>
  <c r="D402" i="1"/>
  <c r="D394" i="1"/>
  <c r="D386" i="1"/>
  <c r="D376" i="1"/>
  <c r="D420" i="1"/>
  <c r="D412" i="1"/>
  <c r="D404" i="1"/>
  <c r="D396" i="1"/>
  <c r="D388" i="1"/>
  <c r="D304" i="1"/>
  <c r="D303" i="1"/>
  <c r="D302" i="1"/>
  <c r="D301" i="1"/>
  <c r="D300" i="1"/>
  <c r="D380" i="1"/>
  <c r="D361" i="1"/>
  <c r="D359" i="1"/>
  <c r="D357" i="1"/>
  <c r="D355" i="1"/>
  <c r="D353" i="1"/>
  <c r="D351" i="1"/>
  <c r="D349" i="1"/>
  <c r="D347" i="1"/>
  <c r="D345" i="1"/>
  <c r="D343" i="1"/>
  <c r="D341" i="1"/>
  <c r="D339" i="1"/>
  <c r="D337" i="1"/>
  <c r="D335" i="1"/>
  <c r="D333" i="1"/>
  <c r="D331" i="1"/>
  <c r="D329" i="1"/>
  <c r="D327" i="1"/>
  <c r="D325" i="1"/>
  <c r="D323" i="1"/>
  <c r="D321" i="1"/>
  <c r="D319" i="1"/>
  <c r="D317" i="1"/>
  <c r="D315" i="1"/>
  <c r="D313" i="1"/>
  <c r="D311" i="1"/>
  <c r="D309" i="1"/>
  <c r="D307" i="1"/>
  <c r="D305" i="1"/>
  <c r="D422" i="1"/>
  <c r="D414" i="1"/>
  <c r="D406" i="1"/>
  <c r="D398" i="1"/>
  <c r="D390" i="1"/>
  <c r="D382" i="1"/>
  <c r="D416" i="1"/>
  <c r="D384" i="1"/>
  <c r="D360" i="1"/>
  <c r="D352" i="1"/>
  <c r="D344" i="1"/>
  <c r="D336" i="1"/>
  <c r="D328" i="1"/>
  <c r="D320" i="1"/>
  <c r="D312" i="1"/>
  <c r="D424" i="1"/>
  <c r="D392" i="1"/>
  <c r="D298" i="1"/>
  <c r="D296" i="1"/>
  <c r="D294" i="1"/>
  <c r="D292" i="1"/>
  <c r="D290" i="1"/>
  <c r="D288" i="1"/>
  <c r="D286" i="1"/>
  <c r="D284" i="1"/>
  <c r="D282" i="1"/>
  <c r="D280" i="1"/>
  <c r="D278" i="1"/>
  <c r="D276" i="1"/>
  <c r="D274" i="1"/>
  <c r="D272" i="1"/>
  <c r="D270" i="1"/>
  <c r="D268" i="1"/>
  <c r="D266" i="1"/>
  <c r="D264" i="1"/>
  <c r="D262" i="1"/>
  <c r="D260" i="1"/>
  <c r="D258" i="1"/>
  <c r="D256" i="1"/>
  <c r="D254" i="1"/>
  <c r="D252" i="1"/>
  <c r="D250" i="1"/>
  <c r="D248" i="1"/>
  <c r="D246" i="1"/>
  <c r="D244" i="1"/>
  <c r="D242" i="1"/>
  <c r="D240" i="1"/>
  <c r="D372" i="1"/>
  <c r="D362" i="1"/>
  <c r="D354" i="1"/>
  <c r="D346" i="1"/>
  <c r="D338" i="1"/>
  <c r="D330" i="1"/>
  <c r="D322" i="1"/>
  <c r="D314" i="1"/>
  <c r="D306" i="1"/>
  <c r="D400" i="1"/>
  <c r="D356" i="1"/>
  <c r="D348" i="1"/>
  <c r="D340" i="1"/>
  <c r="D332" i="1"/>
  <c r="D324" i="1"/>
  <c r="D316" i="1"/>
  <c r="D308" i="1"/>
  <c r="D293" i="1"/>
  <c r="D285" i="1"/>
  <c r="D277" i="1"/>
  <c r="D269" i="1"/>
  <c r="D261" i="1"/>
  <c r="D253" i="1"/>
  <c r="D245" i="1"/>
  <c r="D221" i="1"/>
  <c r="D219" i="1"/>
  <c r="D217" i="1"/>
  <c r="D215" i="1"/>
  <c r="D213" i="1"/>
  <c r="D211" i="1"/>
  <c r="D209" i="1"/>
  <c r="D207" i="1"/>
  <c r="D205" i="1"/>
  <c r="D203" i="1"/>
  <c r="D201" i="1"/>
  <c r="D199" i="1"/>
  <c r="D197" i="1"/>
  <c r="D195" i="1"/>
  <c r="D193" i="1"/>
  <c r="D191" i="1"/>
  <c r="D189" i="1"/>
  <c r="D187" i="1"/>
  <c r="D185" i="1"/>
  <c r="D183" i="1"/>
  <c r="D181" i="1"/>
  <c r="D179" i="1"/>
  <c r="D177" i="1"/>
  <c r="D342" i="1"/>
  <c r="D310" i="1"/>
  <c r="D174" i="1"/>
  <c r="D173" i="1"/>
  <c r="D172" i="1"/>
  <c r="D171" i="1"/>
  <c r="D170" i="1"/>
  <c r="D169" i="1"/>
  <c r="D168" i="1"/>
  <c r="D430" i="1"/>
  <c r="D295" i="1"/>
  <c r="D287" i="1"/>
  <c r="D279" i="1"/>
  <c r="D271" i="1"/>
  <c r="D263" i="1"/>
  <c r="D255" i="1"/>
  <c r="D247" i="1"/>
  <c r="D239" i="1"/>
  <c r="D237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175" i="1"/>
  <c r="D350" i="1"/>
  <c r="D318" i="1"/>
  <c r="D358" i="1"/>
  <c r="D326" i="1"/>
  <c r="D408" i="1"/>
  <c r="D299" i="1"/>
  <c r="D291" i="1"/>
  <c r="D283" i="1"/>
  <c r="D275" i="1"/>
  <c r="D267" i="1"/>
  <c r="D259" i="1"/>
  <c r="D251" i="1"/>
  <c r="D243" i="1"/>
  <c r="D238" i="1"/>
  <c r="D236" i="1"/>
  <c r="D289" i="1"/>
  <c r="D257" i="1"/>
  <c r="D218" i="1"/>
  <c r="D210" i="1"/>
  <c r="D202" i="1"/>
  <c r="D194" i="1"/>
  <c r="D186" i="1"/>
  <c r="D178" i="1"/>
  <c r="D334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297" i="1"/>
  <c r="D265" i="1"/>
  <c r="D220" i="1"/>
  <c r="D212" i="1"/>
  <c r="D204" i="1"/>
  <c r="D196" i="1"/>
  <c r="D188" i="1"/>
  <c r="D180" i="1"/>
  <c r="D16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273" i="1"/>
  <c r="D241" i="1"/>
  <c r="D222" i="1"/>
  <c r="D214" i="1"/>
  <c r="D206" i="1"/>
  <c r="D198" i="1"/>
  <c r="D190" i="1"/>
  <c r="D182" i="1"/>
  <c r="D281" i="1"/>
  <c r="D249" i="1"/>
  <c r="D216" i="1"/>
  <c r="D208" i="1"/>
  <c r="D200" i="1"/>
  <c r="D192" i="1"/>
  <c r="D184" i="1"/>
  <c r="D176" i="1"/>
  <c r="D666" i="1"/>
  <c r="D668" i="1"/>
  <c r="D655" i="1"/>
  <c r="D669" i="1"/>
  <c r="D663" i="1"/>
  <c r="D667" i="1"/>
  <c r="D653" i="1"/>
  <c r="D665" i="1"/>
  <c r="F20" i="1"/>
  <c r="D660" i="1"/>
  <c r="D658" i="1"/>
  <c r="D34" i="1"/>
  <c r="D670" i="1"/>
  <c r="D652" i="1"/>
  <c r="D662" i="1"/>
  <c r="D659" i="1"/>
  <c r="D661" i="1"/>
  <c r="D664" i="1"/>
  <c r="A17" i="1"/>
  <c r="D657" i="1"/>
  <c r="E12" i="1"/>
  <c r="U667" i="1"/>
  <c r="D656" i="1"/>
  <c r="U668" i="1"/>
  <c r="D654" i="1"/>
  <c r="U658" i="1"/>
  <c r="U665" i="1"/>
  <c r="U657" i="1"/>
  <c r="U659" i="1"/>
  <c r="U666" i="1"/>
  <c r="U669" i="1"/>
  <c r="U652" i="1"/>
  <c r="H34" i="1"/>
  <c r="U664" i="1"/>
  <c r="U656" i="1"/>
  <c r="U654" i="1"/>
  <c r="U663" i="1"/>
  <c r="U655" i="1"/>
  <c r="U661" i="1"/>
  <c r="U660" i="1"/>
  <c r="U670" i="1"/>
  <c r="U662" i="1"/>
  <c r="U653" i="1"/>
  <c r="U73" i="1"/>
  <c r="U77" i="1"/>
  <c r="U81" i="1"/>
  <c r="U85" i="1"/>
  <c r="U89" i="1"/>
  <c r="U93" i="1"/>
  <c r="U97" i="1"/>
  <c r="U101" i="1"/>
  <c r="U105" i="1"/>
  <c r="U67" i="1"/>
  <c r="U71" i="1"/>
  <c r="U75" i="1"/>
  <c r="U79" i="1"/>
  <c r="U83" i="1"/>
  <c r="U87" i="1"/>
  <c r="U91" i="1"/>
  <c r="U95" i="1"/>
  <c r="U99" i="1"/>
  <c r="U103" i="1"/>
  <c r="U54" i="1"/>
  <c r="U58" i="1"/>
  <c r="U62" i="1"/>
  <c r="U66" i="1"/>
  <c r="U70" i="1"/>
  <c r="U49" i="1"/>
  <c r="U53" i="1"/>
  <c r="U57" i="1"/>
  <c r="U61" i="1"/>
  <c r="U65" i="1"/>
  <c r="U69" i="1"/>
  <c r="U72" i="1"/>
  <c r="U74" i="1"/>
  <c r="U76" i="1"/>
  <c r="U78" i="1"/>
  <c r="U80" i="1"/>
  <c r="U82" i="1"/>
  <c r="U84" i="1"/>
  <c r="U86" i="1"/>
  <c r="U88" i="1"/>
  <c r="U90" i="1"/>
  <c r="U92" i="1"/>
  <c r="U94" i="1"/>
  <c r="U96" i="1"/>
  <c r="U98" i="1"/>
  <c r="U100" i="1"/>
  <c r="U102" i="1"/>
  <c r="U104" i="1"/>
  <c r="U48" i="1"/>
  <c r="U52" i="1"/>
  <c r="U59" i="1"/>
  <c r="U47" i="1"/>
  <c r="U51" i="1"/>
  <c r="U56" i="1"/>
  <c r="U60" i="1"/>
  <c r="U64" i="1"/>
  <c r="U68" i="1"/>
  <c r="U55" i="1"/>
  <c r="U63" i="1"/>
  <c r="U50" i="1"/>
  <c r="U237" i="1"/>
  <c r="U235" i="1"/>
  <c r="U175" i="1"/>
  <c r="U177" i="1"/>
  <c r="U179" i="1"/>
  <c r="U181" i="1"/>
  <c r="U183" i="1"/>
  <c r="U185" i="1"/>
  <c r="U187" i="1"/>
  <c r="U189" i="1"/>
  <c r="U191" i="1"/>
  <c r="U193" i="1"/>
  <c r="U195" i="1"/>
  <c r="U197" i="1"/>
  <c r="U199" i="1"/>
  <c r="U201" i="1"/>
  <c r="U203" i="1"/>
  <c r="U205" i="1"/>
  <c r="U207" i="1"/>
  <c r="U209" i="1"/>
  <c r="U211" i="1"/>
  <c r="U213" i="1"/>
  <c r="U215" i="1"/>
  <c r="U217" i="1"/>
  <c r="U219" i="1"/>
  <c r="U221" i="1"/>
  <c r="U174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6" i="1"/>
  <c r="U238" i="1"/>
  <c r="U429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6" i="1"/>
  <c r="U178" i="1"/>
  <c r="U180" i="1"/>
  <c r="U182" i="1"/>
  <c r="U184" i="1"/>
  <c r="U186" i="1"/>
  <c r="U188" i="1"/>
  <c r="U190" i="1"/>
  <c r="U192" i="1"/>
  <c r="U194" i="1"/>
  <c r="U196" i="1"/>
  <c r="U198" i="1"/>
  <c r="U200" i="1"/>
  <c r="U202" i="1"/>
  <c r="U204" i="1"/>
  <c r="U206" i="1"/>
  <c r="U208" i="1"/>
  <c r="U210" i="1"/>
  <c r="U212" i="1"/>
  <c r="U214" i="1"/>
  <c r="U216" i="1"/>
  <c r="U218" i="1"/>
  <c r="U220" i="1"/>
  <c r="U378" i="1"/>
  <c r="U304" i="1"/>
  <c r="U306" i="1"/>
  <c r="U308" i="1"/>
  <c r="U310" i="1"/>
  <c r="U312" i="1"/>
  <c r="U314" i="1"/>
  <c r="U316" i="1"/>
  <c r="U318" i="1"/>
  <c r="U320" i="1"/>
  <c r="U322" i="1"/>
  <c r="U324" i="1"/>
  <c r="U326" i="1"/>
  <c r="U328" i="1"/>
  <c r="U330" i="1"/>
  <c r="U332" i="1"/>
  <c r="U334" i="1"/>
  <c r="U336" i="1"/>
  <c r="U338" i="1"/>
  <c r="U340" i="1"/>
  <c r="U342" i="1"/>
  <c r="U344" i="1"/>
  <c r="U346" i="1"/>
  <c r="U348" i="1"/>
  <c r="U350" i="1"/>
  <c r="U352" i="1"/>
  <c r="U354" i="1"/>
  <c r="U356" i="1"/>
  <c r="U358" i="1"/>
  <c r="U360" i="1"/>
  <c r="U362" i="1"/>
  <c r="U363" i="1"/>
  <c r="U364" i="1"/>
  <c r="U365" i="1"/>
  <c r="U366" i="1"/>
  <c r="U374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427" i="1"/>
  <c r="U370" i="1"/>
  <c r="U305" i="1"/>
  <c r="U307" i="1"/>
  <c r="U309" i="1"/>
  <c r="U311" i="1"/>
  <c r="U313" i="1"/>
  <c r="U315" i="1"/>
  <c r="U317" i="1"/>
  <c r="U319" i="1"/>
  <c r="U321" i="1"/>
  <c r="U323" i="1"/>
  <c r="U325" i="1"/>
  <c r="U327" i="1"/>
  <c r="U329" i="1"/>
  <c r="U331" i="1"/>
  <c r="U333" i="1"/>
  <c r="U335" i="1"/>
  <c r="U337" i="1"/>
  <c r="U339" i="1"/>
  <c r="U341" i="1"/>
  <c r="U343" i="1"/>
  <c r="U345" i="1"/>
  <c r="U347" i="1"/>
  <c r="U349" i="1"/>
  <c r="U351" i="1"/>
  <c r="U353" i="1"/>
  <c r="U355" i="1"/>
  <c r="U357" i="1"/>
  <c r="U359" i="1"/>
  <c r="U361" i="1"/>
  <c r="U556" i="1"/>
  <c r="U369" i="1"/>
  <c r="U373" i="1"/>
  <c r="U377" i="1"/>
  <c r="U566" i="1"/>
  <c r="U574" i="1"/>
  <c r="U368" i="1"/>
  <c r="U372" i="1"/>
  <c r="U376" i="1"/>
  <c r="U367" i="1"/>
  <c r="U371" i="1"/>
  <c r="U375" i="1"/>
  <c r="U379" i="1"/>
  <c r="U428" i="1"/>
  <c r="U558" i="1"/>
  <c r="U582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564" i="1"/>
  <c r="U572" i="1"/>
  <c r="U580" i="1"/>
  <c r="U553" i="1"/>
  <c r="U554" i="1"/>
  <c r="U555" i="1"/>
  <c r="U562" i="1"/>
  <c r="U570" i="1"/>
  <c r="U578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60" i="1"/>
  <c r="U568" i="1"/>
  <c r="U576" i="1"/>
  <c r="U584" i="1"/>
  <c r="U557" i="1"/>
  <c r="U559" i="1"/>
  <c r="U561" i="1"/>
  <c r="U563" i="1"/>
  <c r="U565" i="1"/>
  <c r="U567" i="1"/>
  <c r="U569" i="1"/>
  <c r="U571" i="1"/>
  <c r="U573" i="1"/>
  <c r="U575" i="1"/>
  <c r="U577" i="1"/>
  <c r="U579" i="1"/>
  <c r="U581" i="1"/>
  <c r="U583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35" i="1"/>
  <c r="U36" i="1"/>
  <c r="U37" i="1"/>
  <c r="U38" i="1"/>
  <c r="U39" i="1"/>
  <c r="U40" i="1"/>
  <c r="U41" i="1"/>
  <c r="U42" i="1"/>
  <c r="U43" i="1"/>
  <c r="U44" i="1"/>
  <c r="U45" i="1"/>
  <c r="U46" i="1"/>
  <c r="E34" i="1"/>
  <c r="U34" i="1" s="1"/>
  <c r="B19" i="1" l="1"/>
  <c r="B27" i="1"/>
  <c r="B20" i="1"/>
  <c r="B28" i="1"/>
  <c r="B21" i="1"/>
  <c r="B29" i="1"/>
  <c r="B22" i="1"/>
  <c r="B18" i="1"/>
  <c r="B23" i="1"/>
  <c r="B24" i="1"/>
  <c r="B26" i="1"/>
  <c r="B25" i="1"/>
  <c r="F42" i="1"/>
  <c r="F44" i="1"/>
  <c r="F45" i="1"/>
  <c r="F46" i="1"/>
  <c r="G35" i="1"/>
  <c r="G36" i="1"/>
  <c r="G37" i="1"/>
  <c r="F35" i="1"/>
  <c r="F36" i="1"/>
  <c r="F37" i="1"/>
  <c r="F38" i="1"/>
  <c r="F39" i="1"/>
  <c r="F40" i="1"/>
  <c r="F41" i="1"/>
  <c r="F43" i="1"/>
  <c r="G38" i="1"/>
  <c r="G39" i="1"/>
  <c r="G40" i="1"/>
  <c r="G41" i="1"/>
  <c r="G42" i="1"/>
  <c r="G43" i="1"/>
  <c r="G44" i="1"/>
  <c r="G45" i="1"/>
  <c r="G46" i="1"/>
  <c r="G110" i="1"/>
  <c r="G114" i="1"/>
  <c r="G118" i="1"/>
  <c r="G122" i="1"/>
  <c r="G126" i="1"/>
  <c r="G130" i="1"/>
  <c r="G134" i="1"/>
  <c r="G138" i="1"/>
  <c r="G142" i="1"/>
  <c r="G146" i="1"/>
  <c r="G150" i="1"/>
  <c r="G154" i="1"/>
  <c r="G111" i="1"/>
  <c r="G115" i="1"/>
  <c r="G119" i="1"/>
  <c r="G123" i="1"/>
  <c r="G127" i="1"/>
  <c r="G135" i="1"/>
  <c r="G139" i="1"/>
  <c r="G143" i="1"/>
  <c r="G147" i="1"/>
  <c r="G151" i="1"/>
  <c r="F47" i="1"/>
  <c r="F48" i="1"/>
  <c r="F49" i="1"/>
  <c r="F50" i="1"/>
  <c r="F51" i="1"/>
  <c r="F52" i="1"/>
  <c r="F53" i="1"/>
  <c r="F54" i="1"/>
  <c r="G107" i="1"/>
  <c r="G131" i="1"/>
  <c r="G108" i="1"/>
  <c r="G112" i="1"/>
  <c r="G116" i="1"/>
  <c r="G120" i="1"/>
  <c r="G124" i="1"/>
  <c r="G128" i="1"/>
  <c r="G132" i="1"/>
  <c r="G136" i="1"/>
  <c r="G140" i="1"/>
  <c r="G144" i="1"/>
  <c r="G148" i="1"/>
  <c r="G152" i="1"/>
  <c r="G109" i="1"/>
  <c r="G113" i="1"/>
  <c r="G117" i="1"/>
  <c r="G121" i="1"/>
  <c r="G125" i="1"/>
  <c r="G129" i="1"/>
  <c r="G133" i="1"/>
  <c r="G137" i="1"/>
  <c r="G141" i="1"/>
  <c r="G145" i="1"/>
  <c r="G149" i="1"/>
  <c r="G153" i="1"/>
  <c r="G155" i="1"/>
  <c r="G157" i="1"/>
  <c r="G159" i="1"/>
  <c r="G161" i="1"/>
  <c r="G163" i="1"/>
  <c r="G165" i="1"/>
  <c r="F181" i="1"/>
  <c r="F197" i="1"/>
  <c r="F205" i="1"/>
  <c r="F221" i="1"/>
  <c r="G156" i="1"/>
  <c r="G158" i="1"/>
  <c r="G160" i="1"/>
  <c r="G162" i="1"/>
  <c r="G164" i="1"/>
  <c r="G166" i="1"/>
  <c r="F189" i="1"/>
  <c r="F213" i="1"/>
  <c r="G168" i="1"/>
  <c r="G170" i="1"/>
  <c r="G172" i="1"/>
  <c r="G174" i="1"/>
  <c r="F179" i="1"/>
  <c r="F187" i="1"/>
  <c r="F195" i="1"/>
  <c r="F203" i="1"/>
  <c r="F211" i="1"/>
  <c r="F219" i="1"/>
  <c r="F358" i="1"/>
  <c r="F177" i="1"/>
  <c r="F185" i="1"/>
  <c r="F193" i="1"/>
  <c r="F201" i="1"/>
  <c r="F209" i="1"/>
  <c r="F217" i="1"/>
  <c r="F58" i="1"/>
  <c r="F61" i="1"/>
  <c r="F64" i="1"/>
  <c r="F67" i="1"/>
  <c r="F70" i="1"/>
  <c r="F71" i="1"/>
  <c r="F73" i="1"/>
  <c r="F74" i="1"/>
  <c r="F77" i="1"/>
  <c r="F80" i="1"/>
  <c r="F82" i="1"/>
  <c r="F85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326" i="1"/>
  <c r="F55" i="1"/>
  <c r="F56" i="1"/>
  <c r="F57" i="1"/>
  <c r="F59" i="1"/>
  <c r="F60" i="1"/>
  <c r="F62" i="1"/>
  <c r="F63" i="1"/>
  <c r="F65" i="1"/>
  <c r="F66" i="1"/>
  <c r="F68" i="1"/>
  <c r="F69" i="1"/>
  <c r="F72" i="1"/>
  <c r="F75" i="1"/>
  <c r="F76" i="1"/>
  <c r="F78" i="1"/>
  <c r="F79" i="1"/>
  <c r="F81" i="1"/>
  <c r="F83" i="1"/>
  <c r="F84" i="1"/>
  <c r="F8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67" i="1"/>
  <c r="G169" i="1"/>
  <c r="G171" i="1"/>
  <c r="G173" i="1"/>
  <c r="F183" i="1"/>
  <c r="F191" i="1"/>
  <c r="F199" i="1"/>
  <c r="F207" i="1"/>
  <c r="F215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334" i="1"/>
  <c r="F176" i="1"/>
  <c r="F178" i="1"/>
  <c r="F180" i="1"/>
  <c r="F182" i="1"/>
  <c r="F184" i="1"/>
  <c r="F186" i="1"/>
  <c r="F188" i="1"/>
  <c r="F190" i="1"/>
  <c r="F192" i="1"/>
  <c r="F194" i="1"/>
  <c r="F196" i="1"/>
  <c r="F198" i="1"/>
  <c r="F200" i="1"/>
  <c r="F202" i="1"/>
  <c r="F204" i="1"/>
  <c r="F206" i="1"/>
  <c r="F208" i="1"/>
  <c r="F210" i="1"/>
  <c r="F212" i="1"/>
  <c r="F214" i="1"/>
  <c r="F216" i="1"/>
  <c r="F218" i="1"/>
  <c r="F220" i="1"/>
  <c r="F318" i="1"/>
  <c r="F350" i="1"/>
  <c r="F175" i="1"/>
  <c r="F167" i="1"/>
  <c r="F168" i="1"/>
  <c r="F169" i="1"/>
  <c r="F170" i="1"/>
  <c r="F171" i="1"/>
  <c r="F172" i="1"/>
  <c r="F173" i="1"/>
  <c r="F174" i="1"/>
  <c r="F310" i="1"/>
  <c r="F342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1" i="1"/>
  <c r="F243" i="1"/>
  <c r="F245" i="1"/>
  <c r="F247" i="1"/>
  <c r="F249" i="1"/>
  <c r="F251" i="1"/>
  <c r="F253" i="1"/>
  <c r="F255" i="1"/>
  <c r="F257" i="1"/>
  <c r="F259" i="1"/>
  <c r="F261" i="1"/>
  <c r="F263" i="1"/>
  <c r="F265" i="1"/>
  <c r="F267" i="1"/>
  <c r="F269" i="1"/>
  <c r="F271" i="1"/>
  <c r="F273" i="1"/>
  <c r="F275" i="1"/>
  <c r="F277" i="1"/>
  <c r="F279" i="1"/>
  <c r="F281" i="1"/>
  <c r="F283" i="1"/>
  <c r="F285" i="1"/>
  <c r="F287" i="1"/>
  <c r="F289" i="1"/>
  <c r="F291" i="1"/>
  <c r="F293" i="1"/>
  <c r="F295" i="1"/>
  <c r="F297" i="1"/>
  <c r="F299" i="1"/>
  <c r="G481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1" i="1"/>
  <c r="G243" i="1"/>
  <c r="G245" i="1"/>
  <c r="G247" i="1"/>
  <c r="G249" i="1"/>
  <c r="G251" i="1"/>
  <c r="G253" i="1"/>
  <c r="G255" i="1"/>
  <c r="G257" i="1"/>
  <c r="G259" i="1"/>
  <c r="G261" i="1"/>
  <c r="G263" i="1"/>
  <c r="G265" i="1"/>
  <c r="G267" i="1"/>
  <c r="G269" i="1"/>
  <c r="G271" i="1"/>
  <c r="G273" i="1"/>
  <c r="G275" i="1"/>
  <c r="G277" i="1"/>
  <c r="G279" i="1"/>
  <c r="G281" i="1"/>
  <c r="G283" i="1"/>
  <c r="G285" i="1"/>
  <c r="G287" i="1"/>
  <c r="G289" i="1"/>
  <c r="G291" i="1"/>
  <c r="G293" i="1"/>
  <c r="G295" i="1"/>
  <c r="G297" i="1"/>
  <c r="G299" i="1"/>
  <c r="F308" i="1"/>
  <c r="F316" i="1"/>
  <c r="F324" i="1"/>
  <c r="F332" i="1"/>
  <c r="F340" i="1"/>
  <c r="F348" i="1"/>
  <c r="F356" i="1"/>
  <c r="F300" i="1"/>
  <c r="G449" i="1"/>
  <c r="G492" i="1"/>
  <c r="G300" i="1"/>
  <c r="F306" i="1"/>
  <c r="F314" i="1"/>
  <c r="F322" i="1"/>
  <c r="F330" i="1"/>
  <c r="F338" i="1"/>
  <c r="F346" i="1"/>
  <c r="F354" i="1"/>
  <c r="F362" i="1"/>
  <c r="F372" i="1"/>
  <c r="F240" i="1"/>
  <c r="F242" i="1"/>
  <c r="F244" i="1"/>
  <c r="F246" i="1"/>
  <c r="F248" i="1"/>
  <c r="F250" i="1"/>
  <c r="F252" i="1"/>
  <c r="F254" i="1"/>
  <c r="F256" i="1"/>
  <c r="F258" i="1"/>
  <c r="F260" i="1"/>
  <c r="F262" i="1"/>
  <c r="F264" i="1"/>
  <c r="F266" i="1"/>
  <c r="F268" i="1"/>
  <c r="F270" i="1"/>
  <c r="F272" i="1"/>
  <c r="F274" i="1"/>
  <c r="F276" i="1"/>
  <c r="F278" i="1"/>
  <c r="F280" i="1"/>
  <c r="F282" i="1"/>
  <c r="F284" i="1"/>
  <c r="F286" i="1"/>
  <c r="F288" i="1"/>
  <c r="F290" i="1"/>
  <c r="F292" i="1"/>
  <c r="F294" i="1"/>
  <c r="F296" i="1"/>
  <c r="F298" i="1"/>
  <c r="F301" i="1"/>
  <c r="G240" i="1"/>
  <c r="G242" i="1"/>
  <c r="G244" i="1"/>
  <c r="G246" i="1"/>
  <c r="G248" i="1"/>
  <c r="G250" i="1"/>
  <c r="G252" i="1"/>
  <c r="G254" i="1"/>
  <c r="G256" i="1"/>
  <c r="G258" i="1"/>
  <c r="G260" i="1"/>
  <c r="G262" i="1"/>
  <c r="G264" i="1"/>
  <c r="G266" i="1"/>
  <c r="G268" i="1"/>
  <c r="G270" i="1"/>
  <c r="G272" i="1"/>
  <c r="G274" i="1"/>
  <c r="G276" i="1"/>
  <c r="G278" i="1"/>
  <c r="G280" i="1"/>
  <c r="G282" i="1"/>
  <c r="G284" i="1"/>
  <c r="G286" i="1"/>
  <c r="G288" i="1"/>
  <c r="G290" i="1"/>
  <c r="G292" i="1"/>
  <c r="G294" i="1"/>
  <c r="G296" i="1"/>
  <c r="G298" i="1"/>
  <c r="F312" i="1"/>
  <c r="F320" i="1"/>
  <c r="F328" i="1"/>
  <c r="F336" i="1"/>
  <c r="F344" i="1"/>
  <c r="F352" i="1"/>
  <c r="F360" i="1"/>
  <c r="G306" i="1"/>
  <c r="G308" i="1"/>
  <c r="G310" i="1"/>
  <c r="G312" i="1"/>
  <c r="G314" i="1"/>
  <c r="G316" i="1"/>
  <c r="G318" i="1"/>
  <c r="G320" i="1"/>
  <c r="G322" i="1"/>
  <c r="G324" i="1"/>
  <c r="G326" i="1"/>
  <c r="G328" i="1"/>
  <c r="G330" i="1"/>
  <c r="G332" i="1"/>
  <c r="G334" i="1"/>
  <c r="G336" i="1"/>
  <c r="G338" i="1"/>
  <c r="G340" i="1"/>
  <c r="G342" i="1"/>
  <c r="G344" i="1"/>
  <c r="G346" i="1"/>
  <c r="G348" i="1"/>
  <c r="G350" i="1"/>
  <c r="G352" i="1"/>
  <c r="G354" i="1"/>
  <c r="G356" i="1"/>
  <c r="G358" i="1"/>
  <c r="G360" i="1"/>
  <c r="G362" i="1"/>
  <c r="F368" i="1"/>
  <c r="G377" i="1"/>
  <c r="G441" i="1"/>
  <c r="G473" i="1"/>
  <c r="G368" i="1"/>
  <c r="G499" i="1"/>
  <c r="F363" i="1"/>
  <c r="F364" i="1"/>
  <c r="F365" i="1"/>
  <c r="F366" i="1"/>
  <c r="F367" i="1"/>
  <c r="G373" i="1"/>
  <c r="G433" i="1"/>
  <c r="G465" i="1"/>
  <c r="F305" i="1"/>
  <c r="F307" i="1"/>
  <c r="F309" i="1"/>
  <c r="F311" i="1"/>
  <c r="F313" i="1"/>
  <c r="F315" i="1"/>
  <c r="F317" i="1"/>
  <c r="F319" i="1"/>
  <c r="F321" i="1"/>
  <c r="F323" i="1"/>
  <c r="F325" i="1"/>
  <c r="F327" i="1"/>
  <c r="F329" i="1"/>
  <c r="F331" i="1"/>
  <c r="F333" i="1"/>
  <c r="F335" i="1"/>
  <c r="F337" i="1"/>
  <c r="F339" i="1"/>
  <c r="F341" i="1"/>
  <c r="F343" i="1"/>
  <c r="F345" i="1"/>
  <c r="F347" i="1"/>
  <c r="F349" i="1"/>
  <c r="F351" i="1"/>
  <c r="F353" i="1"/>
  <c r="F355" i="1"/>
  <c r="F357" i="1"/>
  <c r="F359" i="1"/>
  <c r="F361" i="1"/>
  <c r="G363" i="1"/>
  <c r="G364" i="1"/>
  <c r="G365" i="1"/>
  <c r="G366" i="1"/>
  <c r="G367" i="1"/>
  <c r="F380" i="1"/>
  <c r="G428" i="1"/>
  <c r="G507" i="1"/>
  <c r="F302" i="1"/>
  <c r="F303" i="1"/>
  <c r="F304" i="1"/>
  <c r="G305" i="1"/>
  <c r="G307" i="1"/>
  <c r="G309" i="1"/>
  <c r="G311" i="1"/>
  <c r="G313" i="1"/>
  <c r="G315" i="1"/>
  <c r="G317" i="1"/>
  <c r="G319" i="1"/>
  <c r="G321" i="1"/>
  <c r="G323" i="1"/>
  <c r="G325" i="1"/>
  <c r="G327" i="1"/>
  <c r="G329" i="1"/>
  <c r="G331" i="1"/>
  <c r="G333" i="1"/>
  <c r="G335" i="1"/>
  <c r="G337" i="1"/>
  <c r="G339" i="1"/>
  <c r="G341" i="1"/>
  <c r="G343" i="1"/>
  <c r="G345" i="1"/>
  <c r="G347" i="1"/>
  <c r="G349" i="1"/>
  <c r="G351" i="1"/>
  <c r="G353" i="1"/>
  <c r="G355" i="1"/>
  <c r="G357" i="1"/>
  <c r="G359" i="1"/>
  <c r="G361" i="1"/>
  <c r="G369" i="1"/>
  <c r="G457" i="1"/>
  <c r="G489" i="1"/>
  <c r="G301" i="1"/>
  <c r="G302" i="1"/>
  <c r="G303" i="1"/>
  <c r="G304" i="1"/>
  <c r="F376" i="1"/>
  <c r="G515" i="1"/>
  <c r="G372" i="1"/>
  <c r="G376" i="1"/>
  <c r="G380" i="1"/>
  <c r="F382" i="1"/>
  <c r="F384" i="1"/>
  <c r="F386" i="1"/>
  <c r="F388" i="1"/>
  <c r="F390" i="1"/>
  <c r="F392" i="1"/>
  <c r="F394" i="1"/>
  <c r="F396" i="1"/>
  <c r="F398" i="1"/>
  <c r="F400" i="1"/>
  <c r="F402" i="1"/>
  <c r="F404" i="1"/>
  <c r="F406" i="1"/>
  <c r="F408" i="1"/>
  <c r="F410" i="1"/>
  <c r="F412" i="1"/>
  <c r="F414" i="1"/>
  <c r="F416" i="1"/>
  <c r="F418" i="1"/>
  <c r="F420" i="1"/>
  <c r="F422" i="1"/>
  <c r="F424" i="1"/>
  <c r="F426" i="1"/>
  <c r="G429" i="1"/>
  <c r="G439" i="1"/>
  <c r="G447" i="1"/>
  <c r="G455" i="1"/>
  <c r="G463" i="1"/>
  <c r="G471" i="1"/>
  <c r="G479" i="1"/>
  <c r="G487" i="1"/>
  <c r="G493" i="1"/>
  <c r="F371" i="1"/>
  <c r="F375" i="1"/>
  <c r="F379" i="1"/>
  <c r="G382" i="1"/>
  <c r="G384" i="1"/>
  <c r="G386" i="1"/>
  <c r="G388" i="1"/>
  <c r="G390" i="1"/>
  <c r="G392" i="1"/>
  <c r="G394" i="1"/>
  <c r="G396" i="1"/>
  <c r="G398" i="1"/>
  <c r="G400" i="1"/>
  <c r="G402" i="1"/>
  <c r="G404" i="1"/>
  <c r="G406" i="1"/>
  <c r="G408" i="1"/>
  <c r="G410" i="1"/>
  <c r="G412" i="1"/>
  <c r="G414" i="1"/>
  <c r="G416" i="1"/>
  <c r="G418" i="1"/>
  <c r="G420" i="1"/>
  <c r="G422" i="1"/>
  <c r="G424" i="1"/>
  <c r="G426" i="1"/>
  <c r="G501" i="1"/>
  <c r="G509" i="1"/>
  <c r="G517" i="1"/>
  <c r="G371" i="1"/>
  <c r="G375" i="1"/>
  <c r="G379" i="1"/>
  <c r="G437" i="1"/>
  <c r="G445" i="1"/>
  <c r="G453" i="1"/>
  <c r="G461" i="1"/>
  <c r="G469" i="1"/>
  <c r="G477" i="1"/>
  <c r="G485" i="1"/>
  <c r="F370" i="1"/>
  <c r="F374" i="1"/>
  <c r="F378" i="1"/>
  <c r="G495" i="1"/>
  <c r="G503" i="1"/>
  <c r="G511" i="1"/>
  <c r="G519" i="1"/>
  <c r="G370" i="1"/>
  <c r="G374" i="1"/>
  <c r="G378" i="1"/>
  <c r="F381" i="1"/>
  <c r="F383" i="1"/>
  <c r="F385" i="1"/>
  <c r="F387" i="1"/>
  <c r="F389" i="1"/>
  <c r="F391" i="1"/>
  <c r="F393" i="1"/>
  <c r="F395" i="1"/>
  <c r="F397" i="1"/>
  <c r="F399" i="1"/>
  <c r="F401" i="1"/>
  <c r="F403" i="1"/>
  <c r="F405" i="1"/>
  <c r="F407" i="1"/>
  <c r="F409" i="1"/>
  <c r="F411" i="1"/>
  <c r="F413" i="1"/>
  <c r="F415" i="1"/>
  <c r="F417" i="1"/>
  <c r="F419" i="1"/>
  <c r="F421" i="1"/>
  <c r="F423" i="1"/>
  <c r="F425" i="1"/>
  <c r="F427" i="1"/>
  <c r="G435" i="1"/>
  <c r="G443" i="1"/>
  <c r="G451" i="1"/>
  <c r="G459" i="1"/>
  <c r="G467" i="1"/>
  <c r="G475" i="1"/>
  <c r="G483" i="1"/>
  <c r="F369" i="1"/>
  <c r="F373" i="1"/>
  <c r="F377" i="1"/>
  <c r="G381" i="1"/>
  <c r="G383" i="1"/>
  <c r="G385" i="1"/>
  <c r="G387" i="1"/>
  <c r="G389" i="1"/>
  <c r="G391" i="1"/>
  <c r="G393" i="1"/>
  <c r="G395" i="1"/>
  <c r="G397" i="1"/>
  <c r="G399" i="1"/>
  <c r="G401" i="1"/>
  <c r="G403" i="1"/>
  <c r="G405" i="1"/>
  <c r="G407" i="1"/>
  <c r="G409" i="1"/>
  <c r="G411" i="1"/>
  <c r="G413" i="1"/>
  <c r="G415" i="1"/>
  <c r="G417" i="1"/>
  <c r="G419" i="1"/>
  <c r="G421" i="1"/>
  <c r="G423" i="1"/>
  <c r="G425" i="1"/>
  <c r="G427" i="1"/>
  <c r="G431" i="1"/>
  <c r="G497" i="1"/>
  <c r="G505" i="1"/>
  <c r="G513" i="1"/>
  <c r="G521" i="1"/>
  <c r="F595" i="1"/>
  <c r="G430" i="1"/>
  <c r="G432" i="1"/>
  <c r="G434" i="1"/>
  <c r="G436" i="1"/>
  <c r="G438" i="1"/>
  <c r="G440" i="1"/>
  <c r="G442" i="1"/>
  <c r="G444" i="1"/>
  <c r="G446" i="1"/>
  <c r="G448" i="1"/>
  <c r="G450" i="1"/>
  <c r="G452" i="1"/>
  <c r="G454" i="1"/>
  <c r="G456" i="1"/>
  <c r="G458" i="1"/>
  <c r="G460" i="1"/>
  <c r="G462" i="1"/>
  <c r="G464" i="1"/>
  <c r="G466" i="1"/>
  <c r="G468" i="1"/>
  <c r="G470" i="1"/>
  <c r="G472" i="1"/>
  <c r="G474" i="1"/>
  <c r="G476" i="1"/>
  <c r="G478" i="1"/>
  <c r="G480" i="1"/>
  <c r="G482" i="1"/>
  <c r="G484" i="1"/>
  <c r="G486" i="1"/>
  <c r="G488" i="1"/>
  <c r="G490" i="1"/>
  <c r="G494" i="1"/>
  <c r="G496" i="1"/>
  <c r="G498" i="1"/>
  <c r="G500" i="1"/>
  <c r="G502" i="1"/>
  <c r="G504" i="1"/>
  <c r="G506" i="1"/>
  <c r="G508" i="1"/>
  <c r="G510" i="1"/>
  <c r="G512" i="1"/>
  <c r="G514" i="1"/>
  <c r="G516" i="1"/>
  <c r="G518" i="1"/>
  <c r="G520" i="1"/>
  <c r="G491" i="1"/>
  <c r="G622" i="1"/>
  <c r="F523" i="1"/>
  <c r="F525" i="1"/>
  <c r="F527" i="1"/>
  <c r="F529" i="1"/>
  <c r="F531" i="1"/>
  <c r="F533" i="1"/>
  <c r="F535" i="1"/>
  <c r="F537" i="1"/>
  <c r="F539" i="1"/>
  <c r="F541" i="1"/>
  <c r="F543" i="1"/>
  <c r="F545" i="1"/>
  <c r="F547" i="1"/>
  <c r="F549" i="1"/>
  <c r="F551" i="1"/>
  <c r="G553" i="1"/>
  <c r="F598" i="1"/>
  <c r="G523" i="1"/>
  <c r="G525" i="1"/>
  <c r="G527" i="1"/>
  <c r="G529" i="1"/>
  <c r="G531" i="1"/>
  <c r="G533" i="1"/>
  <c r="G535" i="1"/>
  <c r="G537" i="1"/>
  <c r="G539" i="1"/>
  <c r="G541" i="1"/>
  <c r="G543" i="1"/>
  <c r="G545" i="1"/>
  <c r="G547" i="1"/>
  <c r="G549" i="1"/>
  <c r="G551" i="1"/>
  <c r="F611" i="1"/>
  <c r="G554" i="1"/>
  <c r="F614" i="1"/>
  <c r="G555" i="1"/>
  <c r="F522" i="1"/>
  <c r="F524" i="1"/>
  <c r="F526" i="1"/>
  <c r="F528" i="1"/>
  <c r="F530" i="1"/>
  <c r="F532" i="1"/>
  <c r="F534" i="1"/>
  <c r="F536" i="1"/>
  <c r="F538" i="1"/>
  <c r="F540" i="1"/>
  <c r="F542" i="1"/>
  <c r="F544" i="1"/>
  <c r="F546" i="1"/>
  <c r="F548" i="1"/>
  <c r="F550" i="1"/>
  <c r="F552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G522" i="1"/>
  <c r="G524" i="1"/>
  <c r="G526" i="1"/>
  <c r="G528" i="1"/>
  <c r="G530" i="1"/>
  <c r="G532" i="1"/>
  <c r="G534" i="1"/>
  <c r="G536" i="1"/>
  <c r="G538" i="1"/>
  <c r="G540" i="1"/>
  <c r="G542" i="1"/>
  <c r="G544" i="1"/>
  <c r="G546" i="1"/>
  <c r="G548" i="1"/>
  <c r="G550" i="1"/>
  <c r="G552" i="1"/>
  <c r="G618" i="1"/>
  <c r="G557" i="1"/>
  <c r="G559" i="1"/>
  <c r="G561" i="1"/>
  <c r="G563" i="1"/>
  <c r="G565" i="1"/>
  <c r="G567" i="1"/>
  <c r="G569" i="1"/>
  <c r="G571" i="1"/>
  <c r="G573" i="1"/>
  <c r="G575" i="1"/>
  <c r="G577" i="1"/>
  <c r="G579" i="1"/>
  <c r="G581" i="1"/>
  <c r="G583" i="1"/>
  <c r="G585" i="1"/>
  <c r="F602" i="1"/>
  <c r="G587" i="1"/>
  <c r="F599" i="1"/>
  <c r="G615" i="1"/>
  <c r="G619" i="1"/>
  <c r="F590" i="1"/>
  <c r="F606" i="1"/>
  <c r="G586" i="1"/>
  <c r="F603" i="1"/>
  <c r="G616" i="1"/>
  <c r="G620" i="1"/>
  <c r="G556" i="1"/>
  <c r="G558" i="1"/>
  <c r="G560" i="1"/>
  <c r="G562" i="1"/>
  <c r="G564" i="1"/>
  <c r="G566" i="1"/>
  <c r="G568" i="1"/>
  <c r="G570" i="1"/>
  <c r="G572" i="1"/>
  <c r="G574" i="1"/>
  <c r="G576" i="1"/>
  <c r="G578" i="1"/>
  <c r="G580" i="1"/>
  <c r="G582" i="1"/>
  <c r="G584" i="1"/>
  <c r="F594" i="1"/>
  <c r="F610" i="1"/>
  <c r="G588" i="1"/>
  <c r="F591" i="1"/>
  <c r="F607" i="1"/>
  <c r="G617" i="1"/>
  <c r="G621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G590" i="1"/>
  <c r="G594" i="1"/>
  <c r="G598" i="1"/>
  <c r="G602" i="1"/>
  <c r="G606" i="1"/>
  <c r="G610" i="1"/>
  <c r="G614" i="1"/>
  <c r="F615" i="1"/>
  <c r="F616" i="1"/>
  <c r="F617" i="1"/>
  <c r="F618" i="1"/>
  <c r="F619" i="1"/>
  <c r="F620" i="1"/>
  <c r="F621" i="1"/>
  <c r="F622" i="1"/>
  <c r="F623" i="1"/>
  <c r="F626" i="1"/>
  <c r="F628" i="1"/>
  <c r="F630" i="1"/>
  <c r="F632" i="1"/>
  <c r="F634" i="1"/>
  <c r="F636" i="1"/>
  <c r="F638" i="1"/>
  <c r="F640" i="1"/>
  <c r="F642" i="1"/>
  <c r="F644" i="1"/>
  <c r="F646" i="1"/>
  <c r="F648" i="1"/>
  <c r="F650" i="1"/>
  <c r="G591" i="1"/>
  <c r="G595" i="1"/>
  <c r="G599" i="1"/>
  <c r="G603" i="1"/>
  <c r="G607" i="1"/>
  <c r="G611" i="1"/>
  <c r="F592" i="1"/>
  <c r="F596" i="1"/>
  <c r="F600" i="1"/>
  <c r="F604" i="1"/>
  <c r="F608" i="1"/>
  <c r="F612" i="1"/>
  <c r="G592" i="1"/>
  <c r="G596" i="1"/>
  <c r="G600" i="1"/>
  <c r="G604" i="1"/>
  <c r="G608" i="1"/>
  <c r="G612" i="1"/>
  <c r="F625" i="1"/>
  <c r="F627" i="1"/>
  <c r="F629" i="1"/>
  <c r="F631" i="1"/>
  <c r="F633" i="1"/>
  <c r="F635" i="1"/>
  <c r="F637" i="1"/>
  <c r="F639" i="1"/>
  <c r="F641" i="1"/>
  <c r="F643" i="1"/>
  <c r="F645" i="1"/>
  <c r="F647" i="1"/>
  <c r="F649" i="1"/>
  <c r="F651" i="1"/>
  <c r="F589" i="1"/>
  <c r="F593" i="1"/>
  <c r="F597" i="1"/>
  <c r="F601" i="1"/>
  <c r="F605" i="1"/>
  <c r="F609" i="1"/>
  <c r="F613" i="1"/>
  <c r="G589" i="1"/>
  <c r="G593" i="1"/>
  <c r="G597" i="1"/>
  <c r="G601" i="1"/>
  <c r="G605" i="1"/>
  <c r="G609" i="1"/>
  <c r="G613" i="1"/>
  <c r="F624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F657" i="1"/>
  <c r="F670" i="1"/>
  <c r="G652" i="1"/>
  <c r="G662" i="1"/>
  <c r="G34" i="1"/>
  <c r="F661" i="1"/>
  <c r="G655" i="1"/>
  <c r="G653" i="1"/>
  <c r="G664" i="1"/>
  <c r="F34" i="1"/>
  <c r="G666" i="1"/>
  <c r="G661" i="1"/>
  <c r="G663" i="1"/>
  <c r="F658" i="1"/>
  <c r="G656" i="1"/>
  <c r="G665" i="1"/>
  <c r="F21" i="1"/>
  <c r="F664" i="1"/>
  <c r="F659" i="1"/>
  <c r="G657" i="1"/>
  <c r="F654" i="1"/>
  <c r="F652" i="1"/>
  <c r="F665" i="1"/>
  <c r="F660" i="1"/>
  <c r="G658" i="1"/>
  <c r="G667" i="1"/>
  <c r="G654" i="1"/>
  <c r="F655" i="1"/>
  <c r="F667" i="1"/>
  <c r="F663" i="1"/>
  <c r="G669" i="1"/>
  <c r="F656" i="1"/>
  <c r="F668" i="1"/>
  <c r="F669" i="1"/>
  <c r="G670" i="1"/>
  <c r="F653" i="1"/>
  <c r="F666" i="1"/>
  <c r="F662" i="1"/>
  <c r="G659" i="1"/>
  <c r="G668" i="1"/>
  <c r="G660" i="1"/>
  <c r="U33" i="1" l="1"/>
  <c r="T22" i="1"/>
  <c r="L22" i="1"/>
  <c r="S22" i="1"/>
  <c r="K22" i="1"/>
  <c r="R22" i="1"/>
  <c r="J22" i="1"/>
  <c r="Q22" i="1"/>
  <c r="I22" i="1"/>
  <c r="P22" i="1"/>
  <c r="O22" i="1"/>
  <c r="N22" i="1"/>
  <c r="M22" i="1"/>
  <c r="T46" i="1"/>
  <c r="T45" i="1"/>
  <c r="T44" i="1"/>
  <c r="T43" i="1"/>
  <c r="T42" i="1"/>
  <c r="T41" i="1"/>
  <c r="T40" i="1"/>
  <c r="T39" i="1"/>
  <c r="T38" i="1"/>
  <c r="T37" i="1"/>
  <c r="T36" i="1"/>
  <c r="T35" i="1"/>
  <c r="P46" i="1"/>
  <c r="P45" i="1"/>
  <c r="P44" i="1"/>
  <c r="P42" i="1"/>
  <c r="P37" i="1"/>
  <c r="P36" i="1"/>
  <c r="P35" i="1"/>
  <c r="P43" i="1"/>
  <c r="P41" i="1"/>
  <c r="P40" i="1"/>
  <c r="P39" i="1"/>
  <c r="P38" i="1"/>
  <c r="L46" i="1"/>
  <c r="L45" i="1"/>
  <c r="L44" i="1"/>
  <c r="L43" i="1"/>
  <c r="L42" i="1"/>
  <c r="L41" i="1"/>
  <c r="L40" i="1"/>
  <c r="L39" i="1"/>
  <c r="L38" i="1"/>
  <c r="L37" i="1"/>
  <c r="L36" i="1"/>
  <c r="L35" i="1"/>
  <c r="O41" i="1"/>
  <c r="O46" i="1"/>
  <c r="O45" i="1"/>
  <c r="O44" i="1"/>
  <c r="O43" i="1"/>
  <c r="O42" i="1"/>
  <c r="O40" i="1"/>
  <c r="O39" i="1"/>
  <c r="O38" i="1"/>
  <c r="O37" i="1"/>
  <c r="O36" i="1"/>
  <c r="O35" i="1"/>
  <c r="N45" i="1"/>
  <c r="N41" i="1"/>
  <c r="N40" i="1"/>
  <c r="N39" i="1"/>
  <c r="N38" i="1"/>
  <c r="N37" i="1"/>
  <c r="N36" i="1"/>
  <c r="N35" i="1"/>
  <c r="N46" i="1"/>
  <c r="N44" i="1"/>
  <c r="N43" i="1"/>
  <c r="N42" i="1"/>
  <c r="M46" i="1"/>
  <c r="M45" i="1"/>
  <c r="M44" i="1"/>
  <c r="M43" i="1"/>
  <c r="M42" i="1"/>
  <c r="M41" i="1"/>
  <c r="M40" i="1"/>
  <c r="M39" i="1"/>
  <c r="M38" i="1"/>
  <c r="M37" i="1"/>
  <c r="M36" i="1"/>
  <c r="M35" i="1"/>
  <c r="J38" i="1"/>
  <c r="J36" i="1"/>
  <c r="J41" i="1"/>
  <c r="J40" i="1"/>
  <c r="J39" i="1"/>
  <c r="J37" i="1"/>
  <c r="J35" i="1"/>
  <c r="J46" i="1"/>
  <c r="J45" i="1"/>
  <c r="J44" i="1"/>
  <c r="J43" i="1"/>
  <c r="J42" i="1"/>
  <c r="S46" i="1"/>
  <c r="S45" i="1"/>
  <c r="S44" i="1"/>
  <c r="S43" i="1"/>
  <c r="S42" i="1"/>
  <c r="S41" i="1"/>
  <c r="S40" i="1"/>
  <c r="S39" i="1"/>
  <c r="S38" i="1"/>
  <c r="S37" i="1"/>
  <c r="S36" i="1"/>
  <c r="S35" i="1"/>
  <c r="K46" i="1"/>
  <c r="K45" i="1"/>
  <c r="K44" i="1"/>
  <c r="K43" i="1"/>
  <c r="K42" i="1"/>
  <c r="K41" i="1"/>
  <c r="K40" i="1"/>
  <c r="K39" i="1"/>
  <c r="K38" i="1"/>
  <c r="K37" i="1"/>
  <c r="K36" i="1"/>
  <c r="K35" i="1"/>
  <c r="Q44" i="1"/>
  <c r="Q46" i="1"/>
  <c r="Q45" i="1"/>
  <c r="Q43" i="1"/>
  <c r="Q42" i="1"/>
  <c r="Q41" i="1"/>
  <c r="Q40" i="1"/>
  <c r="Q39" i="1"/>
  <c r="Q38" i="1"/>
  <c r="Q37" i="1"/>
  <c r="Q36" i="1"/>
  <c r="Q35" i="1"/>
  <c r="I43" i="1"/>
  <c r="I42" i="1"/>
  <c r="I41" i="1"/>
  <c r="I40" i="1"/>
  <c r="I39" i="1"/>
  <c r="I38" i="1"/>
  <c r="I37" i="1"/>
  <c r="I36" i="1"/>
  <c r="I35" i="1"/>
  <c r="I46" i="1"/>
  <c r="I45" i="1"/>
  <c r="I44" i="1"/>
  <c r="R40" i="1"/>
  <c r="R39" i="1"/>
  <c r="R38" i="1"/>
  <c r="R36" i="1"/>
  <c r="R35" i="1"/>
  <c r="R46" i="1"/>
  <c r="R45" i="1"/>
  <c r="R44" i="1"/>
  <c r="R43" i="1"/>
  <c r="R42" i="1"/>
  <c r="R41" i="1"/>
  <c r="R37" i="1"/>
  <c r="I651" i="1"/>
  <c r="I650" i="1"/>
  <c r="I649" i="1"/>
  <c r="I648" i="1"/>
  <c r="I647" i="1"/>
  <c r="I646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4" i="1"/>
  <c r="I582" i="1"/>
  <c r="I580" i="1"/>
  <c r="I578" i="1"/>
  <c r="I576" i="1"/>
  <c r="I574" i="1"/>
  <c r="I572" i="1"/>
  <c r="I570" i="1"/>
  <c r="I568" i="1"/>
  <c r="I566" i="1"/>
  <c r="I564" i="1"/>
  <c r="I562" i="1"/>
  <c r="I560" i="1"/>
  <c r="I558" i="1"/>
  <c r="I556" i="1"/>
  <c r="I554" i="1"/>
  <c r="I585" i="1"/>
  <c r="I583" i="1"/>
  <c r="I581" i="1"/>
  <c r="I579" i="1"/>
  <c r="I577" i="1"/>
  <c r="I575" i="1"/>
  <c r="I573" i="1"/>
  <c r="I571" i="1"/>
  <c r="I569" i="1"/>
  <c r="I567" i="1"/>
  <c r="I565" i="1"/>
  <c r="I563" i="1"/>
  <c r="I561" i="1"/>
  <c r="I559" i="1"/>
  <c r="I555" i="1"/>
  <c r="I551" i="1"/>
  <c r="I549" i="1"/>
  <c r="I547" i="1"/>
  <c r="I545" i="1"/>
  <c r="I543" i="1"/>
  <c r="I541" i="1"/>
  <c r="I539" i="1"/>
  <c r="I537" i="1"/>
  <c r="I535" i="1"/>
  <c r="I533" i="1"/>
  <c r="I531" i="1"/>
  <c r="I529" i="1"/>
  <c r="I527" i="1"/>
  <c r="I525" i="1"/>
  <c r="I523" i="1"/>
  <c r="I553" i="1"/>
  <c r="I557" i="1"/>
  <c r="I520" i="1"/>
  <c r="I518" i="1"/>
  <c r="I516" i="1"/>
  <c r="I514" i="1"/>
  <c r="I512" i="1"/>
  <c r="I510" i="1"/>
  <c r="I508" i="1"/>
  <c r="I506" i="1"/>
  <c r="I504" i="1"/>
  <c r="I502" i="1"/>
  <c r="I500" i="1"/>
  <c r="I498" i="1"/>
  <c r="I496" i="1"/>
  <c r="I494" i="1"/>
  <c r="I429" i="1"/>
  <c r="I546" i="1"/>
  <c r="I538" i="1"/>
  <c r="I530" i="1"/>
  <c r="I522" i="1"/>
  <c r="I490" i="1"/>
  <c r="I488" i="1"/>
  <c r="I486" i="1"/>
  <c r="I484" i="1"/>
  <c r="I482" i="1"/>
  <c r="I480" i="1"/>
  <c r="I478" i="1"/>
  <c r="I476" i="1"/>
  <c r="I474" i="1"/>
  <c r="I472" i="1"/>
  <c r="I470" i="1"/>
  <c r="I468" i="1"/>
  <c r="I466" i="1"/>
  <c r="I464" i="1"/>
  <c r="I462" i="1"/>
  <c r="I460" i="1"/>
  <c r="I458" i="1"/>
  <c r="I456" i="1"/>
  <c r="I454" i="1"/>
  <c r="I452" i="1"/>
  <c r="I450" i="1"/>
  <c r="I448" i="1"/>
  <c r="I446" i="1"/>
  <c r="I444" i="1"/>
  <c r="I442" i="1"/>
  <c r="I440" i="1"/>
  <c r="I438" i="1"/>
  <c r="I436" i="1"/>
  <c r="I434" i="1"/>
  <c r="I432" i="1"/>
  <c r="I430" i="1"/>
  <c r="I548" i="1"/>
  <c r="I540" i="1"/>
  <c r="I532" i="1"/>
  <c r="I524" i="1"/>
  <c r="I521" i="1"/>
  <c r="I519" i="1"/>
  <c r="I517" i="1"/>
  <c r="I515" i="1"/>
  <c r="I513" i="1"/>
  <c r="I511" i="1"/>
  <c r="I509" i="1"/>
  <c r="I507" i="1"/>
  <c r="I505" i="1"/>
  <c r="I503" i="1"/>
  <c r="I501" i="1"/>
  <c r="I499" i="1"/>
  <c r="I497" i="1"/>
  <c r="I495" i="1"/>
  <c r="I493" i="1"/>
  <c r="I492" i="1"/>
  <c r="I489" i="1"/>
  <c r="I487" i="1"/>
  <c r="I485" i="1"/>
  <c r="I483" i="1"/>
  <c r="I481" i="1"/>
  <c r="I479" i="1"/>
  <c r="I477" i="1"/>
  <c r="I475" i="1"/>
  <c r="I473" i="1"/>
  <c r="I471" i="1"/>
  <c r="I469" i="1"/>
  <c r="I467" i="1"/>
  <c r="I465" i="1"/>
  <c r="I463" i="1"/>
  <c r="I461" i="1"/>
  <c r="I459" i="1"/>
  <c r="I457" i="1"/>
  <c r="I455" i="1"/>
  <c r="I453" i="1"/>
  <c r="I451" i="1"/>
  <c r="I449" i="1"/>
  <c r="I447" i="1"/>
  <c r="I445" i="1"/>
  <c r="I443" i="1"/>
  <c r="I441" i="1"/>
  <c r="I439" i="1"/>
  <c r="I437" i="1"/>
  <c r="I435" i="1"/>
  <c r="I433" i="1"/>
  <c r="I431" i="1"/>
  <c r="I542" i="1"/>
  <c r="I378" i="1"/>
  <c r="I374" i="1"/>
  <c r="I370" i="1"/>
  <c r="I552" i="1"/>
  <c r="I491" i="1"/>
  <c r="I550" i="1"/>
  <c r="I379" i="1"/>
  <c r="I375" i="1"/>
  <c r="I371" i="1"/>
  <c r="I528" i="1"/>
  <c r="I426" i="1"/>
  <c r="I424" i="1"/>
  <c r="I422" i="1"/>
  <c r="I420" i="1"/>
  <c r="I418" i="1"/>
  <c r="I416" i="1"/>
  <c r="I414" i="1"/>
  <c r="I412" i="1"/>
  <c r="I410" i="1"/>
  <c r="I408" i="1"/>
  <c r="I406" i="1"/>
  <c r="I404" i="1"/>
  <c r="I402" i="1"/>
  <c r="I400" i="1"/>
  <c r="I398" i="1"/>
  <c r="I396" i="1"/>
  <c r="I394" i="1"/>
  <c r="I392" i="1"/>
  <c r="I390" i="1"/>
  <c r="I388" i="1"/>
  <c r="I386" i="1"/>
  <c r="I384" i="1"/>
  <c r="I382" i="1"/>
  <c r="I526" i="1"/>
  <c r="I380" i="1"/>
  <c r="I376" i="1"/>
  <c r="I372" i="1"/>
  <c r="I536" i="1"/>
  <c r="I428" i="1"/>
  <c r="I368" i="1"/>
  <c r="I369" i="1"/>
  <c r="I361" i="1"/>
  <c r="I359" i="1"/>
  <c r="I357" i="1"/>
  <c r="I355" i="1"/>
  <c r="I353" i="1"/>
  <c r="I351" i="1"/>
  <c r="I349" i="1"/>
  <c r="I347" i="1"/>
  <c r="I345" i="1"/>
  <c r="I343" i="1"/>
  <c r="I341" i="1"/>
  <c r="I339" i="1"/>
  <c r="I337" i="1"/>
  <c r="I335" i="1"/>
  <c r="I333" i="1"/>
  <c r="I331" i="1"/>
  <c r="I329" i="1"/>
  <c r="I327" i="1"/>
  <c r="I325" i="1"/>
  <c r="I323" i="1"/>
  <c r="I321" i="1"/>
  <c r="I319" i="1"/>
  <c r="I317" i="1"/>
  <c r="I315" i="1"/>
  <c r="I313" i="1"/>
  <c r="I311" i="1"/>
  <c r="I309" i="1"/>
  <c r="I307" i="1"/>
  <c r="I305" i="1"/>
  <c r="I423" i="1"/>
  <c r="I415" i="1"/>
  <c r="I407" i="1"/>
  <c r="I399" i="1"/>
  <c r="I391" i="1"/>
  <c r="I383" i="1"/>
  <c r="I367" i="1"/>
  <c r="I366" i="1"/>
  <c r="I365" i="1"/>
  <c r="I364" i="1"/>
  <c r="I363" i="1"/>
  <c r="I373" i="1"/>
  <c r="I544" i="1"/>
  <c r="I425" i="1"/>
  <c r="I417" i="1"/>
  <c r="I409" i="1"/>
  <c r="I401" i="1"/>
  <c r="I393" i="1"/>
  <c r="I385" i="1"/>
  <c r="I534" i="1"/>
  <c r="I377" i="1"/>
  <c r="I362" i="1"/>
  <c r="I360" i="1"/>
  <c r="I358" i="1"/>
  <c r="I356" i="1"/>
  <c r="I354" i="1"/>
  <c r="I352" i="1"/>
  <c r="I350" i="1"/>
  <c r="I348" i="1"/>
  <c r="I346" i="1"/>
  <c r="I344" i="1"/>
  <c r="I342" i="1"/>
  <c r="I340" i="1"/>
  <c r="I338" i="1"/>
  <c r="I336" i="1"/>
  <c r="I334" i="1"/>
  <c r="I332" i="1"/>
  <c r="I330" i="1"/>
  <c r="I328" i="1"/>
  <c r="I326" i="1"/>
  <c r="I324" i="1"/>
  <c r="I322" i="1"/>
  <c r="I320" i="1"/>
  <c r="I318" i="1"/>
  <c r="I316" i="1"/>
  <c r="I314" i="1"/>
  <c r="I312" i="1"/>
  <c r="I310" i="1"/>
  <c r="I308" i="1"/>
  <c r="I306" i="1"/>
  <c r="I427" i="1"/>
  <c r="I419" i="1"/>
  <c r="I411" i="1"/>
  <c r="I403" i="1"/>
  <c r="I395" i="1"/>
  <c r="I387" i="1"/>
  <c r="I301" i="1"/>
  <c r="I405" i="1"/>
  <c r="I304" i="1"/>
  <c r="I302" i="1"/>
  <c r="I300" i="1"/>
  <c r="I413" i="1"/>
  <c r="I381" i="1"/>
  <c r="I299" i="1"/>
  <c r="I297" i="1"/>
  <c r="I295" i="1"/>
  <c r="I293" i="1"/>
  <c r="I291" i="1"/>
  <c r="I289" i="1"/>
  <c r="I287" i="1"/>
  <c r="I285" i="1"/>
  <c r="I283" i="1"/>
  <c r="I281" i="1"/>
  <c r="I279" i="1"/>
  <c r="I277" i="1"/>
  <c r="I275" i="1"/>
  <c r="I273" i="1"/>
  <c r="I271" i="1"/>
  <c r="I269" i="1"/>
  <c r="I267" i="1"/>
  <c r="I265" i="1"/>
  <c r="I263" i="1"/>
  <c r="I261" i="1"/>
  <c r="I259" i="1"/>
  <c r="I257" i="1"/>
  <c r="I255" i="1"/>
  <c r="I253" i="1"/>
  <c r="I251" i="1"/>
  <c r="I249" i="1"/>
  <c r="I247" i="1"/>
  <c r="I245" i="1"/>
  <c r="I243" i="1"/>
  <c r="I241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421" i="1"/>
  <c r="I389" i="1"/>
  <c r="I303" i="1"/>
  <c r="I175" i="1"/>
  <c r="I397" i="1"/>
  <c r="I298" i="1"/>
  <c r="I290" i="1"/>
  <c r="I282" i="1"/>
  <c r="I274" i="1"/>
  <c r="I266" i="1"/>
  <c r="I258" i="1"/>
  <c r="I250" i="1"/>
  <c r="I242" i="1"/>
  <c r="I292" i="1"/>
  <c r="I284" i="1"/>
  <c r="I276" i="1"/>
  <c r="I268" i="1"/>
  <c r="I260" i="1"/>
  <c r="I252" i="1"/>
  <c r="I244" i="1"/>
  <c r="I294" i="1"/>
  <c r="I286" i="1"/>
  <c r="I278" i="1"/>
  <c r="I270" i="1"/>
  <c r="I262" i="1"/>
  <c r="I254" i="1"/>
  <c r="I246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288" i="1"/>
  <c r="I256" i="1"/>
  <c r="I296" i="1"/>
  <c r="I264" i="1"/>
  <c r="I272" i="1"/>
  <c r="I240" i="1"/>
  <c r="I248" i="1"/>
  <c r="I280" i="1"/>
  <c r="I69" i="1"/>
  <c r="I65" i="1"/>
  <c r="I61" i="1"/>
  <c r="I57" i="1"/>
  <c r="I53" i="1"/>
  <c r="I51" i="1"/>
  <c r="I49" i="1"/>
  <c r="I47" i="1"/>
  <c r="I71" i="1"/>
  <c r="I59" i="1"/>
  <c r="I55" i="1"/>
  <c r="I70" i="1"/>
  <c r="I66" i="1"/>
  <c r="I62" i="1"/>
  <c r="I58" i="1"/>
  <c r="I54" i="1"/>
  <c r="I52" i="1"/>
  <c r="I50" i="1"/>
  <c r="I48" i="1"/>
  <c r="I67" i="1"/>
  <c r="I63" i="1"/>
  <c r="I68" i="1"/>
  <c r="I64" i="1"/>
  <c r="I60" i="1"/>
  <c r="I56" i="1"/>
  <c r="O651" i="1"/>
  <c r="O649" i="1"/>
  <c r="O647" i="1"/>
  <c r="O645" i="1"/>
  <c r="O643" i="1"/>
  <c r="O641" i="1"/>
  <c r="O639" i="1"/>
  <c r="O637" i="1"/>
  <c r="O635" i="1"/>
  <c r="O633" i="1"/>
  <c r="O631" i="1"/>
  <c r="O629" i="1"/>
  <c r="O627" i="1"/>
  <c r="O625" i="1"/>
  <c r="O611" i="1"/>
  <c r="O607" i="1"/>
  <c r="O603" i="1"/>
  <c r="O599" i="1"/>
  <c r="O595" i="1"/>
  <c r="O591" i="1"/>
  <c r="O622" i="1"/>
  <c r="O621" i="1"/>
  <c r="O620" i="1"/>
  <c r="O619" i="1"/>
  <c r="O618" i="1"/>
  <c r="O617" i="1"/>
  <c r="O616" i="1"/>
  <c r="O615" i="1"/>
  <c r="O614" i="1"/>
  <c r="O610" i="1"/>
  <c r="O606" i="1"/>
  <c r="O602" i="1"/>
  <c r="O598" i="1"/>
  <c r="O594" i="1"/>
  <c r="O590" i="1"/>
  <c r="O623" i="1"/>
  <c r="O650" i="1"/>
  <c r="O648" i="1"/>
  <c r="O646" i="1"/>
  <c r="O644" i="1"/>
  <c r="O642" i="1"/>
  <c r="O640" i="1"/>
  <c r="O638" i="1"/>
  <c r="O636" i="1"/>
  <c r="O634" i="1"/>
  <c r="O632" i="1"/>
  <c r="O630" i="1"/>
  <c r="O628" i="1"/>
  <c r="O626" i="1"/>
  <c r="O613" i="1"/>
  <c r="O609" i="1"/>
  <c r="O605" i="1"/>
  <c r="O601" i="1"/>
  <c r="O597" i="1"/>
  <c r="O593" i="1"/>
  <c r="O589" i="1"/>
  <c r="O612" i="1"/>
  <c r="O608" i="1"/>
  <c r="O604" i="1"/>
  <c r="O600" i="1"/>
  <c r="O596" i="1"/>
  <c r="O592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624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552" i="1"/>
  <c r="O550" i="1"/>
  <c r="O548" i="1"/>
  <c r="O546" i="1"/>
  <c r="O544" i="1"/>
  <c r="O542" i="1"/>
  <c r="O540" i="1"/>
  <c r="O538" i="1"/>
  <c r="O536" i="1"/>
  <c r="O534" i="1"/>
  <c r="O532" i="1"/>
  <c r="O530" i="1"/>
  <c r="O528" i="1"/>
  <c r="O526" i="1"/>
  <c r="O524" i="1"/>
  <c r="O522" i="1"/>
  <c r="O551" i="1"/>
  <c r="O543" i="1"/>
  <c r="O535" i="1"/>
  <c r="O527" i="1"/>
  <c r="O545" i="1"/>
  <c r="O537" i="1"/>
  <c r="O529" i="1"/>
  <c r="O531" i="1"/>
  <c r="O541" i="1"/>
  <c r="O377" i="1"/>
  <c r="O373" i="1"/>
  <c r="O369" i="1"/>
  <c r="O539" i="1"/>
  <c r="O549" i="1"/>
  <c r="O425" i="1"/>
  <c r="O423" i="1"/>
  <c r="O421" i="1"/>
  <c r="O419" i="1"/>
  <c r="O417" i="1"/>
  <c r="O415" i="1"/>
  <c r="O413" i="1"/>
  <c r="O411" i="1"/>
  <c r="O409" i="1"/>
  <c r="O407" i="1"/>
  <c r="O405" i="1"/>
  <c r="O403" i="1"/>
  <c r="O401" i="1"/>
  <c r="O399" i="1"/>
  <c r="O397" i="1"/>
  <c r="O395" i="1"/>
  <c r="O393" i="1"/>
  <c r="O391" i="1"/>
  <c r="O389" i="1"/>
  <c r="O387" i="1"/>
  <c r="O385" i="1"/>
  <c r="O383" i="1"/>
  <c r="O381" i="1"/>
  <c r="O378" i="1"/>
  <c r="O374" i="1"/>
  <c r="O370" i="1"/>
  <c r="O547" i="1"/>
  <c r="O525" i="1"/>
  <c r="O379" i="1"/>
  <c r="O375" i="1"/>
  <c r="O371" i="1"/>
  <c r="O367" i="1"/>
  <c r="O362" i="1"/>
  <c r="O360" i="1"/>
  <c r="O358" i="1"/>
  <c r="O356" i="1"/>
  <c r="O354" i="1"/>
  <c r="O352" i="1"/>
  <c r="O350" i="1"/>
  <c r="O348" i="1"/>
  <c r="O346" i="1"/>
  <c r="O344" i="1"/>
  <c r="O342" i="1"/>
  <c r="O340" i="1"/>
  <c r="O338" i="1"/>
  <c r="O336" i="1"/>
  <c r="O334" i="1"/>
  <c r="O332" i="1"/>
  <c r="O330" i="1"/>
  <c r="O328" i="1"/>
  <c r="O326" i="1"/>
  <c r="O324" i="1"/>
  <c r="O322" i="1"/>
  <c r="O320" i="1"/>
  <c r="O318" i="1"/>
  <c r="O316" i="1"/>
  <c r="O314" i="1"/>
  <c r="O312" i="1"/>
  <c r="O310" i="1"/>
  <c r="O308" i="1"/>
  <c r="O306" i="1"/>
  <c r="O420" i="1"/>
  <c r="O412" i="1"/>
  <c r="O404" i="1"/>
  <c r="O396" i="1"/>
  <c r="O388" i="1"/>
  <c r="O380" i="1"/>
  <c r="O304" i="1"/>
  <c r="O303" i="1"/>
  <c r="O302" i="1"/>
  <c r="O422" i="1"/>
  <c r="O414" i="1"/>
  <c r="O406" i="1"/>
  <c r="O398" i="1"/>
  <c r="O390" i="1"/>
  <c r="O382" i="1"/>
  <c r="O368" i="1"/>
  <c r="O361" i="1"/>
  <c r="O359" i="1"/>
  <c r="O357" i="1"/>
  <c r="O355" i="1"/>
  <c r="O353" i="1"/>
  <c r="O351" i="1"/>
  <c r="O349" i="1"/>
  <c r="O347" i="1"/>
  <c r="O345" i="1"/>
  <c r="O343" i="1"/>
  <c r="O341" i="1"/>
  <c r="O339" i="1"/>
  <c r="O337" i="1"/>
  <c r="O335" i="1"/>
  <c r="O333" i="1"/>
  <c r="O331" i="1"/>
  <c r="O329" i="1"/>
  <c r="O327" i="1"/>
  <c r="O325" i="1"/>
  <c r="O323" i="1"/>
  <c r="O321" i="1"/>
  <c r="O319" i="1"/>
  <c r="O317" i="1"/>
  <c r="O315" i="1"/>
  <c r="O313" i="1"/>
  <c r="O311" i="1"/>
  <c r="O309" i="1"/>
  <c r="O307" i="1"/>
  <c r="O305" i="1"/>
  <c r="O533" i="1"/>
  <c r="O424" i="1"/>
  <c r="O416" i="1"/>
  <c r="O408" i="1"/>
  <c r="O400" i="1"/>
  <c r="O392" i="1"/>
  <c r="O384" i="1"/>
  <c r="O372" i="1"/>
  <c r="O523" i="1"/>
  <c r="O299" i="1"/>
  <c r="O426" i="1"/>
  <c r="O394" i="1"/>
  <c r="O366" i="1"/>
  <c r="O402" i="1"/>
  <c r="O365" i="1"/>
  <c r="O298" i="1"/>
  <c r="O296" i="1"/>
  <c r="O294" i="1"/>
  <c r="O292" i="1"/>
  <c r="O290" i="1"/>
  <c r="O288" i="1"/>
  <c r="O286" i="1"/>
  <c r="O284" i="1"/>
  <c r="O282" i="1"/>
  <c r="O280" i="1"/>
  <c r="O278" i="1"/>
  <c r="O276" i="1"/>
  <c r="O274" i="1"/>
  <c r="O272" i="1"/>
  <c r="O270" i="1"/>
  <c r="O268" i="1"/>
  <c r="O266" i="1"/>
  <c r="O264" i="1"/>
  <c r="O262" i="1"/>
  <c r="O260" i="1"/>
  <c r="O258" i="1"/>
  <c r="O256" i="1"/>
  <c r="O254" i="1"/>
  <c r="O252" i="1"/>
  <c r="O250" i="1"/>
  <c r="O248" i="1"/>
  <c r="O246" i="1"/>
  <c r="O244" i="1"/>
  <c r="O242" i="1"/>
  <c r="O240" i="1"/>
  <c r="O410" i="1"/>
  <c r="O364" i="1"/>
  <c r="O301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174" i="1"/>
  <c r="O173" i="1"/>
  <c r="O172" i="1"/>
  <c r="O171" i="1"/>
  <c r="O170" i="1"/>
  <c r="O169" i="1"/>
  <c r="O168" i="1"/>
  <c r="O167" i="1"/>
  <c r="O166" i="1"/>
  <c r="O363" i="1"/>
  <c r="O295" i="1"/>
  <c r="O287" i="1"/>
  <c r="O279" i="1"/>
  <c r="O271" i="1"/>
  <c r="O263" i="1"/>
  <c r="O255" i="1"/>
  <c r="O247" i="1"/>
  <c r="O239" i="1"/>
  <c r="O221" i="1"/>
  <c r="O219" i="1"/>
  <c r="O217" i="1"/>
  <c r="O215" i="1"/>
  <c r="O213" i="1"/>
  <c r="O211" i="1"/>
  <c r="O209" i="1"/>
  <c r="O207" i="1"/>
  <c r="O205" i="1"/>
  <c r="O203" i="1"/>
  <c r="O201" i="1"/>
  <c r="O199" i="1"/>
  <c r="O197" i="1"/>
  <c r="O195" i="1"/>
  <c r="O193" i="1"/>
  <c r="O191" i="1"/>
  <c r="O189" i="1"/>
  <c r="O187" i="1"/>
  <c r="O185" i="1"/>
  <c r="O183" i="1"/>
  <c r="O181" i="1"/>
  <c r="O179" i="1"/>
  <c r="O177" i="1"/>
  <c r="O300" i="1"/>
  <c r="O175" i="1"/>
  <c r="O386" i="1"/>
  <c r="O297" i="1"/>
  <c r="O289" i="1"/>
  <c r="O281" i="1"/>
  <c r="O273" i="1"/>
  <c r="O265" i="1"/>
  <c r="O257" i="1"/>
  <c r="O249" i="1"/>
  <c r="O241" i="1"/>
  <c r="O418" i="1"/>
  <c r="O376" i="1"/>
  <c r="O291" i="1"/>
  <c r="O283" i="1"/>
  <c r="O275" i="1"/>
  <c r="O267" i="1"/>
  <c r="O259" i="1"/>
  <c r="O251" i="1"/>
  <c r="O243" i="1"/>
  <c r="O220" i="1"/>
  <c r="O218" i="1"/>
  <c r="O216" i="1"/>
  <c r="O214" i="1"/>
  <c r="O212" i="1"/>
  <c r="O210" i="1"/>
  <c r="O208" i="1"/>
  <c r="O206" i="1"/>
  <c r="O204" i="1"/>
  <c r="O202" i="1"/>
  <c r="O200" i="1"/>
  <c r="O198" i="1"/>
  <c r="O196" i="1"/>
  <c r="O194" i="1"/>
  <c r="O192" i="1"/>
  <c r="O190" i="1"/>
  <c r="O188" i="1"/>
  <c r="O186" i="1"/>
  <c r="O184" i="1"/>
  <c r="O182" i="1"/>
  <c r="O180" i="1"/>
  <c r="O178" i="1"/>
  <c r="O176" i="1"/>
  <c r="O277" i="1"/>
  <c r="O245" i="1"/>
  <c r="O84" i="1"/>
  <c r="O82" i="1"/>
  <c r="O81" i="1"/>
  <c r="O80" i="1"/>
  <c r="O79" i="1"/>
  <c r="O77" i="1"/>
  <c r="O76" i="1"/>
  <c r="O74" i="1"/>
  <c r="O73" i="1"/>
  <c r="O72" i="1"/>
  <c r="O71" i="1"/>
  <c r="O70" i="1"/>
  <c r="O69" i="1"/>
  <c r="O67" i="1"/>
  <c r="O66" i="1"/>
  <c r="O64" i="1"/>
  <c r="O63" i="1"/>
  <c r="O61" i="1"/>
  <c r="O60" i="1"/>
  <c r="O58" i="1"/>
  <c r="O57" i="1"/>
  <c r="O55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3" i="1"/>
  <c r="O78" i="1"/>
  <c r="O75" i="1"/>
  <c r="O68" i="1"/>
  <c r="O65" i="1"/>
  <c r="O62" i="1"/>
  <c r="O59" i="1"/>
  <c r="O56" i="1"/>
  <c r="O54" i="1"/>
  <c r="O285" i="1"/>
  <c r="O253" i="1"/>
  <c r="O293" i="1"/>
  <c r="O261" i="1"/>
  <c r="O269" i="1"/>
  <c r="O159" i="1"/>
  <c r="O51" i="1"/>
  <c r="O47" i="1"/>
  <c r="O158" i="1"/>
  <c r="O152" i="1"/>
  <c r="O148" i="1"/>
  <c r="O144" i="1"/>
  <c r="O140" i="1"/>
  <c r="O136" i="1"/>
  <c r="O132" i="1"/>
  <c r="O128" i="1"/>
  <c r="O124" i="1"/>
  <c r="O120" i="1"/>
  <c r="O116" i="1"/>
  <c r="O112" i="1"/>
  <c r="O108" i="1"/>
  <c r="O49" i="1"/>
  <c r="O165" i="1"/>
  <c r="O157" i="1"/>
  <c r="O164" i="1"/>
  <c r="O156" i="1"/>
  <c r="O151" i="1"/>
  <c r="O147" i="1"/>
  <c r="O143" i="1"/>
  <c r="O139" i="1"/>
  <c r="O135" i="1"/>
  <c r="O131" i="1"/>
  <c r="O127" i="1"/>
  <c r="O123" i="1"/>
  <c r="O119" i="1"/>
  <c r="O115" i="1"/>
  <c r="O111" i="1"/>
  <c r="O107" i="1"/>
  <c r="O163" i="1"/>
  <c r="O155" i="1"/>
  <c r="O162" i="1"/>
  <c r="O154" i="1"/>
  <c r="O150" i="1"/>
  <c r="O146" i="1"/>
  <c r="O142" i="1"/>
  <c r="O138" i="1"/>
  <c r="O134" i="1"/>
  <c r="O130" i="1"/>
  <c r="O126" i="1"/>
  <c r="O122" i="1"/>
  <c r="O118" i="1"/>
  <c r="O114" i="1"/>
  <c r="O110" i="1"/>
  <c r="O106" i="1"/>
  <c r="O153" i="1"/>
  <c r="O149" i="1"/>
  <c r="O141" i="1"/>
  <c r="O133" i="1"/>
  <c r="O125" i="1"/>
  <c r="O117" i="1"/>
  <c r="O109" i="1"/>
  <c r="O52" i="1"/>
  <c r="O50" i="1"/>
  <c r="O161" i="1"/>
  <c r="O160" i="1"/>
  <c r="O145" i="1"/>
  <c r="O137" i="1"/>
  <c r="O129" i="1"/>
  <c r="O121" i="1"/>
  <c r="O113" i="1"/>
  <c r="O53" i="1"/>
  <c r="O48" i="1"/>
  <c r="S651" i="1"/>
  <c r="S650" i="1"/>
  <c r="S649" i="1"/>
  <c r="S648" i="1"/>
  <c r="S647" i="1"/>
  <c r="S646" i="1"/>
  <c r="S645" i="1"/>
  <c r="S644" i="1"/>
  <c r="S643" i="1"/>
  <c r="S642" i="1"/>
  <c r="S641" i="1"/>
  <c r="S640" i="1"/>
  <c r="S639" i="1"/>
  <c r="S638" i="1"/>
  <c r="S637" i="1"/>
  <c r="S636" i="1"/>
  <c r="S635" i="1"/>
  <c r="S634" i="1"/>
  <c r="S633" i="1"/>
  <c r="S632" i="1"/>
  <c r="S631" i="1"/>
  <c r="S630" i="1"/>
  <c r="S629" i="1"/>
  <c r="S628" i="1"/>
  <c r="S627" i="1"/>
  <c r="S626" i="1"/>
  <c r="S625" i="1"/>
  <c r="S624" i="1"/>
  <c r="S623" i="1"/>
  <c r="S622" i="1"/>
  <c r="S621" i="1"/>
  <c r="S620" i="1"/>
  <c r="S619" i="1"/>
  <c r="S618" i="1"/>
  <c r="S617" i="1"/>
  <c r="S616" i="1"/>
  <c r="S615" i="1"/>
  <c r="S614" i="1"/>
  <c r="S613" i="1"/>
  <c r="S609" i="1"/>
  <c r="S605" i="1"/>
  <c r="S601" i="1"/>
  <c r="S597" i="1"/>
  <c r="S593" i="1"/>
  <c r="S589" i="1"/>
  <c r="S587" i="1"/>
  <c r="S586" i="1"/>
  <c r="S585" i="1"/>
  <c r="S584" i="1"/>
  <c r="S583" i="1"/>
  <c r="S582" i="1"/>
  <c r="S581" i="1"/>
  <c r="S580" i="1"/>
  <c r="S579" i="1"/>
  <c r="S578" i="1"/>
  <c r="S577" i="1"/>
  <c r="S576" i="1"/>
  <c r="S575" i="1"/>
  <c r="S574" i="1"/>
  <c r="S573" i="1"/>
  <c r="S572" i="1"/>
  <c r="S571" i="1"/>
  <c r="S570" i="1"/>
  <c r="S569" i="1"/>
  <c r="S568" i="1"/>
  <c r="S567" i="1"/>
  <c r="S566" i="1"/>
  <c r="S565" i="1"/>
  <c r="S564" i="1"/>
  <c r="S563" i="1"/>
  <c r="S562" i="1"/>
  <c r="S561" i="1"/>
  <c r="S560" i="1"/>
  <c r="S559" i="1"/>
  <c r="S558" i="1"/>
  <c r="S557" i="1"/>
  <c r="S556" i="1"/>
  <c r="S555" i="1"/>
  <c r="S554" i="1"/>
  <c r="S553" i="1"/>
  <c r="S612" i="1"/>
  <c r="S608" i="1"/>
  <c r="S604" i="1"/>
  <c r="S600" i="1"/>
  <c r="S596" i="1"/>
  <c r="S592" i="1"/>
  <c r="S588" i="1"/>
  <c r="S603" i="1"/>
  <c r="S606" i="1"/>
  <c r="S590" i="1"/>
  <c r="S599" i="1"/>
  <c r="S552" i="1"/>
  <c r="S551" i="1"/>
  <c r="S550" i="1"/>
  <c r="S549" i="1"/>
  <c r="S548" i="1"/>
  <c r="S547" i="1"/>
  <c r="S546" i="1"/>
  <c r="S545" i="1"/>
  <c r="S544" i="1"/>
  <c r="S543" i="1"/>
  <c r="S542" i="1"/>
  <c r="S541" i="1"/>
  <c r="S540" i="1"/>
  <c r="S539" i="1"/>
  <c r="S538" i="1"/>
  <c r="S537" i="1"/>
  <c r="S536" i="1"/>
  <c r="S535" i="1"/>
  <c r="S534" i="1"/>
  <c r="S533" i="1"/>
  <c r="S532" i="1"/>
  <c r="S531" i="1"/>
  <c r="S530" i="1"/>
  <c r="S529" i="1"/>
  <c r="S528" i="1"/>
  <c r="S527" i="1"/>
  <c r="S526" i="1"/>
  <c r="S525" i="1"/>
  <c r="S524" i="1"/>
  <c r="S523" i="1"/>
  <c r="S522" i="1"/>
  <c r="S602" i="1"/>
  <c r="S611" i="1"/>
  <c r="S595" i="1"/>
  <c r="S598" i="1"/>
  <c r="S591" i="1"/>
  <c r="S521" i="1"/>
  <c r="S520" i="1"/>
  <c r="S519" i="1"/>
  <c r="S518" i="1"/>
  <c r="S517" i="1"/>
  <c r="S516" i="1"/>
  <c r="S515" i="1"/>
  <c r="S514" i="1"/>
  <c r="S513" i="1"/>
  <c r="S512" i="1"/>
  <c r="S511" i="1"/>
  <c r="S510" i="1"/>
  <c r="S509" i="1"/>
  <c r="S508" i="1"/>
  <c r="S507" i="1"/>
  <c r="S506" i="1"/>
  <c r="S505" i="1"/>
  <c r="S504" i="1"/>
  <c r="S503" i="1"/>
  <c r="S502" i="1"/>
  <c r="S501" i="1"/>
  <c r="S500" i="1"/>
  <c r="S499" i="1"/>
  <c r="S498" i="1"/>
  <c r="S497" i="1"/>
  <c r="S496" i="1"/>
  <c r="S495" i="1"/>
  <c r="S494" i="1"/>
  <c r="S493" i="1"/>
  <c r="S610" i="1"/>
  <c r="S492" i="1"/>
  <c r="S491" i="1"/>
  <c r="S607" i="1"/>
  <c r="S490" i="1"/>
  <c r="S488" i="1"/>
  <c r="S486" i="1"/>
  <c r="S484" i="1"/>
  <c r="S482" i="1"/>
  <c r="S480" i="1"/>
  <c r="S478" i="1"/>
  <c r="S476" i="1"/>
  <c r="S474" i="1"/>
  <c r="S472" i="1"/>
  <c r="S470" i="1"/>
  <c r="S468" i="1"/>
  <c r="S466" i="1"/>
  <c r="S464" i="1"/>
  <c r="S462" i="1"/>
  <c r="S460" i="1"/>
  <c r="S458" i="1"/>
  <c r="S456" i="1"/>
  <c r="S454" i="1"/>
  <c r="S452" i="1"/>
  <c r="S450" i="1"/>
  <c r="S448" i="1"/>
  <c r="S446" i="1"/>
  <c r="S444" i="1"/>
  <c r="S442" i="1"/>
  <c r="S440" i="1"/>
  <c r="S438" i="1"/>
  <c r="S436" i="1"/>
  <c r="S434" i="1"/>
  <c r="S432" i="1"/>
  <c r="S430" i="1"/>
  <c r="S426" i="1"/>
  <c r="S425" i="1"/>
  <c r="S424" i="1"/>
  <c r="S423" i="1"/>
  <c r="S422" i="1"/>
  <c r="S421" i="1"/>
  <c r="S420" i="1"/>
  <c r="S419" i="1"/>
  <c r="S418" i="1"/>
  <c r="S417" i="1"/>
  <c r="S416" i="1"/>
  <c r="S415" i="1"/>
  <c r="S414" i="1"/>
  <c r="S413" i="1"/>
  <c r="S412" i="1"/>
  <c r="S411" i="1"/>
  <c r="S410" i="1"/>
  <c r="S409" i="1"/>
  <c r="S408" i="1"/>
  <c r="S407" i="1"/>
  <c r="S406" i="1"/>
  <c r="S405" i="1"/>
  <c r="S404" i="1"/>
  <c r="S403" i="1"/>
  <c r="S402" i="1"/>
  <c r="S401" i="1"/>
  <c r="S400" i="1"/>
  <c r="S399" i="1"/>
  <c r="S398" i="1"/>
  <c r="S397" i="1"/>
  <c r="S396" i="1"/>
  <c r="S395" i="1"/>
  <c r="S394" i="1"/>
  <c r="S393" i="1"/>
  <c r="S392" i="1"/>
  <c r="S391" i="1"/>
  <c r="S390" i="1"/>
  <c r="S389" i="1"/>
  <c r="S388" i="1"/>
  <c r="S387" i="1"/>
  <c r="S386" i="1"/>
  <c r="S385" i="1"/>
  <c r="S384" i="1"/>
  <c r="S383" i="1"/>
  <c r="S382" i="1"/>
  <c r="S381" i="1"/>
  <c r="S380" i="1"/>
  <c r="S379" i="1"/>
  <c r="S378" i="1"/>
  <c r="S377" i="1"/>
  <c r="S376" i="1"/>
  <c r="S375" i="1"/>
  <c r="S374" i="1"/>
  <c r="S373" i="1"/>
  <c r="S372" i="1"/>
  <c r="S371" i="1"/>
  <c r="S370" i="1"/>
  <c r="S369" i="1"/>
  <c r="S368" i="1"/>
  <c r="S489" i="1"/>
  <c r="S487" i="1"/>
  <c r="S485" i="1"/>
  <c r="S483" i="1"/>
  <c r="S481" i="1"/>
  <c r="S479" i="1"/>
  <c r="S477" i="1"/>
  <c r="S475" i="1"/>
  <c r="S473" i="1"/>
  <c r="S471" i="1"/>
  <c r="S469" i="1"/>
  <c r="S467" i="1"/>
  <c r="S465" i="1"/>
  <c r="S463" i="1"/>
  <c r="S461" i="1"/>
  <c r="S459" i="1"/>
  <c r="S457" i="1"/>
  <c r="S455" i="1"/>
  <c r="S453" i="1"/>
  <c r="S451" i="1"/>
  <c r="S449" i="1"/>
  <c r="S447" i="1"/>
  <c r="S445" i="1"/>
  <c r="S443" i="1"/>
  <c r="S441" i="1"/>
  <c r="S439" i="1"/>
  <c r="S437" i="1"/>
  <c r="S435" i="1"/>
  <c r="S433" i="1"/>
  <c r="S431" i="1"/>
  <c r="S594" i="1"/>
  <c r="S429" i="1"/>
  <c r="S427" i="1"/>
  <c r="S367" i="1"/>
  <c r="S366" i="1"/>
  <c r="S365" i="1"/>
  <c r="S364" i="1"/>
  <c r="S363" i="1"/>
  <c r="S362" i="1"/>
  <c r="S361" i="1"/>
  <c r="S360" i="1"/>
  <c r="S359" i="1"/>
  <c r="S358" i="1"/>
  <c r="S357" i="1"/>
  <c r="S356" i="1"/>
  <c r="S355" i="1"/>
  <c r="S354" i="1"/>
  <c r="S353" i="1"/>
  <c r="S352" i="1"/>
  <c r="S351" i="1"/>
  <c r="S350" i="1"/>
  <c r="S349" i="1"/>
  <c r="S348" i="1"/>
  <c r="S347" i="1"/>
  <c r="S346" i="1"/>
  <c r="S345" i="1"/>
  <c r="S344" i="1"/>
  <c r="S343" i="1"/>
  <c r="S342" i="1"/>
  <c r="S341" i="1"/>
  <c r="S340" i="1"/>
  <c r="S339" i="1"/>
  <c r="S338" i="1"/>
  <c r="S337" i="1"/>
  <c r="S336" i="1"/>
  <c r="S335" i="1"/>
  <c r="S334" i="1"/>
  <c r="S333" i="1"/>
  <c r="S332" i="1"/>
  <c r="S331" i="1"/>
  <c r="S330" i="1"/>
  <c r="S329" i="1"/>
  <c r="S328" i="1"/>
  <c r="S327" i="1"/>
  <c r="S326" i="1"/>
  <c r="S325" i="1"/>
  <c r="S324" i="1"/>
  <c r="S323" i="1"/>
  <c r="S322" i="1"/>
  <c r="S321" i="1"/>
  <c r="S320" i="1"/>
  <c r="S319" i="1"/>
  <c r="S318" i="1"/>
  <c r="S317" i="1"/>
  <c r="S316" i="1"/>
  <c r="S315" i="1"/>
  <c r="S314" i="1"/>
  <c r="S313" i="1"/>
  <c r="S312" i="1"/>
  <c r="S311" i="1"/>
  <c r="S310" i="1"/>
  <c r="S309" i="1"/>
  <c r="S308" i="1"/>
  <c r="S307" i="1"/>
  <c r="S306" i="1"/>
  <c r="S305" i="1"/>
  <c r="S304" i="1"/>
  <c r="S428" i="1"/>
  <c r="S303" i="1"/>
  <c r="S302" i="1"/>
  <c r="S238" i="1"/>
  <c r="S237" i="1"/>
  <c r="S236" i="1"/>
  <c r="S235" i="1"/>
  <c r="S234" i="1"/>
  <c r="S233" i="1"/>
  <c r="S232" i="1"/>
  <c r="S231" i="1"/>
  <c r="S230" i="1"/>
  <c r="S229" i="1"/>
  <c r="S228" i="1"/>
  <c r="S227" i="1"/>
  <c r="S226" i="1"/>
  <c r="S225" i="1"/>
  <c r="S224" i="1"/>
  <c r="S223" i="1"/>
  <c r="S301" i="1"/>
  <c r="S300" i="1"/>
  <c r="S297" i="1"/>
  <c r="S295" i="1"/>
  <c r="S293" i="1"/>
  <c r="S291" i="1"/>
  <c r="S289" i="1"/>
  <c r="S287" i="1"/>
  <c r="S285" i="1"/>
  <c r="S283" i="1"/>
  <c r="S281" i="1"/>
  <c r="S279" i="1"/>
  <c r="S277" i="1"/>
  <c r="S275" i="1"/>
  <c r="S273" i="1"/>
  <c r="S271" i="1"/>
  <c r="S269" i="1"/>
  <c r="S267" i="1"/>
  <c r="S265" i="1"/>
  <c r="S263" i="1"/>
  <c r="S261" i="1"/>
  <c r="S259" i="1"/>
  <c r="S257" i="1"/>
  <c r="S255" i="1"/>
  <c r="S253" i="1"/>
  <c r="S251" i="1"/>
  <c r="S249" i="1"/>
  <c r="S247" i="1"/>
  <c r="S245" i="1"/>
  <c r="S243" i="1"/>
  <c r="S241" i="1"/>
  <c r="S239" i="1"/>
  <c r="S299" i="1"/>
  <c r="S292" i="1"/>
  <c r="S284" i="1"/>
  <c r="S276" i="1"/>
  <c r="S268" i="1"/>
  <c r="S260" i="1"/>
  <c r="S252" i="1"/>
  <c r="S244" i="1"/>
  <c r="S294" i="1"/>
  <c r="S286" i="1"/>
  <c r="S278" i="1"/>
  <c r="S270" i="1"/>
  <c r="S262" i="1"/>
  <c r="S254" i="1"/>
  <c r="S246" i="1"/>
  <c r="S220" i="1"/>
  <c r="S218" i="1"/>
  <c r="S216" i="1"/>
  <c r="S214" i="1"/>
  <c r="S212" i="1"/>
  <c r="S210" i="1"/>
  <c r="S208" i="1"/>
  <c r="S206" i="1"/>
  <c r="S204" i="1"/>
  <c r="S202" i="1"/>
  <c r="S200" i="1"/>
  <c r="S198" i="1"/>
  <c r="S196" i="1"/>
  <c r="S194" i="1"/>
  <c r="S192" i="1"/>
  <c r="S190" i="1"/>
  <c r="S188" i="1"/>
  <c r="S186" i="1"/>
  <c r="S184" i="1"/>
  <c r="S182" i="1"/>
  <c r="S180" i="1"/>
  <c r="S178" i="1"/>
  <c r="S176" i="1"/>
  <c r="S296" i="1"/>
  <c r="S288" i="1"/>
  <c r="S280" i="1"/>
  <c r="S272" i="1"/>
  <c r="S264" i="1"/>
  <c r="S256" i="1"/>
  <c r="S248" i="1"/>
  <c r="S240" i="1"/>
  <c r="S222" i="1"/>
  <c r="S174" i="1"/>
  <c r="S298" i="1"/>
  <c r="S266" i="1"/>
  <c r="S217" i="1"/>
  <c r="S209" i="1"/>
  <c r="S201" i="1"/>
  <c r="S193" i="1"/>
  <c r="S185" i="1"/>
  <c r="S177" i="1"/>
  <c r="S172" i="1"/>
  <c r="S170" i="1"/>
  <c r="S168" i="1"/>
  <c r="S165" i="1"/>
  <c r="S164" i="1"/>
  <c r="S163" i="1"/>
  <c r="S162" i="1"/>
  <c r="S161" i="1"/>
  <c r="S160" i="1"/>
  <c r="S159" i="1"/>
  <c r="S158" i="1"/>
  <c r="S157" i="1"/>
  <c r="S156" i="1"/>
  <c r="S155" i="1"/>
  <c r="S154" i="1"/>
  <c r="S153" i="1"/>
  <c r="S152" i="1"/>
  <c r="S151" i="1"/>
  <c r="S150" i="1"/>
  <c r="S149" i="1"/>
  <c r="S148" i="1"/>
  <c r="S147" i="1"/>
  <c r="S146" i="1"/>
  <c r="S145" i="1"/>
  <c r="S144" i="1"/>
  <c r="S143" i="1"/>
  <c r="S142" i="1"/>
  <c r="S141" i="1"/>
  <c r="S140" i="1"/>
  <c r="S139" i="1"/>
  <c r="S138" i="1"/>
  <c r="S137" i="1"/>
  <c r="S136" i="1"/>
  <c r="S135" i="1"/>
  <c r="S134" i="1"/>
  <c r="S133" i="1"/>
  <c r="S132" i="1"/>
  <c r="S131" i="1"/>
  <c r="S130" i="1"/>
  <c r="S129" i="1"/>
  <c r="S128" i="1"/>
  <c r="S127" i="1"/>
  <c r="S126" i="1"/>
  <c r="S125" i="1"/>
  <c r="S124" i="1"/>
  <c r="S123" i="1"/>
  <c r="S122" i="1"/>
  <c r="S121" i="1"/>
  <c r="S120" i="1"/>
  <c r="S119" i="1"/>
  <c r="S118" i="1"/>
  <c r="S117" i="1"/>
  <c r="S116" i="1"/>
  <c r="S115" i="1"/>
  <c r="S114" i="1"/>
  <c r="S113" i="1"/>
  <c r="S112" i="1"/>
  <c r="S111" i="1"/>
  <c r="S110" i="1"/>
  <c r="S109" i="1"/>
  <c r="S108" i="1"/>
  <c r="S107" i="1"/>
  <c r="S106" i="1"/>
  <c r="S274" i="1"/>
  <c r="S242" i="1"/>
  <c r="S219" i="1"/>
  <c r="S211" i="1"/>
  <c r="S203" i="1"/>
  <c r="S195" i="1"/>
  <c r="S187" i="1"/>
  <c r="S179" i="1"/>
  <c r="S166" i="1"/>
  <c r="S282" i="1"/>
  <c r="S250" i="1"/>
  <c r="S221" i="1"/>
  <c r="S213" i="1"/>
  <c r="S205" i="1"/>
  <c r="S197" i="1"/>
  <c r="S189" i="1"/>
  <c r="S181" i="1"/>
  <c r="S290" i="1"/>
  <c r="S207" i="1"/>
  <c r="S199" i="1"/>
  <c r="S183" i="1"/>
  <c r="S173" i="1"/>
  <c r="S171" i="1"/>
  <c r="S169" i="1"/>
  <c r="S167" i="1"/>
  <c r="S105" i="1"/>
  <c r="S104" i="1"/>
  <c r="S103" i="1"/>
  <c r="S102" i="1"/>
  <c r="S101" i="1"/>
  <c r="S100" i="1"/>
  <c r="S99" i="1"/>
  <c r="S98" i="1"/>
  <c r="S97" i="1"/>
  <c r="S96" i="1"/>
  <c r="S95" i="1"/>
  <c r="S94" i="1"/>
  <c r="S93" i="1"/>
  <c r="S92" i="1"/>
  <c r="S91" i="1"/>
  <c r="S90" i="1"/>
  <c r="S89" i="1"/>
  <c r="S88" i="1"/>
  <c r="S87" i="1"/>
  <c r="S86" i="1"/>
  <c r="S85" i="1"/>
  <c r="S84" i="1"/>
  <c r="S83" i="1"/>
  <c r="S82" i="1"/>
  <c r="S81" i="1"/>
  <c r="S80" i="1"/>
  <c r="S79" i="1"/>
  <c r="S78" i="1"/>
  <c r="S77" i="1"/>
  <c r="S76" i="1"/>
  <c r="S75" i="1"/>
  <c r="S74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S57" i="1"/>
  <c r="S56" i="1"/>
  <c r="S55" i="1"/>
  <c r="S54" i="1"/>
  <c r="S53" i="1"/>
  <c r="S52" i="1"/>
  <c r="S51" i="1"/>
  <c r="S50" i="1"/>
  <c r="S49" i="1"/>
  <c r="S48" i="1"/>
  <c r="S47" i="1"/>
  <c r="S258" i="1"/>
  <c r="S215" i="1"/>
  <c r="S191" i="1"/>
  <c r="S175" i="1"/>
  <c r="M651" i="1"/>
  <c r="M650" i="1"/>
  <c r="M649" i="1"/>
  <c r="M648" i="1"/>
  <c r="M647" i="1"/>
  <c r="M646" i="1"/>
  <c r="M645" i="1"/>
  <c r="M644" i="1"/>
  <c r="M643" i="1"/>
  <c r="M642" i="1"/>
  <c r="M641" i="1"/>
  <c r="M640" i="1"/>
  <c r="M639" i="1"/>
  <c r="M638" i="1"/>
  <c r="M637" i="1"/>
  <c r="M636" i="1"/>
  <c r="M635" i="1"/>
  <c r="M634" i="1"/>
  <c r="M633" i="1"/>
  <c r="M632" i="1"/>
  <c r="M631" i="1"/>
  <c r="M630" i="1"/>
  <c r="M629" i="1"/>
  <c r="M628" i="1"/>
  <c r="M627" i="1"/>
  <c r="M626" i="1"/>
  <c r="M625" i="1"/>
  <c r="M624" i="1"/>
  <c r="M623" i="1"/>
  <c r="M622" i="1"/>
  <c r="M621" i="1"/>
  <c r="M620" i="1"/>
  <c r="M619" i="1"/>
  <c r="M618" i="1"/>
  <c r="M617" i="1"/>
  <c r="M616" i="1"/>
  <c r="M615" i="1"/>
  <c r="M614" i="1"/>
  <c r="M613" i="1"/>
  <c r="M612" i="1"/>
  <c r="M611" i="1"/>
  <c r="M610" i="1"/>
  <c r="M609" i="1"/>
  <c r="M608" i="1"/>
  <c r="M607" i="1"/>
  <c r="M606" i="1"/>
  <c r="M605" i="1"/>
  <c r="M604" i="1"/>
  <c r="M603" i="1"/>
  <c r="M602" i="1"/>
  <c r="M601" i="1"/>
  <c r="M600" i="1"/>
  <c r="M599" i="1"/>
  <c r="M598" i="1"/>
  <c r="M597" i="1"/>
  <c r="M596" i="1"/>
  <c r="M595" i="1"/>
  <c r="M594" i="1"/>
  <c r="M593" i="1"/>
  <c r="M592" i="1"/>
  <c r="M591" i="1"/>
  <c r="M590" i="1"/>
  <c r="M589" i="1"/>
  <c r="M588" i="1"/>
  <c r="M587" i="1"/>
  <c r="M586" i="1"/>
  <c r="M552" i="1"/>
  <c r="M551" i="1"/>
  <c r="M550" i="1"/>
  <c r="M549" i="1"/>
  <c r="M548" i="1"/>
  <c r="M547" i="1"/>
  <c r="M546" i="1"/>
  <c r="M545" i="1"/>
  <c r="M544" i="1"/>
  <c r="M543" i="1"/>
  <c r="M542" i="1"/>
  <c r="M541" i="1"/>
  <c r="M540" i="1"/>
  <c r="M539" i="1"/>
  <c r="M538" i="1"/>
  <c r="M537" i="1"/>
  <c r="M536" i="1"/>
  <c r="M535" i="1"/>
  <c r="M534" i="1"/>
  <c r="M533" i="1"/>
  <c r="M532" i="1"/>
  <c r="M531" i="1"/>
  <c r="M530" i="1"/>
  <c r="M529" i="1"/>
  <c r="M528" i="1"/>
  <c r="M527" i="1"/>
  <c r="M526" i="1"/>
  <c r="M525" i="1"/>
  <c r="M524" i="1"/>
  <c r="M523" i="1"/>
  <c r="M522" i="1"/>
  <c r="M585" i="1"/>
  <c r="M583" i="1"/>
  <c r="M581" i="1"/>
  <c r="M579" i="1"/>
  <c r="M577" i="1"/>
  <c r="M575" i="1"/>
  <c r="M573" i="1"/>
  <c r="M571" i="1"/>
  <c r="M569" i="1"/>
  <c r="M567" i="1"/>
  <c r="M565" i="1"/>
  <c r="M563" i="1"/>
  <c r="M561" i="1"/>
  <c r="M559" i="1"/>
  <c r="M557" i="1"/>
  <c r="M555" i="1"/>
  <c r="M584" i="1"/>
  <c r="M582" i="1"/>
  <c r="M580" i="1"/>
  <c r="M578" i="1"/>
  <c r="M576" i="1"/>
  <c r="M574" i="1"/>
  <c r="M572" i="1"/>
  <c r="M570" i="1"/>
  <c r="M568" i="1"/>
  <c r="M566" i="1"/>
  <c r="M564" i="1"/>
  <c r="M562" i="1"/>
  <c r="M560" i="1"/>
  <c r="M558" i="1"/>
  <c r="M556" i="1"/>
  <c r="M554" i="1"/>
  <c r="M553" i="1"/>
  <c r="M521" i="1"/>
  <c r="M520" i="1"/>
  <c r="M519" i="1"/>
  <c r="M518" i="1"/>
  <c r="M517" i="1"/>
  <c r="M516" i="1"/>
  <c r="M515" i="1"/>
  <c r="M514" i="1"/>
  <c r="M513" i="1"/>
  <c r="M512" i="1"/>
  <c r="M511" i="1"/>
  <c r="M510" i="1"/>
  <c r="M509" i="1"/>
  <c r="M508" i="1"/>
  <c r="M507" i="1"/>
  <c r="M506" i="1"/>
  <c r="M505" i="1"/>
  <c r="M504" i="1"/>
  <c r="M503" i="1"/>
  <c r="M502" i="1"/>
  <c r="M501" i="1"/>
  <c r="M500" i="1"/>
  <c r="M499" i="1"/>
  <c r="M498" i="1"/>
  <c r="M497" i="1"/>
  <c r="M496" i="1"/>
  <c r="M495" i="1"/>
  <c r="M494" i="1"/>
  <c r="M493" i="1"/>
  <c r="M492" i="1"/>
  <c r="M491" i="1"/>
  <c r="M490" i="1"/>
  <c r="M489" i="1"/>
  <c r="M488" i="1"/>
  <c r="M487" i="1"/>
  <c r="M486" i="1"/>
  <c r="M485" i="1"/>
  <c r="M484" i="1"/>
  <c r="M483" i="1"/>
  <c r="M482" i="1"/>
  <c r="M481" i="1"/>
  <c r="M480" i="1"/>
  <c r="M479" i="1"/>
  <c r="M478" i="1"/>
  <c r="M477" i="1"/>
  <c r="M476" i="1"/>
  <c r="M475" i="1"/>
  <c r="M474" i="1"/>
  <c r="M473" i="1"/>
  <c r="M472" i="1"/>
  <c r="M471" i="1"/>
  <c r="M470" i="1"/>
  <c r="M469" i="1"/>
  <c r="M468" i="1"/>
  <c r="M467" i="1"/>
  <c r="M466" i="1"/>
  <c r="M465" i="1"/>
  <c r="M464" i="1"/>
  <c r="M463" i="1"/>
  <c r="M462" i="1"/>
  <c r="M461" i="1"/>
  <c r="M460" i="1"/>
  <c r="M459" i="1"/>
  <c r="M458" i="1"/>
  <c r="M457" i="1"/>
  <c r="M456" i="1"/>
  <c r="M455" i="1"/>
  <c r="M454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1" i="1"/>
  <c r="M440" i="1"/>
  <c r="M439" i="1"/>
  <c r="M438" i="1"/>
  <c r="M437" i="1"/>
  <c r="M436" i="1"/>
  <c r="M435" i="1"/>
  <c r="M434" i="1"/>
  <c r="M433" i="1"/>
  <c r="M432" i="1"/>
  <c r="M431" i="1"/>
  <c r="M430" i="1"/>
  <c r="M427" i="1"/>
  <c r="M426" i="1"/>
  <c r="M425" i="1"/>
  <c r="M424" i="1"/>
  <c r="M423" i="1"/>
  <c r="M422" i="1"/>
  <c r="M421" i="1"/>
  <c r="M420" i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7" i="1"/>
  <c r="M396" i="1"/>
  <c r="M395" i="1"/>
  <c r="M394" i="1"/>
  <c r="M393" i="1"/>
  <c r="M392" i="1"/>
  <c r="M391" i="1"/>
  <c r="M390" i="1"/>
  <c r="M389" i="1"/>
  <c r="M388" i="1"/>
  <c r="M387" i="1"/>
  <c r="M386" i="1"/>
  <c r="M385" i="1"/>
  <c r="M384" i="1"/>
  <c r="M383" i="1"/>
  <c r="M382" i="1"/>
  <c r="M381" i="1"/>
  <c r="M428" i="1"/>
  <c r="M380" i="1"/>
  <c r="M376" i="1"/>
  <c r="M372" i="1"/>
  <c r="M368" i="1"/>
  <c r="M367" i="1"/>
  <c r="M429" i="1"/>
  <c r="M377" i="1"/>
  <c r="M373" i="1"/>
  <c r="M369" i="1"/>
  <c r="M378" i="1"/>
  <c r="M374" i="1"/>
  <c r="M370" i="1"/>
  <c r="M366" i="1"/>
  <c r="M365" i="1"/>
  <c r="M364" i="1"/>
  <c r="M363" i="1"/>
  <c r="M371" i="1"/>
  <c r="M362" i="1"/>
  <c r="M360" i="1"/>
  <c r="M358" i="1"/>
  <c r="M356" i="1"/>
  <c r="M354" i="1"/>
  <c r="M352" i="1"/>
  <c r="M350" i="1"/>
  <c r="M348" i="1"/>
  <c r="M346" i="1"/>
  <c r="M344" i="1"/>
  <c r="M342" i="1"/>
  <c r="M340" i="1"/>
  <c r="M338" i="1"/>
  <c r="M336" i="1"/>
  <c r="M334" i="1"/>
  <c r="M332" i="1"/>
  <c r="M330" i="1"/>
  <c r="M328" i="1"/>
  <c r="M326" i="1"/>
  <c r="M324" i="1"/>
  <c r="M322" i="1"/>
  <c r="M320" i="1"/>
  <c r="M318" i="1"/>
  <c r="M316" i="1"/>
  <c r="M314" i="1"/>
  <c r="M312" i="1"/>
  <c r="M310" i="1"/>
  <c r="M308" i="1"/>
  <c r="M306" i="1"/>
  <c r="M37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379" i="1"/>
  <c r="M357" i="1"/>
  <c r="M349" i="1"/>
  <c r="M341" i="1"/>
  <c r="M333" i="1"/>
  <c r="M325" i="1"/>
  <c r="M317" i="1"/>
  <c r="M309" i="1"/>
  <c r="M359" i="1"/>
  <c r="M351" i="1"/>
  <c r="M343" i="1"/>
  <c r="M335" i="1"/>
  <c r="M327" i="1"/>
  <c r="M319" i="1"/>
  <c r="M311" i="1"/>
  <c r="M361" i="1"/>
  <c r="M353" i="1"/>
  <c r="M345" i="1"/>
  <c r="M337" i="1"/>
  <c r="M329" i="1"/>
  <c r="M321" i="1"/>
  <c r="M313" i="1"/>
  <c r="M305" i="1"/>
  <c r="M331" i="1"/>
  <c r="M222" i="1"/>
  <c r="M237" i="1"/>
  <c r="M235" i="1"/>
  <c r="M339" i="1"/>
  <c r="M307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221" i="1"/>
  <c r="M219" i="1"/>
  <c r="M217" i="1"/>
  <c r="M215" i="1"/>
  <c r="M213" i="1"/>
  <c r="M211" i="1"/>
  <c r="M209" i="1"/>
  <c r="M207" i="1"/>
  <c r="M205" i="1"/>
  <c r="M203" i="1"/>
  <c r="M201" i="1"/>
  <c r="M199" i="1"/>
  <c r="M197" i="1"/>
  <c r="M195" i="1"/>
  <c r="M193" i="1"/>
  <c r="M191" i="1"/>
  <c r="M189" i="1"/>
  <c r="M187" i="1"/>
  <c r="M185" i="1"/>
  <c r="M183" i="1"/>
  <c r="M181" i="1"/>
  <c r="M179" i="1"/>
  <c r="M177" i="1"/>
  <c r="M238" i="1"/>
  <c r="M236" i="1"/>
  <c r="M355" i="1"/>
  <c r="M323" i="1"/>
  <c r="M175" i="1"/>
  <c r="M231" i="1"/>
  <c r="M227" i="1"/>
  <c r="M223" i="1"/>
  <c r="M220" i="1"/>
  <c r="M212" i="1"/>
  <c r="M204" i="1"/>
  <c r="M196" i="1"/>
  <c r="M188" i="1"/>
  <c r="M180" i="1"/>
  <c r="M234" i="1"/>
  <c r="M230" i="1"/>
  <c r="M226" i="1"/>
  <c r="M214" i="1"/>
  <c r="M206" i="1"/>
  <c r="M198" i="1"/>
  <c r="M190" i="1"/>
  <c r="M182" i="1"/>
  <c r="M315" i="1"/>
  <c r="M233" i="1"/>
  <c r="M229" i="1"/>
  <c r="M225" i="1"/>
  <c r="M216" i="1"/>
  <c r="M208" i="1"/>
  <c r="M200" i="1"/>
  <c r="M192" i="1"/>
  <c r="M184" i="1"/>
  <c r="M176" i="1"/>
  <c r="M232" i="1"/>
  <c r="M224" i="1"/>
  <c r="M218" i="1"/>
  <c r="M194" i="1"/>
  <c r="M178" i="1"/>
  <c r="M347" i="1"/>
  <c r="M106" i="1"/>
  <c r="M228" i="1"/>
  <c r="M210" i="1"/>
  <c r="M202" i="1"/>
  <c r="M186" i="1"/>
  <c r="M70" i="1"/>
  <c r="M66" i="1"/>
  <c r="M62" i="1"/>
  <c r="M58" i="1"/>
  <c r="M54" i="1"/>
  <c r="M53" i="1"/>
  <c r="M52" i="1"/>
  <c r="M51" i="1"/>
  <c r="M50" i="1"/>
  <c r="M49" i="1"/>
  <c r="M48" i="1"/>
  <c r="M47" i="1"/>
  <c r="M105" i="1"/>
  <c r="M103" i="1"/>
  <c r="M101" i="1"/>
  <c r="M99" i="1"/>
  <c r="M97" i="1"/>
  <c r="M95" i="1"/>
  <c r="M93" i="1"/>
  <c r="M91" i="1"/>
  <c r="M89" i="1"/>
  <c r="M87" i="1"/>
  <c r="M85" i="1"/>
  <c r="M83" i="1"/>
  <c r="M81" i="1"/>
  <c r="M79" i="1"/>
  <c r="M77" i="1"/>
  <c r="M75" i="1"/>
  <c r="M73" i="1"/>
  <c r="M55" i="1"/>
  <c r="M64" i="1"/>
  <c r="M71" i="1"/>
  <c r="M67" i="1"/>
  <c r="M63" i="1"/>
  <c r="M59" i="1"/>
  <c r="M60" i="1"/>
  <c r="M56" i="1"/>
  <c r="M68" i="1"/>
  <c r="M104" i="1"/>
  <c r="M102" i="1"/>
  <c r="M100" i="1"/>
  <c r="M98" i="1"/>
  <c r="M96" i="1"/>
  <c r="M94" i="1"/>
  <c r="M92" i="1"/>
  <c r="M90" i="1"/>
  <c r="M88" i="1"/>
  <c r="M86" i="1"/>
  <c r="M84" i="1"/>
  <c r="M82" i="1"/>
  <c r="M80" i="1"/>
  <c r="M78" i="1"/>
  <c r="M76" i="1"/>
  <c r="M74" i="1"/>
  <c r="M72" i="1"/>
  <c r="M69" i="1"/>
  <c r="M65" i="1"/>
  <c r="M61" i="1"/>
  <c r="M57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2" i="1"/>
  <c r="R621" i="1"/>
  <c r="R620" i="1"/>
  <c r="R619" i="1"/>
  <c r="R618" i="1"/>
  <c r="R617" i="1"/>
  <c r="R616" i="1"/>
  <c r="R615" i="1"/>
  <c r="R614" i="1"/>
  <c r="R610" i="1"/>
  <c r="R606" i="1"/>
  <c r="R602" i="1"/>
  <c r="R598" i="1"/>
  <c r="R594" i="1"/>
  <c r="R590" i="1"/>
  <c r="R623" i="1"/>
  <c r="R613" i="1"/>
  <c r="R609" i="1"/>
  <c r="R605" i="1"/>
  <c r="R601" i="1"/>
  <c r="R597" i="1"/>
  <c r="R593" i="1"/>
  <c r="R589" i="1"/>
  <c r="R587" i="1"/>
  <c r="R586" i="1"/>
  <c r="R624" i="1"/>
  <c r="R612" i="1"/>
  <c r="R608" i="1"/>
  <c r="R604" i="1"/>
  <c r="R600" i="1"/>
  <c r="R596" i="1"/>
  <c r="R592" i="1"/>
  <c r="R588" i="1"/>
  <c r="R611" i="1"/>
  <c r="R607" i="1"/>
  <c r="R603" i="1"/>
  <c r="R599" i="1"/>
  <c r="R595" i="1"/>
  <c r="R591" i="1"/>
  <c r="R584" i="1"/>
  <c r="R582" i="1"/>
  <c r="R580" i="1"/>
  <c r="R578" i="1"/>
  <c r="R576" i="1"/>
  <c r="R574" i="1"/>
  <c r="R572" i="1"/>
  <c r="R570" i="1"/>
  <c r="R568" i="1"/>
  <c r="R566" i="1"/>
  <c r="R564" i="1"/>
  <c r="R562" i="1"/>
  <c r="R560" i="1"/>
  <c r="R558" i="1"/>
  <c r="R556" i="1"/>
  <c r="R585" i="1"/>
  <c r="R583" i="1"/>
  <c r="R581" i="1"/>
  <c r="R579" i="1"/>
  <c r="R577" i="1"/>
  <c r="R575" i="1"/>
  <c r="R573" i="1"/>
  <c r="R571" i="1"/>
  <c r="R569" i="1"/>
  <c r="R567" i="1"/>
  <c r="R565" i="1"/>
  <c r="R563" i="1"/>
  <c r="R561" i="1"/>
  <c r="R559" i="1"/>
  <c r="R557" i="1"/>
  <c r="R555" i="1"/>
  <c r="R552" i="1"/>
  <c r="R550" i="1"/>
  <c r="R548" i="1"/>
  <c r="R546" i="1"/>
  <c r="R544" i="1"/>
  <c r="R542" i="1"/>
  <c r="R540" i="1"/>
  <c r="R538" i="1"/>
  <c r="R536" i="1"/>
  <c r="R534" i="1"/>
  <c r="R532" i="1"/>
  <c r="R530" i="1"/>
  <c r="R528" i="1"/>
  <c r="R526" i="1"/>
  <c r="R524" i="1"/>
  <c r="R522" i="1"/>
  <c r="R551" i="1"/>
  <c r="R549" i="1"/>
  <c r="R547" i="1"/>
  <c r="R545" i="1"/>
  <c r="R543" i="1"/>
  <c r="R541" i="1"/>
  <c r="R539" i="1"/>
  <c r="R537" i="1"/>
  <c r="R535" i="1"/>
  <c r="R533" i="1"/>
  <c r="R531" i="1"/>
  <c r="R529" i="1"/>
  <c r="R527" i="1"/>
  <c r="R525" i="1"/>
  <c r="R523" i="1"/>
  <c r="R554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29" i="1"/>
  <c r="R553" i="1"/>
  <c r="R490" i="1"/>
  <c r="R488" i="1"/>
  <c r="R486" i="1"/>
  <c r="R484" i="1"/>
  <c r="R482" i="1"/>
  <c r="R480" i="1"/>
  <c r="R478" i="1"/>
  <c r="R476" i="1"/>
  <c r="R474" i="1"/>
  <c r="R472" i="1"/>
  <c r="R470" i="1"/>
  <c r="R468" i="1"/>
  <c r="R466" i="1"/>
  <c r="R464" i="1"/>
  <c r="R462" i="1"/>
  <c r="R460" i="1"/>
  <c r="R458" i="1"/>
  <c r="R456" i="1"/>
  <c r="R454" i="1"/>
  <c r="R452" i="1"/>
  <c r="R450" i="1"/>
  <c r="R448" i="1"/>
  <c r="R446" i="1"/>
  <c r="R444" i="1"/>
  <c r="R442" i="1"/>
  <c r="R440" i="1"/>
  <c r="R438" i="1"/>
  <c r="R436" i="1"/>
  <c r="R434" i="1"/>
  <c r="R432" i="1"/>
  <c r="R430" i="1"/>
  <c r="R428" i="1"/>
  <c r="R425" i="1"/>
  <c r="R423" i="1"/>
  <c r="R421" i="1"/>
  <c r="R419" i="1"/>
  <c r="R417" i="1"/>
  <c r="R415" i="1"/>
  <c r="R413" i="1"/>
  <c r="R411" i="1"/>
  <c r="R409" i="1"/>
  <c r="R407" i="1"/>
  <c r="R405" i="1"/>
  <c r="R403" i="1"/>
  <c r="R401" i="1"/>
  <c r="R399" i="1"/>
  <c r="R397" i="1"/>
  <c r="R395" i="1"/>
  <c r="R393" i="1"/>
  <c r="R391" i="1"/>
  <c r="R389" i="1"/>
  <c r="R387" i="1"/>
  <c r="R385" i="1"/>
  <c r="R383" i="1"/>
  <c r="R381" i="1"/>
  <c r="R378" i="1"/>
  <c r="R374" i="1"/>
  <c r="R370" i="1"/>
  <c r="R485" i="1"/>
  <c r="R477" i="1"/>
  <c r="R469" i="1"/>
  <c r="R461" i="1"/>
  <c r="R453" i="1"/>
  <c r="R445" i="1"/>
  <c r="R437" i="1"/>
  <c r="R427" i="1"/>
  <c r="R379" i="1"/>
  <c r="R375" i="1"/>
  <c r="R371" i="1"/>
  <c r="R487" i="1"/>
  <c r="R479" i="1"/>
  <c r="R471" i="1"/>
  <c r="R463" i="1"/>
  <c r="R455" i="1"/>
  <c r="R447" i="1"/>
  <c r="R439" i="1"/>
  <c r="R426" i="1"/>
  <c r="R424" i="1"/>
  <c r="R422" i="1"/>
  <c r="R420" i="1"/>
  <c r="R418" i="1"/>
  <c r="R416" i="1"/>
  <c r="R414" i="1"/>
  <c r="R412" i="1"/>
  <c r="R410" i="1"/>
  <c r="R408" i="1"/>
  <c r="R406" i="1"/>
  <c r="R404" i="1"/>
  <c r="R402" i="1"/>
  <c r="R400" i="1"/>
  <c r="R398" i="1"/>
  <c r="R396" i="1"/>
  <c r="R394" i="1"/>
  <c r="R392" i="1"/>
  <c r="R390" i="1"/>
  <c r="R388" i="1"/>
  <c r="R386" i="1"/>
  <c r="R384" i="1"/>
  <c r="R382" i="1"/>
  <c r="R380" i="1"/>
  <c r="R376" i="1"/>
  <c r="R372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489" i="1"/>
  <c r="R481" i="1"/>
  <c r="R473" i="1"/>
  <c r="R465" i="1"/>
  <c r="R457" i="1"/>
  <c r="R449" i="1"/>
  <c r="R441" i="1"/>
  <c r="R433" i="1"/>
  <c r="R431" i="1"/>
  <c r="R373" i="1"/>
  <c r="R467" i="1"/>
  <c r="R435" i="1"/>
  <c r="R377" i="1"/>
  <c r="R475" i="1"/>
  <c r="R443" i="1"/>
  <c r="R483" i="1"/>
  <c r="R451" i="1"/>
  <c r="R298" i="1"/>
  <c r="R296" i="1"/>
  <c r="R294" i="1"/>
  <c r="R292" i="1"/>
  <c r="R290" i="1"/>
  <c r="R288" i="1"/>
  <c r="R286" i="1"/>
  <c r="R284" i="1"/>
  <c r="R282" i="1"/>
  <c r="R280" i="1"/>
  <c r="R278" i="1"/>
  <c r="R276" i="1"/>
  <c r="R274" i="1"/>
  <c r="R272" i="1"/>
  <c r="R270" i="1"/>
  <c r="R268" i="1"/>
  <c r="R266" i="1"/>
  <c r="R264" i="1"/>
  <c r="R262" i="1"/>
  <c r="R260" i="1"/>
  <c r="R258" i="1"/>
  <c r="R256" i="1"/>
  <c r="R254" i="1"/>
  <c r="R252" i="1"/>
  <c r="R250" i="1"/>
  <c r="R248" i="1"/>
  <c r="R246" i="1"/>
  <c r="R244" i="1"/>
  <c r="R242" i="1"/>
  <c r="R240" i="1"/>
  <c r="R459" i="1"/>
  <c r="R303" i="1"/>
  <c r="R238" i="1"/>
  <c r="R237" i="1"/>
  <c r="R236" i="1"/>
  <c r="R235" i="1"/>
  <c r="R301" i="1"/>
  <c r="R300" i="1"/>
  <c r="R369" i="1"/>
  <c r="R297" i="1"/>
  <c r="R295" i="1"/>
  <c r="R293" i="1"/>
  <c r="R291" i="1"/>
  <c r="R289" i="1"/>
  <c r="R287" i="1"/>
  <c r="R285" i="1"/>
  <c r="R283" i="1"/>
  <c r="R281" i="1"/>
  <c r="R279" i="1"/>
  <c r="R277" i="1"/>
  <c r="R275" i="1"/>
  <c r="R273" i="1"/>
  <c r="R271" i="1"/>
  <c r="R269" i="1"/>
  <c r="R267" i="1"/>
  <c r="R265" i="1"/>
  <c r="R263" i="1"/>
  <c r="R261" i="1"/>
  <c r="R259" i="1"/>
  <c r="R257" i="1"/>
  <c r="R255" i="1"/>
  <c r="R253" i="1"/>
  <c r="R251" i="1"/>
  <c r="R249" i="1"/>
  <c r="R247" i="1"/>
  <c r="R245" i="1"/>
  <c r="R243" i="1"/>
  <c r="R241" i="1"/>
  <c r="R239" i="1"/>
  <c r="R299" i="1"/>
  <c r="R221" i="1"/>
  <c r="R219" i="1"/>
  <c r="R217" i="1"/>
  <c r="R215" i="1"/>
  <c r="R213" i="1"/>
  <c r="R211" i="1"/>
  <c r="R209" i="1"/>
  <c r="R207" i="1"/>
  <c r="R205" i="1"/>
  <c r="R203" i="1"/>
  <c r="R201" i="1"/>
  <c r="R199" i="1"/>
  <c r="R197" i="1"/>
  <c r="R195" i="1"/>
  <c r="R193" i="1"/>
  <c r="R191" i="1"/>
  <c r="R189" i="1"/>
  <c r="R187" i="1"/>
  <c r="R185" i="1"/>
  <c r="R183" i="1"/>
  <c r="R181" i="1"/>
  <c r="R179" i="1"/>
  <c r="R177" i="1"/>
  <c r="R17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302" i="1"/>
  <c r="R222" i="1"/>
  <c r="R174" i="1"/>
  <c r="R220" i="1"/>
  <c r="R212" i="1"/>
  <c r="R204" i="1"/>
  <c r="R196" i="1"/>
  <c r="R188" i="1"/>
  <c r="R180" i="1"/>
  <c r="R214" i="1"/>
  <c r="R206" i="1"/>
  <c r="R198" i="1"/>
  <c r="R190" i="1"/>
  <c r="R182" i="1"/>
  <c r="R216" i="1"/>
  <c r="R208" i="1"/>
  <c r="R200" i="1"/>
  <c r="R192" i="1"/>
  <c r="R184" i="1"/>
  <c r="R176" i="1"/>
  <c r="R304" i="1"/>
  <c r="R218" i="1"/>
  <c r="R210" i="1"/>
  <c r="R202" i="1"/>
  <c r="R194" i="1"/>
  <c r="R186" i="1"/>
  <c r="R178" i="1"/>
  <c r="R105" i="1"/>
  <c r="R103" i="1"/>
  <c r="R101" i="1"/>
  <c r="R99" i="1"/>
  <c r="R97" i="1"/>
  <c r="R95" i="1"/>
  <c r="R93" i="1"/>
  <c r="R91" i="1"/>
  <c r="R89" i="1"/>
  <c r="R87" i="1"/>
  <c r="R85" i="1"/>
  <c r="R83" i="1"/>
  <c r="R81" i="1"/>
  <c r="R79" i="1"/>
  <c r="R77" i="1"/>
  <c r="R75" i="1"/>
  <c r="R73" i="1"/>
  <c r="R71" i="1"/>
  <c r="R67" i="1"/>
  <c r="R63" i="1"/>
  <c r="R59" i="1"/>
  <c r="R55" i="1"/>
  <c r="R68" i="1"/>
  <c r="R64" i="1"/>
  <c r="R60" i="1"/>
  <c r="R56" i="1"/>
  <c r="R102" i="1"/>
  <c r="R98" i="1"/>
  <c r="R94" i="1"/>
  <c r="R90" i="1"/>
  <c r="R86" i="1"/>
  <c r="R82" i="1"/>
  <c r="R78" i="1"/>
  <c r="R74" i="1"/>
  <c r="R69" i="1"/>
  <c r="R104" i="1"/>
  <c r="R100" i="1"/>
  <c r="R96" i="1"/>
  <c r="R92" i="1"/>
  <c r="R88" i="1"/>
  <c r="R84" i="1"/>
  <c r="R80" i="1"/>
  <c r="R76" i="1"/>
  <c r="R72" i="1"/>
  <c r="R65" i="1"/>
  <c r="R61" i="1"/>
  <c r="R57" i="1"/>
  <c r="R53" i="1"/>
  <c r="R52" i="1"/>
  <c r="R51" i="1"/>
  <c r="R50" i="1"/>
  <c r="R49" i="1"/>
  <c r="R48" i="1"/>
  <c r="R47" i="1"/>
  <c r="R70" i="1"/>
  <c r="R66" i="1"/>
  <c r="R62" i="1"/>
  <c r="R58" i="1"/>
  <c r="R54" i="1"/>
  <c r="Q651" i="1"/>
  <c r="Q650" i="1"/>
  <c r="Q649" i="1"/>
  <c r="Q648" i="1"/>
  <c r="Q647" i="1"/>
  <c r="Q646" i="1"/>
  <c r="Q645" i="1"/>
  <c r="Q644" i="1"/>
  <c r="Q643" i="1"/>
  <c r="Q642" i="1"/>
  <c r="Q641" i="1"/>
  <c r="Q640" i="1"/>
  <c r="Q639" i="1"/>
  <c r="Q638" i="1"/>
  <c r="Q637" i="1"/>
  <c r="Q636" i="1"/>
  <c r="Q635" i="1"/>
  <c r="Q634" i="1"/>
  <c r="Q633" i="1"/>
  <c r="Q632" i="1"/>
  <c r="Q631" i="1"/>
  <c r="Q630" i="1"/>
  <c r="Q629" i="1"/>
  <c r="Q628" i="1"/>
  <c r="Q627" i="1"/>
  <c r="Q626" i="1"/>
  <c r="Q625" i="1"/>
  <c r="Q624" i="1"/>
  <c r="Q623" i="1"/>
  <c r="Q622" i="1"/>
  <c r="Q621" i="1"/>
  <c r="Q620" i="1"/>
  <c r="Q619" i="1"/>
  <c r="Q618" i="1"/>
  <c r="Q617" i="1"/>
  <c r="Q616" i="1"/>
  <c r="Q615" i="1"/>
  <c r="Q614" i="1"/>
  <c r="Q613" i="1"/>
  <c r="Q612" i="1"/>
  <c r="Q611" i="1"/>
  <c r="Q610" i="1"/>
  <c r="Q609" i="1"/>
  <c r="Q608" i="1"/>
  <c r="Q607" i="1"/>
  <c r="Q606" i="1"/>
  <c r="Q605" i="1"/>
  <c r="Q604" i="1"/>
  <c r="Q603" i="1"/>
  <c r="Q602" i="1"/>
  <c r="Q601" i="1"/>
  <c r="Q600" i="1"/>
  <c r="Q599" i="1"/>
  <c r="Q598" i="1"/>
  <c r="Q597" i="1"/>
  <c r="Q596" i="1"/>
  <c r="Q595" i="1"/>
  <c r="Q594" i="1"/>
  <c r="Q593" i="1"/>
  <c r="Q592" i="1"/>
  <c r="Q591" i="1"/>
  <c r="Q590" i="1"/>
  <c r="Q589" i="1"/>
  <c r="Q588" i="1"/>
  <c r="Q587" i="1"/>
  <c r="Q586" i="1"/>
  <c r="Q584" i="1"/>
  <c r="Q582" i="1"/>
  <c r="Q580" i="1"/>
  <c r="Q578" i="1"/>
  <c r="Q576" i="1"/>
  <c r="Q574" i="1"/>
  <c r="Q572" i="1"/>
  <c r="Q570" i="1"/>
  <c r="Q568" i="1"/>
  <c r="Q566" i="1"/>
  <c r="Q564" i="1"/>
  <c r="Q562" i="1"/>
  <c r="Q560" i="1"/>
  <c r="Q558" i="1"/>
  <c r="Q556" i="1"/>
  <c r="Q554" i="1"/>
  <c r="Q579" i="1"/>
  <c r="Q571" i="1"/>
  <c r="Q563" i="1"/>
  <c r="Q552" i="1"/>
  <c r="Q550" i="1"/>
  <c r="Q548" i="1"/>
  <c r="Q546" i="1"/>
  <c r="Q544" i="1"/>
  <c r="Q542" i="1"/>
  <c r="Q540" i="1"/>
  <c r="Q538" i="1"/>
  <c r="Q536" i="1"/>
  <c r="Q534" i="1"/>
  <c r="Q532" i="1"/>
  <c r="Q530" i="1"/>
  <c r="Q528" i="1"/>
  <c r="Q526" i="1"/>
  <c r="Q524" i="1"/>
  <c r="Q522" i="1"/>
  <c r="Q581" i="1"/>
  <c r="Q573" i="1"/>
  <c r="Q565" i="1"/>
  <c r="Q557" i="1"/>
  <c r="Q583" i="1"/>
  <c r="Q575" i="1"/>
  <c r="Q567" i="1"/>
  <c r="Q559" i="1"/>
  <c r="Q551" i="1"/>
  <c r="Q549" i="1"/>
  <c r="Q547" i="1"/>
  <c r="Q545" i="1"/>
  <c r="Q543" i="1"/>
  <c r="Q541" i="1"/>
  <c r="Q539" i="1"/>
  <c r="Q537" i="1"/>
  <c r="Q535" i="1"/>
  <c r="Q533" i="1"/>
  <c r="Q531" i="1"/>
  <c r="Q529" i="1"/>
  <c r="Q527" i="1"/>
  <c r="Q525" i="1"/>
  <c r="Q523" i="1"/>
  <c r="Q561" i="1"/>
  <c r="Q489" i="1"/>
  <c r="Q487" i="1"/>
  <c r="Q485" i="1"/>
  <c r="Q483" i="1"/>
  <c r="Q481" i="1"/>
  <c r="Q479" i="1"/>
  <c r="Q477" i="1"/>
  <c r="Q475" i="1"/>
  <c r="Q473" i="1"/>
  <c r="Q471" i="1"/>
  <c r="Q469" i="1"/>
  <c r="Q467" i="1"/>
  <c r="Q465" i="1"/>
  <c r="Q463" i="1"/>
  <c r="Q461" i="1"/>
  <c r="Q459" i="1"/>
  <c r="Q457" i="1"/>
  <c r="Q455" i="1"/>
  <c r="Q453" i="1"/>
  <c r="Q451" i="1"/>
  <c r="Q449" i="1"/>
  <c r="Q447" i="1"/>
  <c r="Q445" i="1"/>
  <c r="Q443" i="1"/>
  <c r="Q441" i="1"/>
  <c r="Q439" i="1"/>
  <c r="Q437" i="1"/>
  <c r="Q435" i="1"/>
  <c r="Q433" i="1"/>
  <c r="Q431" i="1"/>
  <c r="Q569" i="1"/>
  <c r="Q521" i="1"/>
  <c r="Q519" i="1"/>
  <c r="Q517" i="1"/>
  <c r="Q515" i="1"/>
  <c r="Q513" i="1"/>
  <c r="Q511" i="1"/>
  <c r="Q509" i="1"/>
  <c r="Q507" i="1"/>
  <c r="Q505" i="1"/>
  <c r="Q503" i="1"/>
  <c r="Q501" i="1"/>
  <c r="Q499" i="1"/>
  <c r="Q497" i="1"/>
  <c r="Q495" i="1"/>
  <c r="Q493" i="1"/>
  <c r="Q492" i="1"/>
  <c r="Q491" i="1"/>
  <c r="Q553" i="1"/>
  <c r="Q577" i="1"/>
  <c r="Q490" i="1"/>
  <c r="Q488" i="1"/>
  <c r="Q486" i="1"/>
  <c r="Q484" i="1"/>
  <c r="Q482" i="1"/>
  <c r="Q480" i="1"/>
  <c r="Q478" i="1"/>
  <c r="Q476" i="1"/>
  <c r="Q474" i="1"/>
  <c r="Q472" i="1"/>
  <c r="Q470" i="1"/>
  <c r="Q468" i="1"/>
  <c r="Q466" i="1"/>
  <c r="Q464" i="1"/>
  <c r="Q462" i="1"/>
  <c r="Q460" i="1"/>
  <c r="Q458" i="1"/>
  <c r="Q456" i="1"/>
  <c r="Q454" i="1"/>
  <c r="Q452" i="1"/>
  <c r="Q450" i="1"/>
  <c r="Q448" i="1"/>
  <c r="Q446" i="1"/>
  <c r="Q444" i="1"/>
  <c r="Q442" i="1"/>
  <c r="Q440" i="1"/>
  <c r="Q438" i="1"/>
  <c r="Q436" i="1"/>
  <c r="Q434" i="1"/>
  <c r="Q432" i="1"/>
  <c r="Q585" i="1"/>
  <c r="Q555" i="1"/>
  <c r="Q520" i="1"/>
  <c r="Q518" i="1"/>
  <c r="Q516" i="1"/>
  <c r="Q514" i="1"/>
  <c r="Q512" i="1"/>
  <c r="Q510" i="1"/>
  <c r="Q508" i="1"/>
  <c r="Q506" i="1"/>
  <c r="Q504" i="1"/>
  <c r="Q502" i="1"/>
  <c r="Q500" i="1"/>
  <c r="Q498" i="1"/>
  <c r="Q496" i="1"/>
  <c r="Q494" i="1"/>
  <c r="Q428" i="1"/>
  <c r="Q429" i="1"/>
  <c r="Q425" i="1"/>
  <c r="Q423" i="1"/>
  <c r="Q421" i="1"/>
  <c r="Q419" i="1"/>
  <c r="Q417" i="1"/>
  <c r="Q415" i="1"/>
  <c r="Q413" i="1"/>
  <c r="Q411" i="1"/>
  <c r="Q409" i="1"/>
  <c r="Q407" i="1"/>
  <c r="Q405" i="1"/>
  <c r="Q403" i="1"/>
  <c r="Q401" i="1"/>
  <c r="Q399" i="1"/>
  <c r="Q397" i="1"/>
  <c r="Q395" i="1"/>
  <c r="Q393" i="1"/>
  <c r="Q391" i="1"/>
  <c r="Q389" i="1"/>
  <c r="Q387" i="1"/>
  <c r="Q385" i="1"/>
  <c r="Q383" i="1"/>
  <c r="Q381" i="1"/>
  <c r="Q378" i="1"/>
  <c r="Q374" i="1"/>
  <c r="Q370" i="1"/>
  <c r="Q430" i="1"/>
  <c r="Q427" i="1"/>
  <c r="Q379" i="1"/>
  <c r="Q375" i="1"/>
  <c r="Q371" i="1"/>
  <c r="Q426" i="1"/>
  <c r="Q424" i="1"/>
  <c r="Q422" i="1"/>
  <c r="Q420" i="1"/>
  <c r="Q418" i="1"/>
  <c r="Q416" i="1"/>
  <c r="Q414" i="1"/>
  <c r="Q412" i="1"/>
  <c r="Q410" i="1"/>
  <c r="Q408" i="1"/>
  <c r="Q406" i="1"/>
  <c r="Q404" i="1"/>
  <c r="Q402" i="1"/>
  <c r="Q400" i="1"/>
  <c r="Q398" i="1"/>
  <c r="Q396" i="1"/>
  <c r="Q394" i="1"/>
  <c r="Q392" i="1"/>
  <c r="Q390" i="1"/>
  <c r="Q388" i="1"/>
  <c r="Q386" i="1"/>
  <c r="Q384" i="1"/>
  <c r="Q382" i="1"/>
  <c r="Q380" i="1"/>
  <c r="Q376" i="1"/>
  <c r="Q372" i="1"/>
  <c r="Q368" i="1"/>
  <c r="Q373" i="1"/>
  <c r="Q361" i="1"/>
  <c r="Q359" i="1"/>
  <c r="Q357" i="1"/>
  <c r="Q355" i="1"/>
  <c r="Q353" i="1"/>
  <c r="Q351" i="1"/>
  <c r="Q349" i="1"/>
  <c r="Q347" i="1"/>
  <c r="Q345" i="1"/>
  <c r="Q343" i="1"/>
  <c r="Q341" i="1"/>
  <c r="Q339" i="1"/>
  <c r="Q337" i="1"/>
  <c r="Q335" i="1"/>
  <c r="Q333" i="1"/>
  <c r="Q331" i="1"/>
  <c r="Q329" i="1"/>
  <c r="Q327" i="1"/>
  <c r="Q325" i="1"/>
  <c r="Q323" i="1"/>
  <c r="Q321" i="1"/>
  <c r="Q319" i="1"/>
  <c r="Q317" i="1"/>
  <c r="Q315" i="1"/>
  <c r="Q313" i="1"/>
  <c r="Q311" i="1"/>
  <c r="Q309" i="1"/>
  <c r="Q307" i="1"/>
  <c r="Q305" i="1"/>
  <c r="Q377" i="1"/>
  <c r="Q366" i="1"/>
  <c r="Q365" i="1"/>
  <c r="Q364" i="1"/>
  <c r="Q363" i="1"/>
  <c r="Q362" i="1"/>
  <c r="Q354" i="1"/>
  <c r="Q346" i="1"/>
  <c r="Q338" i="1"/>
  <c r="Q330" i="1"/>
  <c r="Q322" i="1"/>
  <c r="Q314" i="1"/>
  <c r="Q306" i="1"/>
  <c r="Q298" i="1"/>
  <c r="Q296" i="1"/>
  <c r="Q294" i="1"/>
  <c r="Q292" i="1"/>
  <c r="Q290" i="1"/>
  <c r="Q288" i="1"/>
  <c r="Q286" i="1"/>
  <c r="Q284" i="1"/>
  <c r="Q282" i="1"/>
  <c r="Q280" i="1"/>
  <c r="Q278" i="1"/>
  <c r="Q276" i="1"/>
  <c r="Q274" i="1"/>
  <c r="Q272" i="1"/>
  <c r="Q270" i="1"/>
  <c r="Q268" i="1"/>
  <c r="Q266" i="1"/>
  <c r="Q264" i="1"/>
  <c r="Q262" i="1"/>
  <c r="Q260" i="1"/>
  <c r="Q258" i="1"/>
  <c r="Q256" i="1"/>
  <c r="Q254" i="1"/>
  <c r="Q252" i="1"/>
  <c r="Q250" i="1"/>
  <c r="Q248" i="1"/>
  <c r="Q246" i="1"/>
  <c r="Q244" i="1"/>
  <c r="Q242" i="1"/>
  <c r="Q240" i="1"/>
  <c r="Q356" i="1"/>
  <c r="Q348" i="1"/>
  <c r="Q340" i="1"/>
  <c r="Q332" i="1"/>
  <c r="Q324" i="1"/>
  <c r="Q316" i="1"/>
  <c r="Q308" i="1"/>
  <c r="Q303" i="1"/>
  <c r="Q238" i="1"/>
  <c r="Q237" i="1"/>
  <c r="Q236" i="1"/>
  <c r="Q235" i="1"/>
  <c r="Q234" i="1"/>
  <c r="Q233" i="1"/>
  <c r="Q232" i="1"/>
  <c r="Q231" i="1"/>
  <c r="Q230" i="1"/>
  <c r="Q229" i="1"/>
  <c r="Q228" i="1"/>
  <c r="Q227" i="1"/>
  <c r="Q226" i="1"/>
  <c r="Q225" i="1"/>
  <c r="Q224" i="1"/>
  <c r="Q223" i="1"/>
  <c r="Q222" i="1"/>
  <c r="Q221" i="1"/>
  <c r="Q220" i="1"/>
  <c r="Q219" i="1"/>
  <c r="Q218" i="1"/>
  <c r="Q217" i="1"/>
  <c r="Q216" i="1"/>
  <c r="Q215" i="1"/>
  <c r="Q214" i="1"/>
  <c r="Q213" i="1"/>
  <c r="Q212" i="1"/>
  <c r="Q211" i="1"/>
  <c r="Q210" i="1"/>
  <c r="Q209" i="1"/>
  <c r="Q208" i="1"/>
  <c r="Q207" i="1"/>
  <c r="Q206" i="1"/>
  <c r="Q205" i="1"/>
  <c r="Q204" i="1"/>
  <c r="Q203" i="1"/>
  <c r="Q202" i="1"/>
  <c r="Q201" i="1"/>
  <c r="Q200" i="1"/>
  <c r="Q199" i="1"/>
  <c r="Q198" i="1"/>
  <c r="Q197" i="1"/>
  <c r="Q196" i="1"/>
  <c r="Q195" i="1"/>
  <c r="Q194" i="1"/>
  <c r="Q193" i="1"/>
  <c r="Q192" i="1"/>
  <c r="Q191" i="1"/>
  <c r="Q190" i="1"/>
  <c r="Q189" i="1"/>
  <c r="Q188" i="1"/>
  <c r="Q187" i="1"/>
  <c r="Q186" i="1"/>
  <c r="Q185" i="1"/>
  <c r="Q184" i="1"/>
  <c r="Q183" i="1"/>
  <c r="Q182" i="1"/>
  <c r="Q181" i="1"/>
  <c r="Q180" i="1"/>
  <c r="Q179" i="1"/>
  <c r="Q178" i="1"/>
  <c r="Q177" i="1"/>
  <c r="Q176" i="1"/>
  <c r="Q358" i="1"/>
  <c r="Q350" i="1"/>
  <c r="Q342" i="1"/>
  <c r="Q334" i="1"/>
  <c r="Q326" i="1"/>
  <c r="Q318" i="1"/>
  <c r="Q310" i="1"/>
  <c r="Q301" i="1"/>
  <c r="Q300" i="1"/>
  <c r="Q369" i="1"/>
  <c r="Q297" i="1"/>
  <c r="Q295" i="1"/>
  <c r="Q293" i="1"/>
  <c r="Q291" i="1"/>
  <c r="Q289" i="1"/>
  <c r="Q287" i="1"/>
  <c r="Q285" i="1"/>
  <c r="Q283" i="1"/>
  <c r="Q281" i="1"/>
  <c r="Q279" i="1"/>
  <c r="Q277" i="1"/>
  <c r="Q275" i="1"/>
  <c r="Q273" i="1"/>
  <c r="Q271" i="1"/>
  <c r="Q269" i="1"/>
  <c r="Q267" i="1"/>
  <c r="Q265" i="1"/>
  <c r="Q263" i="1"/>
  <c r="Q261" i="1"/>
  <c r="Q259" i="1"/>
  <c r="Q257" i="1"/>
  <c r="Q255" i="1"/>
  <c r="Q253" i="1"/>
  <c r="Q251" i="1"/>
  <c r="Q249" i="1"/>
  <c r="Q247" i="1"/>
  <c r="Q245" i="1"/>
  <c r="Q243" i="1"/>
  <c r="Q241" i="1"/>
  <c r="Q239" i="1"/>
  <c r="Q352" i="1"/>
  <c r="Q320" i="1"/>
  <c r="Q175" i="1"/>
  <c r="Q360" i="1"/>
  <c r="Q328" i="1"/>
  <c r="Q304" i="1"/>
  <c r="Q367" i="1"/>
  <c r="Q344" i="1"/>
  <c r="Q312" i="1"/>
  <c r="Q173" i="1"/>
  <c r="Q172" i="1"/>
  <c r="Q171" i="1"/>
  <c r="Q170" i="1"/>
  <c r="Q169" i="1"/>
  <c r="Q168" i="1"/>
  <c r="Q167" i="1"/>
  <c r="Q166" i="1"/>
  <c r="Q165" i="1"/>
  <c r="Q164" i="1"/>
  <c r="Q163" i="1"/>
  <c r="Q162" i="1"/>
  <c r="Q161" i="1"/>
  <c r="Q160" i="1"/>
  <c r="Q159" i="1"/>
  <c r="Q158" i="1"/>
  <c r="Q157" i="1"/>
  <c r="Q156" i="1"/>
  <c r="Q155" i="1"/>
  <c r="Q154" i="1"/>
  <c r="Q153" i="1"/>
  <c r="Q152" i="1"/>
  <c r="Q151" i="1"/>
  <c r="Q150" i="1"/>
  <c r="Q149" i="1"/>
  <c r="Q148" i="1"/>
  <c r="Q147" i="1"/>
  <c r="Q146" i="1"/>
  <c r="Q145" i="1"/>
  <c r="Q144" i="1"/>
  <c r="Q143" i="1"/>
  <c r="Q142" i="1"/>
  <c r="Q141" i="1"/>
  <c r="Q140" i="1"/>
  <c r="Q139" i="1"/>
  <c r="Q138" i="1"/>
  <c r="Q137" i="1"/>
  <c r="Q136" i="1"/>
  <c r="Q135" i="1"/>
  <c r="Q134" i="1"/>
  <c r="Q133" i="1"/>
  <c r="Q132" i="1"/>
  <c r="Q131" i="1"/>
  <c r="Q130" i="1"/>
  <c r="Q129" i="1"/>
  <c r="Q128" i="1"/>
  <c r="Q127" i="1"/>
  <c r="Q126" i="1"/>
  <c r="Q125" i="1"/>
  <c r="Q124" i="1"/>
  <c r="Q123" i="1"/>
  <c r="Q122" i="1"/>
  <c r="Q121" i="1"/>
  <c r="Q120" i="1"/>
  <c r="Q119" i="1"/>
  <c r="Q118" i="1"/>
  <c r="Q117" i="1"/>
  <c r="Q116" i="1"/>
  <c r="Q115" i="1"/>
  <c r="Q114" i="1"/>
  <c r="Q113" i="1"/>
  <c r="Q112" i="1"/>
  <c r="Q111" i="1"/>
  <c r="Q110" i="1"/>
  <c r="Q109" i="1"/>
  <c r="Q108" i="1"/>
  <c r="Q107" i="1"/>
  <c r="Q106" i="1"/>
  <c r="Q336" i="1"/>
  <c r="Q299" i="1"/>
  <c r="Q105" i="1"/>
  <c r="Q104" i="1"/>
  <c r="Q103" i="1"/>
  <c r="Q102" i="1"/>
  <c r="Q101" i="1"/>
  <c r="Q100" i="1"/>
  <c r="Q99" i="1"/>
  <c r="Q98" i="1"/>
  <c r="Q97" i="1"/>
  <c r="Q96" i="1"/>
  <c r="Q95" i="1"/>
  <c r="Q94" i="1"/>
  <c r="Q93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174" i="1"/>
  <c r="Q302" i="1"/>
  <c r="Q71" i="1"/>
  <c r="Q67" i="1"/>
  <c r="Q63" i="1"/>
  <c r="Q59" i="1"/>
  <c r="Q55" i="1"/>
  <c r="Q54" i="1"/>
  <c r="Q68" i="1"/>
  <c r="Q64" i="1"/>
  <c r="Q60" i="1"/>
  <c r="Q56" i="1"/>
  <c r="Q69" i="1"/>
  <c r="Q65" i="1"/>
  <c r="Q61" i="1"/>
  <c r="Q57" i="1"/>
  <c r="Q53" i="1"/>
  <c r="Q52" i="1"/>
  <c r="Q51" i="1"/>
  <c r="Q50" i="1"/>
  <c r="Q49" i="1"/>
  <c r="Q48" i="1"/>
  <c r="Q47" i="1"/>
  <c r="Q70" i="1"/>
  <c r="Q66" i="1"/>
  <c r="Q62" i="1"/>
  <c r="Q58" i="1"/>
  <c r="T651" i="1"/>
  <c r="T650" i="1"/>
  <c r="T649" i="1"/>
  <c r="T648" i="1"/>
  <c r="T647" i="1"/>
  <c r="T646" i="1"/>
  <c r="T645" i="1"/>
  <c r="T644" i="1"/>
  <c r="T643" i="1"/>
  <c r="T642" i="1"/>
  <c r="T641" i="1"/>
  <c r="T640" i="1"/>
  <c r="T639" i="1"/>
  <c r="T638" i="1"/>
  <c r="T637" i="1"/>
  <c r="T636" i="1"/>
  <c r="T635" i="1"/>
  <c r="T634" i="1"/>
  <c r="T633" i="1"/>
  <c r="T632" i="1"/>
  <c r="T631" i="1"/>
  <c r="T630" i="1"/>
  <c r="T629" i="1"/>
  <c r="T628" i="1"/>
  <c r="T627" i="1"/>
  <c r="T626" i="1"/>
  <c r="T625" i="1"/>
  <c r="T624" i="1"/>
  <c r="T623" i="1"/>
  <c r="T622" i="1"/>
  <c r="T621" i="1"/>
  <c r="T620" i="1"/>
  <c r="T619" i="1"/>
  <c r="T618" i="1"/>
  <c r="T617" i="1"/>
  <c r="T616" i="1"/>
  <c r="T615" i="1"/>
  <c r="T614" i="1"/>
  <c r="T613" i="1"/>
  <c r="T612" i="1"/>
  <c r="T611" i="1"/>
  <c r="T610" i="1"/>
  <c r="T609" i="1"/>
  <c r="T608" i="1"/>
  <c r="T607" i="1"/>
  <c r="T606" i="1"/>
  <c r="T605" i="1"/>
  <c r="T604" i="1"/>
  <c r="T603" i="1"/>
  <c r="T602" i="1"/>
  <c r="T601" i="1"/>
  <c r="T600" i="1"/>
  <c r="T599" i="1"/>
  <c r="T598" i="1"/>
  <c r="T597" i="1"/>
  <c r="T596" i="1"/>
  <c r="T595" i="1"/>
  <c r="T594" i="1"/>
  <c r="T593" i="1"/>
  <c r="T592" i="1"/>
  <c r="T591" i="1"/>
  <c r="T590" i="1"/>
  <c r="T589" i="1"/>
  <c r="T588" i="1"/>
  <c r="T587" i="1"/>
  <c r="T586" i="1"/>
  <c r="T584" i="1"/>
  <c r="T582" i="1"/>
  <c r="T580" i="1"/>
  <c r="T578" i="1"/>
  <c r="T576" i="1"/>
  <c r="T574" i="1"/>
  <c r="T572" i="1"/>
  <c r="T570" i="1"/>
  <c r="T568" i="1"/>
  <c r="T566" i="1"/>
  <c r="T564" i="1"/>
  <c r="T562" i="1"/>
  <c r="T560" i="1"/>
  <c r="T558" i="1"/>
  <c r="T556" i="1"/>
  <c r="T554" i="1"/>
  <c r="T585" i="1"/>
  <c r="T583" i="1"/>
  <c r="T581" i="1"/>
  <c r="T579" i="1"/>
  <c r="T577" i="1"/>
  <c r="T575" i="1"/>
  <c r="T573" i="1"/>
  <c r="T571" i="1"/>
  <c r="T569" i="1"/>
  <c r="T567" i="1"/>
  <c r="T565" i="1"/>
  <c r="T563" i="1"/>
  <c r="T561" i="1"/>
  <c r="T559" i="1"/>
  <c r="T557" i="1"/>
  <c r="T551" i="1"/>
  <c r="T549" i="1"/>
  <c r="T547" i="1"/>
  <c r="T545" i="1"/>
  <c r="T543" i="1"/>
  <c r="T541" i="1"/>
  <c r="T539" i="1"/>
  <c r="T537" i="1"/>
  <c r="T535" i="1"/>
  <c r="T533" i="1"/>
  <c r="T531" i="1"/>
  <c r="T529" i="1"/>
  <c r="T527" i="1"/>
  <c r="T525" i="1"/>
  <c r="T523" i="1"/>
  <c r="T521" i="1"/>
  <c r="T520" i="1"/>
  <c r="T519" i="1"/>
  <c r="T518" i="1"/>
  <c r="T517" i="1"/>
  <c r="T516" i="1"/>
  <c r="T515" i="1"/>
  <c r="T514" i="1"/>
  <c r="T513" i="1"/>
  <c r="T512" i="1"/>
  <c r="T511" i="1"/>
  <c r="T510" i="1"/>
  <c r="T509" i="1"/>
  <c r="T508" i="1"/>
  <c r="T507" i="1"/>
  <c r="T506" i="1"/>
  <c r="T505" i="1"/>
  <c r="T504" i="1"/>
  <c r="T503" i="1"/>
  <c r="T502" i="1"/>
  <c r="T501" i="1"/>
  <c r="T500" i="1"/>
  <c r="T499" i="1"/>
  <c r="T498" i="1"/>
  <c r="T497" i="1"/>
  <c r="T496" i="1"/>
  <c r="T495" i="1"/>
  <c r="T494" i="1"/>
  <c r="T493" i="1"/>
  <c r="T555" i="1"/>
  <c r="T553" i="1"/>
  <c r="T492" i="1"/>
  <c r="T491" i="1"/>
  <c r="T548" i="1"/>
  <c r="T540" i="1"/>
  <c r="T532" i="1"/>
  <c r="T524" i="1"/>
  <c r="T490" i="1"/>
  <c r="T488" i="1"/>
  <c r="T486" i="1"/>
  <c r="T484" i="1"/>
  <c r="T482" i="1"/>
  <c r="T480" i="1"/>
  <c r="T478" i="1"/>
  <c r="T476" i="1"/>
  <c r="T474" i="1"/>
  <c r="T472" i="1"/>
  <c r="T470" i="1"/>
  <c r="T468" i="1"/>
  <c r="T466" i="1"/>
  <c r="T464" i="1"/>
  <c r="T462" i="1"/>
  <c r="T460" i="1"/>
  <c r="T458" i="1"/>
  <c r="T456" i="1"/>
  <c r="T454" i="1"/>
  <c r="T452" i="1"/>
  <c r="T450" i="1"/>
  <c r="T448" i="1"/>
  <c r="T446" i="1"/>
  <c r="T444" i="1"/>
  <c r="T442" i="1"/>
  <c r="T440" i="1"/>
  <c r="T438" i="1"/>
  <c r="T436" i="1"/>
  <c r="T434" i="1"/>
  <c r="T427" i="1"/>
  <c r="T550" i="1"/>
  <c r="T542" i="1"/>
  <c r="T534" i="1"/>
  <c r="T526" i="1"/>
  <c r="T429" i="1"/>
  <c r="T552" i="1"/>
  <c r="T485" i="1"/>
  <c r="T477" i="1"/>
  <c r="T469" i="1"/>
  <c r="T461" i="1"/>
  <c r="T453" i="1"/>
  <c r="T445" i="1"/>
  <c r="T437" i="1"/>
  <c r="T432" i="1"/>
  <c r="T530" i="1"/>
  <c r="T430" i="1"/>
  <c r="T379" i="1"/>
  <c r="T375" i="1"/>
  <c r="T371" i="1"/>
  <c r="T528" i="1"/>
  <c r="T487" i="1"/>
  <c r="T479" i="1"/>
  <c r="T471" i="1"/>
  <c r="T463" i="1"/>
  <c r="T455" i="1"/>
  <c r="T447" i="1"/>
  <c r="T439" i="1"/>
  <c r="T367" i="1"/>
  <c r="T366" i="1"/>
  <c r="T365" i="1"/>
  <c r="T364" i="1"/>
  <c r="T363" i="1"/>
  <c r="T538" i="1"/>
  <c r="T426" i="1"/>
  <c r="T424" i="1"/>
  <c r="T422" i="1"/>
  <c r="T420" i="1"/>
  <c r="T418" i="1"/>
  <c r="T416" i="1"/>
  <c r="T414" i="1"/>
  <c r="T412" i="1"/>
  <c r="T410" i="1"/>
  <c r="T408" i="1"/>
  <c r="T406" i="1"/>
  <c r="T404" i="1"/>
  <c r="T402" i="1"/>
  <c r="T400" i="1"/>
  <c r="T398" i="1"/>
  <c r="T396" i="1"/>
  <c r="T394" i="1"/>
  <c r="T392" i="1"/>
  <c r="T390" i="1"/>
  <c r="T388" i="1"/>
  <c r="T386" i="1"/>
  <c r="T384" i="1"/>
  <c r="T382" i="1"/>
  <c r="T380" i="1"/>
  <c r="T376" i="1"/>
  <c r="T372" i="1"/>
  <c r="T368" i="1"/>
  <c r="T536" i="1"/>
  <c r="T489" i="1"/>
  <c r="T481" i="1"/>
  <c r="T473" i="1"/>
  <c r="T465" i="1"/>
  <c r="T457" i="1"/>
  <c r="T449" i="1"/>
  <c r="T441" i="1"/>
  <c r="T433" i="1"/>
  <c r="T431" i="1"/>
  <c r="T546" i="1"/>
  <c r="T377" i="1"/>
  <c r="T373" i="1"/>
  <c r="T369" i="1"/>
  <c r="T467" i="1"/>
  <c r="T435" i="1"/>
  <c r="T428" i="1"/>
  <c r="T425" i="1"/>
  <c r="T417" i="1"/>
  <c r="T409" i="1"/>
  <c r="T401" i="1"/>
  <c r="T393" i="1"/>
  <c r="T385" i="1"/>
  <c r="T361" i="1"/>
  <c r="T359" i="1"/>
  <c r="T357" i="1"/>
  <c r="T355" i="1"/>
  <c r="T353" i="1"/>
  <c r="T351" i="1"/>
  <c r="T349" i="1"/>
  <c r="T347" i="1"/>
  <c r="T345" i="1"/>
  <c r="T343" i="1"/>
  <c r="T341" i="1"/>
  <c r="T339" i="1"/>
  <c r="T337" i="1"/>
  <c r="T335" i="1"/>
  <c r="T333" i="1"/>
  <c r="T331" i="1"/>
  <c r="T329" i="1"/>
  <c r="T327" i="1"/>
  <c r="T325" i="1"/>
  <c r="T323" i="1"/>
  <c r="T321" i="1"/>
  <c r="T319" i="1"/>
  <c r="T317" i="1"/>
  <c r="T315" i="1"/>
  <c r="T313" i="1"/>
  <c r="T311" i="1"/>
  <c r="T309" i="1"/>
  <c r="T307" i="1"/>
  <c r="T305" i="1"/>
  <c r="T544" i="1"/>
  <c r="T475" i="1"/>
  <c r="T443" i="1"/>
  <c r="T419" i="1"/>
  <c r="T411" i="1"/>
  <c r="T403" i="1"/>
  <c r="T395" i="1"/>
  <c r="T387" i="1"/>
  <c r="T370" i="1"/>
  <c r="T483" i="1"/>
  <c r="T451" i="1"/>
  <c r="T303" i="1"/>
  <c r="T302" i="1"/>
  <c r="T301" i="1"/>
  <c r="T300" i="1"/>
  <c r="T299" i="1"/>
  <c r="T298" i="1"/>
  <c r="T297" i="1"/>
  <c r="T296" i="1"/>
  <c r="T295" i="1"/>
  <c r="T294" i="1"/>
  <c r="T293" i="1"/>
  <c r="T292" i="1"/>
  <c r="T291" i="1"/>
  <c r="T290" i="1"/>
  <c r="T289" i="1"/>
  <c r="T288" i="1"/>
  <c r="T287" i="1"/>
  <c r="T286" i="1"/>
  <c r="T285" i="1"/>
  <c r="T284" i="1"/>
  <c r="T283" i="1"/>
  <c r="T282" i="1"/>
  <c r="T281" i="1"/>
  <c r="T280" i="1"/>
  <c r="T279" i="1"/>
  <c r="T278" i="1"/>
  <c r="T277" i="1"/>
  <c r="T276" i="1"/>
  <c r="T275" i="1"/>
  <c r="T274" i="1"/>
  <c r="T273" i="1"/>
  <c r="T272" i="1"/>
  <c r="T271" i="1"/>
  <c r="T270" i="1"/>
  <c r="T269" i="1"/>
  <c r="T268" i="1"/>
  <c r="T267" i="1"/>
  <c r="T266" i="1"/>
  <c r="T265" i="1"/>
  <c r="T264" i="1"/>
  <c r="T263" i="1"/>
  <c r="T262" i="1"/>
  <c r="T261" i="1"/>
  <c r="T260" i="1"/>
  <c r="T259" i="1"/>
  <c r="T258" i="1"/>
  <c r="T257" i="1"/>
  <c r="T256" i="1"/>
  <c r="T255" i="1"/>
  <c r="T254" i="1"/>
  <c r="T253" i="1"/>
  <c r="T252" i="1"/>
  <c r="T251" i="1"/>
  <c r="T250" i="1"/>
  <c r="T249" i="1"/>
  <c r="T248" i="1"/>
  <c r="T247" i="1"/>
  <c r="T246" i="1"/>
  <c r="T245" i="1"/>
  <c r="T244" i="1"/>
  <c r="T243" i="1"/>
  <c r="T242" i="1"/>
  <c r="T241" i="1"/>
  <c r="T240" i="1"/>
  <c r="T239" i="1"/>
  <c r="T421" i="1"/>
  <c r="T413" i="1"/>
  <c r="T405" i="1"/>
  <c r="T397" i="1"/>
  <c r="T389" i="1"/>
  <c r="T381" i="1"/>
  <c r="T374" i="1"/>
  <c r="T362" i="1"/>
  <c r="T360" i="1"/>
  <c r="T358" i="1"/>
  <c r="T356" i="1"/>
  <c r="T354" i="1"/>
  <c r="T352" i="1"/>
  <c r="T350" i="1"/>
  <c r="T348" i="1"/>
  <c r="T346" i="1"/>
  <c r="T344" i="1"/>
  <c r="T342" i="1"/>
  <c r="T340" i="1"/>
  <c r="T338" i="1"/>
  <c r="T336" i="1"/>
  <c r="T334" i="1"/>
  <c r="T332" i="1"/>
  <c r="T330" i="1"/>
  <c r="T328" i="1"/>
  <c r="T326" i="1"/>
  <c r="T324" i="1"/>
  <c r="T322" i="1"/>
  <c r="T320" i="1"/>
  <c r="T318" i="1"/>
  <c r="T316" i="1"/>
  <c r="T314" i="1"/>
  <c r="T312" i="1"/>
  <c r="T310" i="1"/>
  <c r="T308" i="1"/>
  <c r="T306" i="1"/>
  <c r="T304" i="1"/>
  <c r="T459" i="1"/>
  <c r="T238" i="1"/>
  <c r="T237" i="1"/>
  <c r="T236" i="1"/>
  <c r="T235" i="1"/>
  <c r="T522" i="1"/>
  <c r="T415" i="1"/>
  <c r="T383" i="1"/>
  <c r="T423" i="1"/>
  <c r="T391" i="1"/>
  <c r="T399" i="1"/>
  <c r="T378" i="1"/>
  <c r="T220" i="1"/>
  <c r="T218" i="1"/>
  <c r="T216" i="1"/>
  <c r="T214" i="1"/>
  <c r="T212" i="1"/>
  <c r="T210" i="1"/>
  <c r="T208" i="1"/>
  <c r="T206" i="1"/>
  <c r="T204" i="1"/>
  <c r="T202" i="1"/>
  <c r="T200" i="1"/>
  <c r="T198" i="1"/>
  <c r="T196" i="1"/>
  <c r="T194" i="1"/>
  <c r="T192" i="1"/>
  <c r="T190" i="1"/>
  <c r="T188" i="1"/>
  <c r="T186" i="1"/>
  <c r="T184" i="1"/>
  <c r="T182" i="1"/>
  <c r="T180" i="1"/>
  <c r="T178" i="1"/>
  <c r="T176" i="1"/>
  <c r="T173" i="1"/>
  <c r="T172" i="1"/>
  <c r="T171" i="1"/>
  <c r="T170" i="1"/>
  <c r="T169" i="1"/>
  <c r="T168" i="1"/>
  <c r="T167" i="1"/>
  <c r="T166" i="1"/>
  <c r="T165" i="1"/>
  <c r="T164" i="1"/>
  <c r="T163" i="1"/>
  <c r="T162" i="1"/>
  <c r="T161" i="1"/>
  <c r="T160" i="1"/>
  <c r="T159" i="1"/>
  <c r="T158" i="1"/>
  <c r="T157" i="1"/>
  <c r="T156" i="1"/>
  <c r="T155" i="1"/>
  <c r="T154" i="1"/>
  <c r="T153" i="1"/>
  <c r="T152" i="1"/>
  <c r="T151" i="1"/>
  <c r="T150" i="1"/>
  <c r="T149" i="1"/>
  <c r="T148" i="1"/>
  <c r="T147" i="1"/>
  <c r="T146" i="1"/>
  <c r="T145" i="1"/>
  <c r="T144" i="1"/>
  <c r="T143" i="1"/>
  <c r="T142" i="1"/>
  <c r="T141" i="1"/>
  <c r="T140" i="1"/>
  <c r="T139" i="1"/>
  <c r="T138" i="1"/>
  <c r="T137" i="1"/>
  <c r="T136" i="1"/>
  <c r="T135" i="1"/>
  <c r="T134" i="1"/>
  <c r="T133" i="1"/>
  <c r="T132" i="1"/>
  <c r="T131" i="1"/>
  <c r="T130" i="1"/>
  <c r="T129" i="1"/>
  <c r="T128" i="1"/>
  <c r="T127" i="1"/>
  <c r="T126" i="1"/>
  <c r="T125" i="1"/>
  <c r="T124" i="1"/>
  <c r="T123" i="1"/>
  <c r="T122" i="1"/>
  <c r="T121" i="1"/>
  <c r="T120" i="1"/>
  <c r="T119" i="1"/>
  <c r="T118" i="1"/>
  <c r="T117" i="1"/>
  <c r="T116" i="1"/>
  <c r="T115" i="1"/>
  <c r="T114" i="1"/>
  <c r="T113" i="1"/>
  <c r="T112" i="1"/>
  <c r="T111" i="1"/>
  <c r="T110" i="1"/>
  <c r="T109" i="1"/>
  <c r="T108" i="1"/>
  <c r="T107" i="1"/>
  <c r="T106" i="1"/>
  <c r="T221" i="1"/>
  <c r="T219" i="1"/>
  <c r="T217" i="1"/>
  <c r="T215" i="1"/>
  <c r="T213" i="1"/>
  <c r="T211" i="1"/>
  <c r="T209" i="1"/>
  <c r="T207" i="1"/>
  <c r="T205" i="1"/>
  <c r="T203" i="1"/>
  <c r="T201" i="1"/>
  <c r="T199" i="1"/>
  <c r="T197" i="1"/>
  <c r="T195" i="1"/>
  <c r="T193" i="1"/>
  <c r="T191" i="1"/>
  <c r="T189" i="1"/>
  <c r="T187" i="1"/>
  <c r="T185" i="1"/>
  <c r="T183" i="1"/>
  <c r="T181" i="1"/>
  <c r="T179" i="1"/>
  <c r="T177" i="1"/>
  <c r="T175" i="1"/>
  <c r="T231" i="1"/>
  <c r="T227" i="1"/>
  <c r="T223" i="1"/>
  <c r="T407" i="1"/>
  <c r="T234" i="1"/>
  <c r="T230" i="1"/>
  <c r="T226" i="1"/>
  <c r="T222" i="1"/>
  <c r="T174" i="1"/>
  <c r="T233" i="1"/>
  <c r="T229" i="1"/>
  <c r="T225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232" i="1"/>
  <c r="T228" i="1"/>
  <c r="T224" i="1"/>
  <c r="P651" i="1"/>
  <c r="P650" i="1"/>
  <c r="P649" i="1"/>
  <c r="P648" i="1"/>
  <c r="P647" i="1"/>
  <c r="P646" i="1"/>
  <c r="P645" i="1"/>
  <c r="P644" i="1"/>
  <c r="P643" i="1"/>
  <c r="P642" i="1"/>
  <c r="P641" i="1"/>
  <c r="P640" i="1"/>
  <c r="P639" i="1"/>
  <c r="P638" i="1"/>
  <c r="P637" i="1"/>
  <c r="P636" i="1"/>
  <c r="P635" i="1"/>
  <c r="P634" i="1"/>
  <c r="P633" i="1"/>
  <c r="P632" i="1"/>
  <c r="P631" i="1"/>
  <c r="P630" i="1"/>
  <c r="P629" i="1"/>
  <c r="P628" i="1"/>
  <c r="P627" i="1"/>
  <c r="P626" i="1"/>
  <c r="P625" i="1"/>
  <c r="P624" i="1"/>
  <c r="P623" i="1"/>
  <c r="P622" i="1"/>
  <c r="P621" i="1"/>
  <c r="P620" i="1"/>
  <c r="P619" i="1"/>
  <c r="P618" i="1"/>
  <c r="P617" i="1"/>
  <c r="P616" i="1"/>
  <c r="P615" i="1"/>
  <c r="P614" i="1"/>
  <c r="P610" i="1"/>
  <c r="P606" i="1"/>
  <c r="P602" i="1"/>
  <c r="P598" i="1"/>
  <c r="P594" i="1"/>
  <c r="P590" i="1"/>
  <c r="P613" i="1"/>
  <c r="P609" i="1"/>
  <c r="P605" i="1"/>
  <c r="P601" i="1"/>
  <c r="P597" i="1"/>
  <c r="P593" i="1"/>
  <c r="P589" i="1"/>
  <c r="P600" i="1"/>
  <c r="P603" i="1"/>
  <c r="P612" i="1"/>
  <c r="P596" i="1"/>
  <c r="P587" i="1"/>
  <c r="P599" i="1"/>
  <c r="P584" i="1"/>
  <c r="P582" i="1"/>
  <c r="P580" i="1"/>
  <c r="P578" i="1"/>
  <c r="P576" i="1"/>
  <c r="P574" i="1"/>
  <c r="P572" i="1"/>
  <c r="P570" i="1"/>
  <c r="P568" i="1"/>
  <c r="P566" i="1"/>
  <c r="P564" i="1"/>
  <c r="P562" i="1"/>
  <c r="P560" i="1"/>
  <c r="P558" i="1"/>
  <c r="P608" i="1"/>
  <c r="P592" i="1"/>
  <c r="P611" i="1"/>
  <c r="P595" i="1"/>
  <c r="P604" i="1"/>
  <c r="P556" i="1"/>
  <c r="P553" i="1"/>
  <c r="P591" i="1"/>
  <c r="P579" i="1"/>
  <c r="P571" i="1"/>
  <c r="P563" i="1"/>
  <c r="P588" i="1"/>
  <c r="P552" i="1"/>
  <c r="P550" i="1"/>
  <c r="P548" i="1"/>
  <c r="P546" i="1"/>
  <c r="P544" i="1"/>
  <c r="P542" i="1"/>
  <c r="P540" i="1"/>
  <c r="P538" i="1"/>
  <c r="P536" i="1"/>
  <c r="P534" i="1"/>
  <c r="P532" i="1"/>
  <c r="P530" i="1"/>
  <c r="P528" i="1"/>
  <c r="P526" i="1"/>
  <c r="P524" i="1"/>
  <c r="P522" i="1"/>
  <c r="P581" i="1"/>
  <c r="P573" i="1"/>
  <c r="P565" i="1"/>
  <c r="P586" i="1"/>
  <c r="P557" i="1"/>
  <c r="P583" i="1"/>
  <c r="P575" i="1"/>
  <c r="P567" i="1"/>
  <c r="P559" i="1"/>
  <c r="P554" i="1"/>
  <c r="P551" i="1"/>
  <c r="P543" i="1"/>
  <c r="P535" i="1"/>
  <c r="P527" i="1"/>
  <c r="P428" i="1"/>
  <c r="P561" i="1"/>
  <c r="P489" i="1"/>
  <c r="P487" i="1"/>
  <c r="P485" i="1"/>
  <c r="P483" i="1"/>
  <c r="P481" i="1"/>
  <c r="P479" i="1"/>
  <c r="P477" i="1"/>
  <c r="P475" i="1"/>
  <c r="P473" i="1"/>
  <c r="P471" i="1"/>
  <c r="P469" i="1"/>
  <c r="P467" i="1"/>
  <c r="P465" i="1"/>
  <c r="P463" i="1"/>
  <c r="P461" i="1"/>
  <c r="P459" i="1"/>
  <c r="P457" i="1"/>
  <c r="P455" i="1"/>
  <c r="P453" i="1"/>
  <c r="P451" i="1"/>
  <c r="P449" i="1"/>
  <c r="P447" i="1"/>
  <c r="P445" i="1"/>
  <c r="P443" i="1"/>
  <c r="P441" i="1"/>
  <c r="P439" i="1"/>
  <c r="P437" i="1"/>
  <c r="P435" i="1"/>
  <c r="P433" i="1"/>
  <c r="P545" i="1"/>
  <c r="P537" i="1"/>
  <c r="P529" i="1"/>
  <c r="P429" i="1"/>
  <c r="P607" i="1"/>
  <c r="P569" i="1"/>
  <c r="P521" i="1"/>
  <c r="P519" i="1"/>
  <c r="P517" i="1"/>
  <c r="P515" i="1"/>
  <c r="P513" i="1"/>
  <c r="P511" i="1"/>
  <c r="P509" i="1"/>
  <c r="P507" i="1"/>
  <c r="P505" i="1"/>
  <c r="P503" i="1"/>
  <c r="P501" i="1"/>
  <c r="P499" i="1"/>
  <c r="P497" i="1"/>
  <c r="P495" i="1"/>
  <c r="P493" i="1"/>
  <c r="P492" i="1"/>
  <c r="P491" i="1"/>
  <c r="P547" i="1"/>
  <c r="P539" i="1"/>
  <c r="P531" i="1"/>
  <c r="P523" i="1"/>
  <c r="P549" i="1"/>
  <c r="P541" i="1"/>
  <c r="P533" i="1"/>
  <c r="P525" i="1"/>
  <c r="P488" i="1"/>
  <c r="P480" i="1"/>
  <c r="P472" i="1"/>
  <c r="P464" i="1"/>
  <c r="P456" i="1"/>
  <c r="P448" i="1"/>
  <c r="P440" i="1"/>
  <c r="P377" i="1"/>
  <c r="P373" i="1"/>
  <c r="P369" i="1"/>
  <c r="P585" i="1"/>
  <c r="P520" i="1"/>
  <c r="P512" i="1"/>
  <c r="P504" i="1"/>
  <c r="P496" i="1"/>
  <c r="P432" i="1"/>
  <c r="P577" i="1"/>
  <c r="P490" i="1"/>
  <c r="P482" i="1"/>
  <c r="P474" i="1"/>
  <c r="P466" i="1"/>
  <c r="P458" i="1"/>
  <c r="P450" i="1"/>
  <c r="P442" i="1"/>
  <c r="P434" i="1"/>
  <c r="P425" i="1"/>
  <c r="P423" i="1"/>
  <c r="P421" i="1"/>
  <c r="P419" i="1"/>
  <c r="P417" i="1"/>
  <c r="P415" i="1"/>
  <c r="P413" i="1"/>
  <c r="P411" i="1"/>
  <c r="P409" i="1"/>
  <c r="P407" i="1"/>
  <c r="P405" i="1"/>
  <c r="P403" i="1"/>
  <c r="P401" i="1"/>
  <c r="P399" i="1"/>
  <c r="P397" i="1"/>
  <c r="P395" i="1"/>
  <c r="P393" i="1"/>
  <c r="P391" i="1"/>
  <c r="P389" i="1"/>
  <c r="P387" i="1"/>
  <c r="P385" i="1"/>
  <c r="P383" i="1"/>
  <c r="P381" i="1"/>
  <c r="P378" i="1"/>
  <c r="P374" i="1"/>
  <c r="P370" i="1"/>
  <c r="P518" i="1"/>
  <c r="P510" i="1"/>
  <c r="P502" i="1"/>
  <c r="P494" i="1"/>
  <c r="P430" i="1"/>
  <c r="P427" i="1"/>
  <c r="P484" i="1"/>
  <c r="P476" i="1"/>
  <c r="P468" i="1"/>
  <c r="P460" i="1"/>
  <c r="P452" i="1"/>
  <c r="P444" i="1"/>
  <c r="P436" i="1"/>
  <c r="P379" i="1"/>
  <c r="P375" i="1"/>
  <c r="P371" i="1"/>
  <c r="P516" i="1"/>
  <c r="P508" i="1"/>
  <c r="P500" i="1"/>
  <c r="P478" i="1"/>
  <c r="P446" i="1"/>
  <c r="P420" i="1"/>
  <c r="P412" i="1"/>
  <c r="P404" i="1"/>
  <c r="P396" i="1"/>
  <c r="P388" i="1"/>
  <c r="P380" i="1"/>
  <c r="P304" i="1"/>
  <c r="P303" i="1"/>
  <c r="P302" i="1"/>
  <c r="P301" i="1"/>
  <c r="P555" i="1"/>
  <c r="P514" i="1"/>
  <c r="P486" i="1"/>
  <c r="P454" i="1"/>
  <c r="P422" i="1"/>
  <c r="P414" i="1"/>
  <c r="P406" i="1"/>
  <c r="P398" i="1"/>
  <c r="P390" i="1"/>
  <c r="P382" i="1"/>
  <c r="P368" i="1"/>
  <c r="P506" i="1"/>
  <c r="P361" i="1"/>
  <c r="P359" i="1"/>
  <c r="P357" i="1"/>
  <c r="P355" i="1"/>
  <c r="P353" i="1"/>
  <c r="P351" i="1"/>
  <c r="P349" i="1"/>
  <c r="P347" i="1"/>
  <c r="P345" i="1"/>
  <c r="P343" i="1"/>
  <c r="P341" i="1"/>
  <c r="P339" i="1"/>
  <c r="P337" i="1"/>
  <c r="P335" i="1"/>
  <c r="P333" i="1"/>
  <c r="P331" i="1"/>
  <c r="P329" i="1"/>
  <c r="P327" i="1"/>
  <c r="P325" i="1"/>
  <c r="P323" i="1"/>
  <c r="P321" i="1"/>
  <c r="P319" i="1"/>
  <c r="P317" i="1"/>
  <c r="P315" i="1"/>
  <c r="P313" i="1"/>
  <c r="P311" i="1"/>
  <c r="P309" i="1"/>
  <c r="P307" i="1"/>
  <c r="P305" i="1"/>
  <c r="P462" i="1"/>
  <c r="P431" i="1"/>
  <c r="P424" i="1"/>
  <c r="P416" i="1"/>
  <c r="P408" i="1"/>
  <c r="P400" i="1"/>
  <c r="P392" i="1"/>
  <c r="P384" i="1"/>
  <c r="P372" i="1"/>
  <c r="P498" i="1"/>
  <c r="P426" i="1"/>
  <c r="P394" i="1"/>
  <c r="P366" i="1"/>
  <c r="P362" i="1"/>
  <c r="P354" i="1"/>
  <c r="P346" i="1"/>
  <c r="P338" i="1"/>
  <c r="P330" i="1"/>
  <c r="P322" i="1"/>
  <c r="P314" i="1"/>
  <c r="P306" i="1"/>
  <c r="P402" i="1"/>
  <c r="P365" i="1"/>
  <c r="P298" i="1"/>
  <c r="P296" i="1"/>
  <c r="P294" i="1"/>
  <c r="P292" i="1"/>
  <c r="P290" i="1"/>
  <c r="P288" i="1"/>
  <c r="P286" i="1"/>
  <c r="P284" i="1"/>
  <c r="P282" i="1"/>
  <c r="P280" i="1"/>
  <c r="P278" i="1"/>
  <c r="P276" i="1"/>
  <c r="P274" i="1"/>
  <c r="P272" i="1"/>
  <c r="P270" i="1"/>
  <c r="P268" i="1"/>
  <c r="P266" i="1"/>
  <c r="P264" i="1"/>
  <c r="P262" i="1"/>
  <c r="P260" i="1"/>
  <c r="P258" i="1"/>
  <c r="P256" i="1"/>
  <c r="P254" i="1"/>
  <c r="P252" i="1"/>
  <c r="P250" i="1"/>
  <c r="P248" i="1"/>
  <c r="P246" i="1"/>
  <c r="P244" i="1"/>
  <c r="P242" i="1"/>
  <c r="P240" i="1"/>
  <c r="P356" i="1"/>
  <c r="P348" i="1"/>
  <c r="P340" i="1"/>
  <c r="P332" i="1"/>
  <c r="P324" i="1"/>
  <c r="P316" i="1"/>
  <c r="P308" i="1"/>
  <c r="P438" i="1"/>
  <c r="P410" i="1"/>
  <c r="P364" i="1"/>
  <c r="P238" i="1"/>
  <c r="P237" i="1"/>
  <c r="P236" i="1"/>
  <c r="P235" i="1"/>
  <c r="P234" i="1"/>
  <c r="P233" i="1"/>
  <c r="P232" i="1"/>
  <c r="P231" i="1"/>
  <c r="P230" i="1"/>
  <c r="P229" i="1"/>
  <c r="P228" i="1"/>
  <c r="P227" i="1"/>
  <c r="P226" i="1"/>
  <c r="P225" i="1"/>
  <c r="P224" i="1"/>
  <c r="P223" i="1"/>
  <c r="P222" i="1"/>
  <c r="P221" i="1"/>
  <c r="P220" i="1"/>
  <c r="P219" i="1"/>
  <c r="P218" i="1"/>
  <c r="P217" i="1"/>
  <c r="P216" i="1"/>
  <c r="P215" i="1"/>
  <c r="P214" i="1"/>
  <c r="P213" i="1"/>
  <c r="P212" i="1"/>
  <c r="P211" i="1"/>
  <c r="P210" i="1"/>
  <c r="P209" i="1"/>
  <c r="P208" i="1"/>
  <c r="P207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358" i="1"/>
  <c r="P350" i="1"/>
  <c r="P342" i="1"/>
  <c r="P334" i="1"/>
  <c r="P326" i="1"/>
  <c r="P318" i="1"/>
  <c r="P310" i="1"/>
  <c r="P300" i="1"/>
  <c r="P470" i="1"/>
  <c r="P363" i="1"/>
  <c r="P295" i="1"/>
  <c r="P287" i="1"/>
  <c r="P279" i="1"/>
  <c r="P271" i="1"/>
  <c r="P263" i="1"/>
  <c r="P255" i="1"/>
  <c r="P247" i="1"/>
  <c r="P239" i="1"/>
  <c r="P352" i="1"/>
  <c r="P320" i="1"/>
  <c r="P386" i="1"/>
  <c r="P297" i="1"/>
  <c r="P289" i="1"/>
  <c r="P281" i="1"/>
  <c r="P273" i="1"/>
  <c r="P265" i="1"/>
  <c r="P257" i="1"/>
  <c r="P249" i="1"/>
  <c r="P241" i="1"/>
  <c r="P360" i="1"/>
  <c r="P328" i="1"/>
  <c r="P336" i="1"/>
  <c r="P299" i="1"/>
  <c r="P293" i="1"/>
  <c r="P285" i="1"/>
  <c r="P277" i="1"/>
  <c r="P269" i="1"/>
  <c r="P261" i="1"/>
  <c r="P253" i="1"/>
  <c r="P245" i="1"/>
  <c r="P418" i="1"/>
  <c r="P267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376" i="1"/>
  <c r="P275" i="1"/>
  <c r="P243" i="1"/>
  <c r="P367" i="1"/>
  <c r="P172" i="1"/>
  <c r="P170" i="1"/>
  <c r="P168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283" i="1"/>
  <c r="P251" i="1"/>
  <c r="P312" i="1"/>
  <c r="P173" i="1"/>
  <c r="P169" i="1"/>
  <c r="P291" i="1"/>
  <c r="P259" i="1"/>
  <c r="P344" i="1"/>
  <c r="P171" i="1"/>
  <c r="P167" i="1"/>
  <c r="P166" i="1"/>
  <c r="L651" i="1"/>
  <c r="L650" i="1"/>
  <c r="L649" i="1"/>
  <c r="L648" i="1"/>
  <c r="L647" i="1"/>
  <c r="L646" i="1"/>
  <c r="L645" i="1"/>
  <c r="L644" i="1"/>
  <c r="L643" i="1"/>
  <c r="L642" i="1"/>
  <c r="L641" i="1"/>
  <c r="L640" i="1"/>
  <c r="L639" i="1"/>
  <c r="L638" i="1"/>
  <c r="L637" i="1"/>
  <c r="L636" i="1"/>
  <c r="L635" i="1"/>
  <c r="L634" i="1"/>
  <c r="L633" i="1"/>
  <c r="L632" i="1"/>
  <c r="L631" i="1"/>
  <c r="L630" i="1"/>
  <c r="L629" i="1"/>
  <c r="L628" i="1"/>
  <c r="L627" i="1"/>
  <c r="L626" i="1"/>
  <c r="L625" i="1"/>
  <c r="L624" i="1"/>
  <c r="L623" i="1"/>
  <c r="L622" i="1"/>
  <c r="L621" i="1"/>
  <c r="L620" i="1"/>
  <c r="L619" i="1"/>
  <c r="L618" i="1"/>
  <c r="L617" i="1"/>
  <c r="L616" i="1"/>
  <c r="L615" i="1"/>
  <c r="L614" i="1"/>
  <c r="L613" i="1"/>
  <c r="L612" i="1"/>
  <c r="L611" i="1"/>
  <c r="L610" i="1"/>
  <c r="L609" i="1"/>
  <c r="L608" i="1"/>
  <c r="L607" i="1"/>
  <c r="L606" i="1"/>
  <c r="L605" i="1"/>
  <c r="L604" i="1"/>
  <c r="L603" i="1"/>
  <c r="L602" i="1"/>
  <c r="L601" i="1"/>
  <c r="L600" i="1"/>
  <c r="L599" i="1"/>
  <c r="L598" i="1"/>
  <c r="L597" i="1"/>
  <c r="L596" i="1"/>
  <c r="L595" i="1"/>
  <c r="L594" i="1"/>
  <c r="L593" i="1"/>
  <c r="L592" i="1"/>
  <c r="L591" i="1"/>
  <c r="L590" i="1"/>
  <c r="L589" i="1"/>
  <c r="L588" i="1"/>
  <c r="L587" i="1"/>
  <c r="L586" i="1"/>
  <c r="L585" i="1"/>
  <c r="L583" i="1"/>
  <c r="L581" i="1"/>
  <c r="L579" i="1"/>
  <c r="L577" i="1"/>
  <c r="L575" i="1"/>
  <c r="L573" i="1"/>
  <c r="L571" i="1"/>
  <c r="L569" i="1"/>
  <c r="L567" i="1"/>
  <c r="L565" i="1"/>
  <c r="L563" i="1"/>
  <c r="L561" i="1"/>
  <c r="L559" i="1"/>
  <c r="L557" i="1"/>
  <c r="L555" i="1"/>
  <c r="L553" i="1"/>
  <c r="L582" i="1"/>
  <c r="L574" i="1"/>
  <c r="L566" i="1"/>
  <c r="L558" i="1"/>
  <c r="L554" i="1"/>
  <c r="L551" i="1"/>
  <c r="L549" i="1"/>
  <c r="L547" i="1"/>
  <c r="L545" i="1"/>
  <c r="L543" i="1"/>
  <c r="L541" i="1"/>
  <c r="L539" i="1"/>
  <c r="L537" i="1"/>
  <c r="L535" i="1"/>
  <c r="L533" i="1"/>
  <c r="L531" i="1"/>
  <c r="L529" i="1"/>
  <c r="L527" i="1"/>
  <c r="L525" i="1"/>
  <c r="L523" i="1"/>
  <c r="L584" i="1"/>
  <c r="L576" i="1"/>
  <c r="L568" i="1"/>
  <c r="L560" i="1"/>
  <c r="L556" i="1"/>
  <c r="L521" i="1"/>
  <c r="L520" i="1"/>
  <c r="L519" i="1"/>
  <c r="L518" i="1"/>
  <c r="L517" i="1"/>
  <c r="L516" i="1"/>
  <c r="L515" i="1"/>
  <c r="L514" i="1"/>
  <c r="L513" i="1"/>
  <c r="L512" i="1"/>
  <c r="L511" i="1"/>
  <c r="L510" i="1"/>
  <c r="L509" i="1"/>
  <c r="L508" i="1"/>
  <c r="L507" i="1"/>
  <c r="L506" i="1"/>
  <c r="L505" i="1"/>
  <c r="L504" i="1"/>
  <c r="L503" i="1"/>
  <c r="L502" i="1"/>
  <c r="L501" i="1"/>
  <c r="L500" i="1"/>
  <c r="L499" i="1"/>
  <c r="L498" i="1"/>
  <c r="L497" i="1"/>
  <c r="L496" i="1"/>
  <c r="L495" i="1"/>
  <c r="L494" i="1"/>
  <c r="L578" i="1"/>
  <c r="L570" i="1"/>
  <c r="L562" i="1"/>
  <c r="L552" i="1"/>
  <c r="L550" i="1"/>
  <c r="L548" i="1"/>
  <c r="L546" i="1"/>
  <c r="L544" i="1"/>
  <c r="L542" i="1"/>
  <c r="L540" i="1"/>
  <c r="L538" i="1"/>
  <c r="L536" i="1"/>
  <c r="L534" i="1"/>
  <c r="L532" i="1"/>
  <c r="L530" i="1"/>
  <c r="L528" i="1"/>
  <c r="L526" i="1"/>
  <c r="L524" i="1"/>
  <c r="L522" i="1"/>
  <c r="L572" i="1"/>
  <c r="L580" i="1"/>
  <c r="L489" i="1"/>
  <c r="L487" i="1"/>
  <c r="L485" i="1"/>
  <c r="L483" i="1"/>
  <c r="L481" i="1"/>
  <c r="L479" i="1"/>
  <c r="L477" i="1"/>
  <c r="L475" i="1"/>
  <c r="L473" i="1"/>
  <c r="L471" i="1"/>
  <c r="L469" i="1"/>
  <c r="L467" i="1"/>
  <c r="L465" i="1"/>
  <c r="L463" i="1"/>
  <c r="L461" i="1"/>
  <c r="L459" i="1"/>
  <c r="L457" i="1"/>
  <c r="L455" i="1"/>
  <c r="L453" i="1"/>
  <c r="L451" i="1"/>
  <c r="L449" i="1"/>
  <c r="L447" i="1"/>
  <c r="L445" i="1"/>
  <c r="L443" i="1"/>
  <c r="L441" i="1"/>
  <c r="L439" i="1"/>
  <c r="L437" i="1"/>
  <c r="L435" i="1"/>
  <c r="L433" i="1"/>
  <c r="L431" i="1"/>
  <c r="L493" i="1"/>
  <c r="L492" i="1"/>
  <c r="L491" i="1"/>
  <c r="L564" i="1"/>
  <c r="L379" i="1"/>
  <c r="L375" i="1"/>
  <c r="L371" i="1"/>
  <c r="L488" i="1"/>
  <c r="L480" i="1"/>
  <c r="L472" i="1"/>
  <c r="L464" i="1"/>
  <c r="L456" i="1"/>
  <c r="L448" i="1"/>
  <c r="L440" i="1"/>
  <c r="L426" i="1"/>
  <c r="L424" i="1"/>
  <c r="L422" i="1"/>
  <c r="L420" i="1"/>
  <c r="L418" i="1"/>
  <c r="L416" i="1"/>
  <c r="L414" i="1"/>
  <c r="L412" i="1"/>
  <c r="L410" i="1"/>
  <c r="L408" i="1"/>
  <c r="L406" i="1"/>
  <c r="L404" i="1"/>
  <c r="L402" i="1"/>
  <c r="L400" i="1"/>
  <c r="L398" i="1"/>
  <c r="L396" i="1"/>
  <c r="L394" i="1"/>
  <c r="L392" i="1"/>
  <c r="L390" i="1"/>
  <c r="L388" i="1"/>
  <c r="L386" i="1"/>
  <c r="L384" i="1"/>
  <c r="L382" i="1"/>
  <c r="L432" i="1"/>
  <c r="L428" i="1"/>
  <c r="L380" i="1"/>
  <c r="L376" i="1"/>
  <c r="L372" i="1"/>
  <c r="L368" i="1"/>
  <c r="L367" i="1"/>
  <c r="L366" i="1"/>
  <c r="L365" i="1"/>
  <c r="L364" i="1"/>
  <c r="L363" i="1"/>
  <c r="L490" i="1"/>
  <c r="L482" i="1"/>
  <c r="L474" i="1"/>
  <c r="L466" i="1"/>
  <c r="L458" i="1"/>
  <c r="L450" i="1"/>
  <c r="L442" i="1"/>
  <c r="L434" i="1"/>
  <c r="L429" i="1"/>
  <c r="L430" i="1"/>
  <c r="L377" i="1"/>
  <c r="L373" i="1"/>
  <c r="L369" i="1"/>
  <c r="L484" i="1"/>
  <c r="L476" i="1"/>
  <c r="L468" i="1"/>
  <c r="L460" i="1"/>
  <c r="L452" i="1"/>
  <c r="L444" i="1"/>
  <c r="L436" i="1"/>
  <c r="L427" i="1"/>
  <c r="L425" i="1"/>
  <c r="L423" i="1"/>
  <c r="L421" i="1"/>
  <c r="L419" i="1"/>
  <c r="L417" i="1"/>
  <c r="L415" i="1"/>
  <c r="L413" i="1"/>
  <c r="L411" i="1"/>
  <c r="L409" i="1"/>
  <c r="L407" i="1"/>
  <c r="L405" i="1"/>
  <c r="L403" i="1"/>
  <c r="L401" i="1"/>
  <c r="L399" i="1"/>
  <c r="L397" i="1"/>
  <c r="L395" i="1"/>
  <c r="L393" i="1"/>
  <c r="L391" i="1"/>
  <c r="L389" i="1"/>
  <c r="L387" i="1"/>
  <c r="L385" i="1"/>
  <c r="L383" i="1"/>
  <c r="L381" i="1"/>
  <c r="L378" i="1"/>
  <c r="L478" i="1"/>
  <c r="L446" i="1"/>
  <c r="L486" i="1"/>
  <c r="L454" i="1"/>
  <c r="L362" i="1"/>
  <c r="L360" i="1"/>
  <c r="L358" i="1"/>
  <c r="L356" i="1"/>
  <c r="L354" i="1"/>
  <c r="L352" i="1"/>
  <c r="L350" i="1"/>
  <c r="L348" i="1"/>
  <c r="L346" i="1"/>
  <c r="L344" i="1"/>
  <c r="L342" i="1"/>
  <c r="L340" i="1"/>
  <c r="L338" i="1"/>
  <c r="L336" i="1"/>
  <c r="L334" i="1"/>
  <c r="L332" i="1"/>
  <c r="L330" i="1"/>
  <c r="L328" i="1"/>
  <c r="L326" i="1"/>
  <c r="L324" i="1"/>
  <c r="L322" i="1"/>
  <c r="L320" i="1"/>
  <c r="L318" i="1"/>
  <c r="L316" i="1"/>
  <c r="L314" i="1"/>
  <c r="L312" i="1"/>
  <c r="L310" i="1"/>
  <c r="L308" i="1"/>
  <c r="L306" i="1"/>
  <c r="L370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462" i="1"/>
  <c r="L374" i="1"/>
  <c r="L238" i="1"/>
  <c r="L237" i="1"/>
  <c r="L236" i="1"/>
  <c r="L235" i="1"/>
  <c r="L357" i="1"/>
  <c r="L349" i="1"/>
  <c r="L341" i="1"/>
  <c r="L333" i="1"/>
  <c r="L325" i="1"/>
  <c r="L317" i="1"/>
  <c r="L309" i="1"/>
  <c r="L359" i="1"/>
  <c r="L351" i="1"/>
  <c r="L343" i="1"/>
  <c r="L335" i="1"/>
  <c r="L327" i="1"/>
  <c r="L319" i="1"/>
  <c r="L311" i="1"/>
  <c r="L438" i="1"/>
  <c r="L361" i="1"/>
  <c r="L353" i="1"/>
  <c r="L345" i="1"/>
  <c r="L337" i="1"/>
  <c r="L329" i="1"/>
  <c r="L321" i="1"/>
  <c r="L313" i="1"/>
  <c r="L30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0" i="1"/>
  <c r="L218" i="1"/>
  <c r="L216" i="1"/>
  <c r="L214" i="1"/>
  <c r="L212" i="1"/>
  <c r="L210" i="1"/>
  <c r="L208" i="1"/>
  <c r="L206" i="1"/>
  <c r="L204" i="1"/>
  <c r="L202" i="1"/>
  <c r="L200" i="1"/>
  <c r="L198" i="1"/>
  <c r="L196" i="1"/>
  <c r="L194" i="1"/>
  <c r="L192" i="1"/>
  <c r="L190" i="1"/>
  <c r="L188" i="1"/>
  <c r="L186" i="1"/>
  <c r="L184" i="1"/>
  <c r="L182" i="1"/>
  <c r="L180" i="1"/>
  <c r="L178" i="1"/>
  <c r="L176" i="1"/>
  <c r="L470" i="1"/>
  <c r="L331" i="1"/>
  <c r="L222" i="1"/>
  <c r="L339" i="1"/>
  <c r="L307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347" i="1"/>
  <c r="L315" i="1"/>
  <c r="L175" i="1"/>
  <c r="L215" i="1"/>
  <c r="L207" i="1"/>
  <c r="L199" i="1"/>
  <c r="L191" i="1"/>
  <c r="L183" i="1"/>
  <c r="L217" i="1"/>
  <c r="L209" i="1"/>
  <c r="L201" i="1"/>
  <c r="L193" i="1"/>
  <c r="L185" i="1"/>
  <c r="L177" i="1"/>
  <c r="L323" i="1"/>
  <c r="L219" i="1"/>
  <c r="L211" i="1"/>
  <c r="L203" i="1"/>
  <c r="L195" i="1"/>
  <c r="L187" i="1"/>
  <c r="L179" i="1"/>
  <c r="L355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221" i="1"/>
  <c r="L213" i="1"/>
  <c r="L205" i="1"/>
  <c r="L197" i="1"/>
  <c r="L189" i="1"/>
  <c r="L181" i="1"/>
  <c r="N651" i="1"/>
  <c r="N649" i="1"/>
  <c r="N647" i="1"/>
  <c r="N645" i="1"/>
  <c r="N643" i="1"/>
  <c r="N641" i="1"/>
  <c r="N639" i="1"/>
  <c r="N637" i="1"/>
  <c r="N635" i="1"/>
  <c r="N633" i="1"/>
  <c r="N631" i="1"/>
  <c r="N629" i="1"/>
  <c r="N627" i="1"/>
  <c r="N625" i="1"/>
  <c r="N611" i="1"/>
  <c r="N607" i="1"/>
  <c r="N603" i="1"/>
  <c r="N599" i="1"/>
  <c r="N595" i="1"/>
  <c r="N591" i="1"/>
  <c r="N622" i="1"/>
  <c r="N621" i="1"/>
  <c r="N620" i="1"/>
  <c r="N619" i="1"/>
  <c r="N618" i="1"/>
  <c r="N617" i="1"/>
  <c r="N616" i="1"/>
  <c r="N615" i="1"/>
  <c r="N614" i="1"/>
  <c r="N610" i="1"/>
  <c r="N606" i="1"/>
  <c r="N602" i="1"/>
  <c r="N598" i="1"/>
  <c r="N594" i="1"/>
  <c r="N590" i="1"/>
  <c r="N623" i="1"/>
  <c r="N624" i="1"/>
  <c r="N650" i="1"/>
  <c r="N642" i="1"/>
  <c r="N634" i="1"/>
  <c r="N626" i="1"/>
  <c r="N613" i="1"/>
  <c r="N597" i="1"/>
  <c r="N585" i="1"/>
  <c r="N583" i="1"/>
  <c r="N581" i="1"/>
  <c r="N579" i="1"/>
  <c r="N577" i="1"/>
  <c r="N575" i="1"/>
  <c r="N573" i="1"/>
  <c r="N571" i="1"/>
  <c r="N569" i="1"/>
  <c r="N567" i="1"/>
  <c r="N565" i="1"/>
  <c r="N563" i="1"/>
  <c r="N561" i="1"/>
  <c r="N559" i="1"/>
  <c r="N557" i="1"/>
  <c r="N555" i="1"/>
  <c r="N553" i="1"/>
  <c r="N600" i="1"/>
  <c r="N648" i="1"/>
  <c r="N640" i="1"/>
  <c r="N632" i="1"/>
  <c r="N609" i="1"/>
  <c r="N593" i="1"/>
  <c r="N612" i="1"/>
  <c r="N596" i="1"/>
  <c r="N587" i="1"/>
  <c r="N646" i="1"/>
  <c r="N638" i="1"/>
  <c r="N630" i="1"/>
  <c r="N605" i="1"/>
  <c r="N589" i="1"/>
  <c r="N584" i="1"/>
  <c r="N582" i="1"/>
  <c r="N580" i="1"/>
  <c r="N578" i="1"/>
  <c r="N576" i="1"/>
  <c r="N574" i="1"/>
  <c r="N572" i="1"/>
  <c r="N570" i="1"/>
  <c r="N568" i="1"/>
  <c r="N566" i="1"/>
  <c r="N564" i="1"/>
  <c r="N562" i="1"/>
  <c r="N560" i="1"/>
  <c r="N558" i="1"/>
  <c r="N608" i="1"/>
  <c r="N592" i="1"/>
  <c r="N644" i="1"/>
  <c r="N551" i="1"/>
  <c r="N549" i="1"/>
  <c r="N547" i="1"/>
  <c r="N545" i="1"/>
  <c r="N543" i="1"/>
  <c r="N541" i="1"/>
  <c r="N539" i="1"/>
  <c r="N537" i="1"/>
  <c r="N535" i="1"/>
  <c r="N533" i="1"/>
  <c r="N531" i="1"/>
  <c r="N529" i="1"/>
  <c r="N527" i="1"/>
  <c r="N525" i="1"/>
  <c r="N523" i="1"/>
  <c r="N604" i="1"/>
  <c r="N556" i="1"/>
  <c r="N521" i="1"/>
  <c r="N520" i="1"/>
  <c r="N519" i="1"/>
  <c r="N518" i="1"/>
  <c r="N517" i="1"/>
  <c r="N516" i="1"/>
  <c r="N515" i="1"/>
  <c r="N514" i="1"/>
  <c r="N513" i="1"/>
  <c r="N512" i="1"/>
  <c r="N511" i="1"/>
  <c r="N510" i="1"/>
  <c r="N509" i="1"/>
  <c r="N508" i="1"/>
  <c r="N507" i="1"/>
  <c r="N506" i="1"/>
  <c r="N505" i="1"/>
  <c r="N504" i="1"/>
  <c r="N503" i="1"/>
  <c r="N502" i="1"/>
  <c r="N501" i="1"/>
  <c r="N500" i="1"/>
  <c r="N499" i="1"/>
  <c r="N498" i="1"/>
  <c r="N497" i="1"/>
  <c r="N496" i="1"/>
  <c r="N495" i="1"/>
  <c r="N494" i="1"/>
  <c r="N493" i="1"/>
  <c r="N492" i="1"/>
  <c r="N491" i="1"/>
  <c r="N636" i="1"/>
  <c r="N601" i="1"/>
  <c r="N588" i="1"/>
  <c r="N628" i="1"/>
  <c r="N552" i="1"/>
  <c r="N550" i="1"/>
  <c r="N548" i="1"/>
  <c r="N546" i="1"/>
  <c r="N544" i="1"/>
  <c r="N542" i="1"/>
  <c r="N540" i="1"/>
  <c r="N538" i="1"/>
  <c r="N536" i="1"/>
  <c r="N534" i="1"/>
  <c r="N532" i="1"/>
  <c r="N530" i="1"/>
  <c r="N528" i="1"/>
  <c r="N526" i="1"/>
  <c r="N524" i="1"/>
  <c r="N522" i="1"/>
  <c r="N586" i="1"/>
  <c r="N554" i="1"/>
  <c r="N489" i="1"/>
  <c r="N487" i="1"/>
  <c r="N485" i="1"/>
  <c r="N483" i="1"/>
  <c r="N481" i="1"/>
  <c r="N479" i="1"/>
  <c r="N477" i="1"/>
  <c r="N475" i="1"/>
  <c r="N473" i="1"/>
  <c r="N471" i="1"/>
  <c r="N469" i="1"/>
  <c r="N467" i="1"/>
  <c r="N465" i="1"/>
  <c r="N463" i="1"/>
  <c r="N461" i="1"/>
  <c r="N459" i="1"/>
  <c r="N457" i="1"/>
  <c r="N455" i="1"/>
  <c r="N453" i="1"/>
  <c r="N451" i="1"/>
  <c r="N449" i="1"/>
  <c r="N447" i="1"/>
  <c r="N445" i="1"/>
  <c r="N443" i="1"/>
  <c r="N441" i="1"/>
  <c r="N439" i="1"/>
  <c r="N437" i="1"/>
  <c r="N435" i="1"/>
  <c r="N433" i="1"/>
  <c r="N431" i="1"/>
  <c r="N429" i="1"/>
  <c r="N490" i="1"/>
  <c r="N488" i="1"/>
  <c r="N486" i="1"/>
  <c r="N484" i="1"/>
  <c r="N482" i="1"/>
  <c r="N480" i="1"/>
  <c r="N478" i="1"/>
  <c r="N476" i="1"/>
  <c r="N474" i="1"/>
  <c r="N472" i="1"/>
  <c r="N470" i="1"/>
  <c r="N468" i="1"/>
  <c r="N466" i="1"/>
  <c r="N464" i="1"/>
  <c r="N462" i="1"/>
  <c r="N460" i="1"/>
  <c r="N458" i="1"/>
  <c r="N456" i="1"/>
  <c r="N454" i="1"/>
  <c r="N452" i="1"/>
  <c r="N450" i="1"/>
  <c r="N448" i="1"/>
  <c r="N446" i="1"/>
  <c r="N444" i="1"/>
  <c r="N442" i="1"/>
  <c r="N440" i="1"/>
  <c r="N438" i="1"/>
  <c r="N436" i="1"/>
  <c r="N434" i="1"/>
  <c r="N432" i="1"/>
  <c r="N430" i="1"/>
  <c r="N426" i="1"/>
  <c r="N424" i="1"/>
  <c r="N422" i="1"/>
  <c r="N420" i="1"/>
  <c r="N418" i="1"/>
  <c r="N416" i="1"/>
  <c r="N414" i="1"/>
  <c r="N412" i="1"/>
  <c r="N410" i="1"/>
  <c r="N408" i="1"/>
  <c r="N406" i="1"/>
  <c r="N404" i="1"/>
  <c r="N402" i="1"/>
  <c r="N400" i="1"/>
  <c r="N398" i="1"/>
  <c r="N396" i="1"/>
  <c r="N394" i="1"/>
  <c r="N392" i="1"/>
  <c r="N390" i="1"/>
  <c r="N388" i="1"/>
  <c r="N386" i="1"/>
  <c r="N384" i="1"/>
  <c r="N382" i="1"/>
  <c r="N380" i="1"/>
  <c r="N376" i="1"/>
  <c r="N372" i="1"/>
  <c r="N368" i="1"/>
  <c r="N367" i="1"/>
  <c r="N366" i="1"/>
  <c r="N365" i="1"/>
  <c r="N364" i="1"/>
  <c r="N363" i="1"/>
  <c r="N428" i="1"/>
  <c r="N377" i="1"/>
  <c r="N373" i="1"/>
  <c r="N369" i="1"/>
  <c r="N427" i="1"/>
  <c r="N425" i="1"/>
  <c r="N423" i="1"/>
  <c r="N421" i="1"/>
  <c r="N419" i="1"/>
  <c r="N417" i="1"/>
  <c r="N415" i="1"/>
  <c r="N413" i="1"/>
  <c r="N411" i="1"/>
  <c r="N409" i="1"/>
  <c r="N407" i="1"/>
  <c r="N405" i="1"/>
  <c r="N403" i="1"/>
  <c r="N401" i="1"/>
  <c r="N399" i="1"/>
  <c r="N397" i="1"/>
  <c r="N395" i="1"/>
  <c r="N393" i="1"/>
  <c r="N391" i="1"/>
  <c r="N389" i="1"/>
  <c r="N387" i="1"/>
  <c r="N385" i="1"/>
  <c r="N383" i="1"/>
  <c r="N381" i="1"/>
  <c r="N378" i="1"/>
  <c r="N374" i="1"/>
  <c r="N370" i="1"/>
  <c r="N371" i="1"/>
  <c r="N362" i="1"/>
  <c r="N360" i="1"/>
  <c r="N358" i="1"/>
  <c r="N356" i="1"/>
  <c r="N354" i="1"/>
  <c r="N352" i="1"/>
  <c r="N350" i="1"/>
  <c r="N348" i="1"/>
  <c r="N346" i="1"/>
  <c r="N344" i="1"/>
  <c r="N342" i="1"/>
  <c r="N340" i="1"/>
  <c r="N338" i="1"/>
  <c r="N336" i="1"/>
  <c r="N334" i="1"/>
  <c r="N332" i="1"/>
  <c r="N330" i="1"/>
  <c r="N328" i="1"/>
  <c r="N326" i="1"/>
  <c r="N324" i="1"/>
  <c r="N322" i="1"/>
  <c r="N320" i="1"/>
  <c r="N318" i="1"/>
  <c r="N316" i="1"/>
  <c r="N314" i="1"/>
  <c r="N312" i="1"/>
  <c r="N310" i="1"/>
  <c r="N308" i="1"/>
  <c r="N306" i="1"/>
  <c r="N375" i="1"/>
  <c r="N304" i="1"/>
  <c r="N303" i="1"/>
  <c r="N302" i="1"/>
  <c r="N301" i="1"/>
  <c r="N300" i="1"/>
  <c r="N299" i="1"/>
  <c r="N379" i="1"/>
  <c r="N361" i="1"/>
  <c r="N359" i="1"/>
  <c r="N357" i="1"/>
  <c r="N355" i="1"/>
  <c r="N353" i="1"/>
  <c r="N351" i="1"/>
  <c r="N349" i="1"/>
  <c r="N347" i="1"/>
  <c r="N345" i="1"/>
  <c r="N343" i="1"/>
  <c r="N341" i="1"/>
  <c r="N339" i="1"/>
  <c r="N337" i="1"/>
  <c r="N335" i="1"/>
  <c r="N333" i="1"/>
  <c r="N331" i="1"/>
  <c r="N329" i="1"/>
  <c r="N327" i="1"/>
  <c r="N325" i="1"/>
  <c r="N323" i="1"/>
  <c r="N321" i="1"/>
  <c r="N319" i="1"/>
  <c r="N317" i="1"/>
  <c r="N315" i="1"/>
  <c r="N313" i="1"/>
  <c r="N311" i="1"/>
  <c r="N309" i="1"/>
  <c r="N307" i="1"/>
  <c r="N305" i="1"/>
  <c r="N297" i="1"/>
  <c r="N295" i="1"/>
  <c r="N293" i="1"/>
  <c r="N291" i="1"/>
  <c r="N289" i="1"/>
  <c r="N287" i="1"/>
  <c r="N285" i="1"/>
  <c r="N283" i="1"/>
  <c r="N281" i="1"/>
  <c r="N279" i="1"/>
  <c r="N277" i="1"/>
  <c r="N275" i="1"/>
  <c r="N273" i="1"/>
  <c r="N271" i="1"/>
  <c r="N269" i="1"/>
  <c r="N267" i="1"/>
  <c r="N265" i="1"/>
  <c r="N263" i="1"/>
  <c r="N261" i="1"/>
  <c r="N259" i="1"/>
  <c r="N257" i="1"/>
  <c r="N255" i="1"/>
  <c r="N253" i="1"/>
  <c r="N251" i="1"/>
  <c r="N249" i="1"/>
  <c r="N247" i="1"/>
  <c r="N245" i="1"/>
  <c r="N243" i="1"/>
  <c r="N241" i="1"/>
  <c r="N239" i="1"/>
  <c r="N298" i="1"/>
  <c r="N296" i="1"/>
  <c r="N294" i="1"/>
  <c r="N292" i="1"/>
  <c r="N290" i="1"/>
  <c r="N288" i="1"/>
  <c r="N286" i="1"/>
  <c r="N284" i="1"/>
  <c r="N282" i="1"/>
  <c r="N280" i="1"/>
  <c r="N278" i="1"/>
  <c r="N276" i="1"/>
  <c r="N274" i="1"/>
  <c r="N272" i="1"/>
  <c r="N270" i="1"/>
  <c r="N268" i="1"/>
  <c r="N266" i="1"/>
  <c r="N264" i="1"/>
  <c r="N262" i="1"/>
  <c r="N260" i="1"/>
  <c r="N258" i="1"/>
  <c r="N256" i="1"/>
  <c r="N254" i="1"/>
  <c r="N252" i="1"/>
  <c r="N250" i="1"/>
  <c r="N248" i="1"/>
  <c r="N246" i="1"/>
  <c r="N244" i="1"/>
  <c r="N242" i="1"/>
  <c r="N240" i="1"/>
  <c r="N237" i="1"/>
  <c r="N235" i="1"/>
  <c r="N174" i="1"/>
  <c r="N173" i="1"/>
  <c r="N172" i="1"/>
  <c r="N171" i="1"/>
  <c r="N170" i="1"/>
  <c r="N169" i="1"/>
  <c r="N168" i="1"/>
  <c r="N167" i="1"/>
  <c r="N221" i="1"/>
  <c r="N219" i="1"/>
  <c r="N217" i="1"/>
  <c r="N215" i="1"/>
  <c r="N213" i="1"/>
  <c r="N211" i="1"/>
  <c r="N209" i="1"/>
  <c r="N207" i="1"/>
  <c r="N205" i="1"/>
  <c r="N203" i="1"/>
  <c r="N201" i="1"/>
  <c r="N199" i="1"/>
  <c r="N197" i="1"/>
  <c r="N195" i="1"/>
  <c r="N193" i="1"/>
  <c r="N191" i="1"/>
  <c r="N189" i="1"/>
  <c r="N187" i="1"/>
  <c r="N185" i="1"/>
  <c r="N183" i="1"/>
  <c r="N181" i="1"/>
  <c r="N179" i="1"/>
  <c r="N177" i="1"/>
  <c r="N175" i="1"/>
  <c r="N234" i="1"/>
  <c r="N233" i="1"/>
  <c r="N232" i="1"/>
  <c r="N231" i="1"/>
  <c r="N230" i="1"/>
  <c r="N229" i="1"/>
  <c r="N228" i="1"/>
  <c r="N227" i="1"/>
  <c r="N226" i="1"/>
  <c r="N225" i="1"/>
  <c r="N224" i="1"/>
  <c r="N223" i="1"/>
  <c r="N220" i="1"/>
  <c r="N218" i="1"/>
  <c r="N216" i="1"/>
  <c r="N214" i="1"/>
  <c r="N212" i="1"/>
  <c r="N210" i="1"/>
  <c r="N208" i="1"/>
  <c r="N206" i="1"/>
  <c r="N204" i="1"/>
  <c r="N202" i="1"/>
  <c r="N200" i="1"/>
  <c r="N198" i="1"/>
  <c r="N196" i="1"/>
  <c r="N194" i="1"/>
  <c r="N192" i="1"/>
  <c r="N190" i="1"/>
  <c r="N188" i="1"/>
  <c r="N186" i="1"/>
  <c r="N184" i="1"/>
  <c r="N182" i="1"/>
  <c r="N180" i="1"/>
  <c r="N178" i="1"/>
  <c r="N176" i="1"/>
  <c r="N236" i="1"/>
  <c r="N222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238" i="1"/>
  <c r="K651" i="1"/>
  <c r="K650" i="1"/>
  <c r="K649" i="1"/>
  <c r="K648" i="1"/>
  <c r="K647" i="1"/>
  <c r="K646" i="1"/>
  <c r="K645" i="1"/>
  <c r="K644" i="1"/>
  <c r="K643" i="1"/>
  <c r="K642" i="1"/>
  <c r="K641" i="1"/>
  <c r="K640" i="1"/>
  <c r="K639" i="1"/>
  <c r="K638" i="1"/>
  <c r="K637" i="1"/>
  <c r="K636" i="1"/>
  <c r="K635" i="1"/>
  <c r="K634" i="1"/>
  <c r="K633" i="1"/>
  <c r="K632" i="1"/>
  <c r="K631" i="1"/>
  <c r="K630" i="1"/>
  <c r="K629" i="1"/>
  <c r="K628" i="1"/>
  <c r="K627" i="1"/>
  <c r="K626" i="1"/>
  <c r="K625" i="1"/>
  <c r="K624" i="1"/>
  <c r="K623" i="1"/>
  <c r="K622" i="1"/>
  <c r="K621" i="1"/>
  <c r="K620" i="1"/>
  <c r="K619" i="1"/>
  <c r="K618" i="1"/>
  <c r="K617" i="1"/>
  <c r="K616" i="1"/>
  <c r="K615" i="1"/>
  <c r="K612" i="1"/>
  <c r="K608" i="1"/>
  <c r="K604" i="1"/>
  <c r="K600" i="1"/>
  <c r="K596" i="1"/>
  <c r="K592" i="1"/>
  <c r="K611" i="1"/>
  <c r="K607" i="1"/>
  <c r="K603" i="1"/>
  <c r="K599" i="1"/>
  <c r="K595" i="1"/>
  <c r="K591" i="1"/>
  <c r="K588" i="1"/>
  <c r="K587" i="1"/>
  <c r="K586" i="1"/>
  <c r="K585" i="1"/>
  <c r="K584" i="1"/>
  <c r="K583" i="1"/>
  <c r="K582" i="1"/>
  <c r="K581" i="1"/>
  <c r="K580" i="1"/>
  <c r="K579" i="1"/>
  <c r="K578" i="1"/>
  <c r="K577" i="1"/>
  <c r="K576" i="1"/>
  <c r="K575" i="1"/>
  <c r="K574" i="1"/>
  <c r="K573" i="1"/>
  <c r="K572" i="1"/>
  <c r="K571" i="1"/>
  <c r="K570" i="1"/>
  <c r="K569" i="1"/>
  <c r="K568" i="1"/>
  <c r="K567" i="1"/>
  <c r="K566" i="1"/>
  <c r="K565" i="1"/>
  <c r="K564" i="1"/>
  <c r="K563" i="1"/>
  <c r="K562" i="1"/>
  <c r="K561" i="1"/>
  <c r="K560" i="1"/>
  <c r="K559" i="1"/>
  <c r="K558" i="1"/>
  <c r="K557" i="1"/>
  <c r="K556" i="1"/>
  <c r="K555" i="1"/>
  <c r="K554" i="1"/>
  <c r="K614" i="1"/>
  <c r="K610" i="1"/>
  <c r="K606" i="1"/>
  <c r="K602" i="1"/>
  <c r="K598" i="1"/>
  <c r="K594" i="1"/>
  <c r="K590" i="1"/>
  <c r="K613" i="1"/>
  <c r="K609" i="1"/>
  <c r="K605" i="1"/>
  <c r="K601" i="1"/>
  <c r="K597" i="1"/>
  <c r="K593" i="1"/>
  <c r="K589" i="1"/>
  <c r="K552" i="1"/>
  <c r="K551" i="1"/>
  <c r="K550" i="1"/>
  <c r="K549" i="1"/>
  <c r="K548" i="1"/>
  <c r="K547" i="1"/>
  <c r="K546" i="1"/>
  <c r="K545" i="1"/>
  <c r="K544" i="1"/>
  <c r="K543" i="1"/>
  <c r="K542" i="1"/>
  <c r="K541" i="1"/>
  <c r="K540" i="1"/>
  <c r="K539" i="1"/>
  <c r="K538" i="1"/>
  <c r="K537" i="1"/>
  <c r="K536" i="1"/>
  <c r="K535" i="1"/>
  <c r="K534" i="1"/>
  <c r="K533" i="1"/>
  <c r="K532" i="1"/>
  <c r="K531" i="1"/>
  <c r="K530" i="1"/>
  <c r="K529" i="1"/>
  <c r="K528" i="1"/>
  <c r="K527" i="1"/>
  <c r="K526" i="1"/>
  <c r="K525" i="1"/>
  <c r="K524" i="1"/>
  <c r="K523" i="1"/>
  <c r="K522" i="1"/>
  <c r="K553" i="1"/>
  <c r="K521" i="1"/>
  <c r="K520" i="1"/>
  <c r="K519" i="1"/>
  <c r="K518" i="1"/>
  <c r="K517" i="1"/>
  <c r="K516" i="1"/>
  <c r="K515" i="1"/>
  <c r="K514" i="1"/>
  <c r="K513" i="1"/>
  <c r="K512" i="1"/>
  <c r="K511" i="1"/>
  <c r="K510" i="1"/>
  <c r="K509" i="1"/>
  <c r="K508" i="1"/>
  <c r="K507" i="1"/>
  <c r="K506" i="1"/>
  <c r="K505" i="1"/>
  <c r="K504" i="1"/>
  <c r="K503" i="1"/>
  <c r="K502" i="1"/>
  <c r="K501" i="1"/>
  <c r="K500" i="1"/>
  <c r="K499" i="1"/>
  <c r="K498" i="1"/>
  <c r="K497" i="1"/>
  <c r="K496" i="1"/>
  <c r="K495" i="1"/>
  <c r="K494" i="1"/>
  <c r="K490" i="1"/>
  <c r="K488" i="1"/>
  <c r="K486" i="1"/>
  <c r="K484" i="1"/>
  <c r="K482" i="1"/>
  <c r="K480" i="1"/>
  <c r="K478" i="1"/>
  <c r="K476" i="1"/>
  <c r="K474" i="1"/>
  <c r="K472" i="1"/>
  <c r="K470" i="1"/>
  <c r="K468" i="1"/>
  <c r="K466" i="1"/>
  <c r="K464" i="1"/>
  <c r="K462" i="1"/>
  <c r="K460" i="1"/>
  <c r="K458" i="1"/>
  <c r="K456" i="1"/>
  <c r="K454" i="1"/>
  <c r="K452" i="1"/>
  <c r="K450" i="1"/>
  <c r="K448" i="1"/>
  <c r="K446" i="1"/>
  <c r="K444" i="1"/>
  <c r="K442" i="1"/>
  <c r="K440" i="1"/>
  <c r="K438" i="1"/>
  <c r="K436" i="1"/>
  <c r="K434" i="1"/>
  <c r="K432" i="1"/>
  <c r="K430" i="1"/>
  <c r="K427" i="1"/>
  <c r="K426" i="1"/>
  <c r="K425" i="1"/>
  <c r="K424" i="1"/>
  <c r="K423" i="1"/>
  <c r="K422" i="1"/>
  <c r="K421" i="1"/>
  <c r="K420" i="1"/>
  <c r="K419" i="1"/>
  <c r="K418" i="1"/>
  <c r="K417" i="1"/>
  <c r="K416" i="1"/>
  <c r="K415" i="1"/>
  <c r="K414" i="1"/>
  <c r="K413" i="1"/>
  <c r="K412" i="1"/>
  <c r="K411" i="1"/>
  <c r="K410" i="1"/>
  <c r="K409" i="1"/>
  <c r="K408" i="1"/>
  <c r="K407" i="1"/>
  <c r="K406" i="1"/>
  <c r="K405" i="1"/>
  <c r="K404" i="1"/>
  <c r="K403" i="1"/>
  <c r="K402" i="1"/>
  <c r="K401" i="1"/>
  <c r="K400" i="1"/>
  <c r="K399" i="1"/>
  <c r="K398" i="1"/>
  <c r="K397" i="1"/>
  <c r="K396" i="1"/>
  <c r="K395" i="1"/>
  <c r="K394" i="1"/>
  <c r="K393" i="1"/>
  <c r="K392" i="1"/>
  <c r="K391" i="1"/>
  <c r="K390" i="1"/>
  <c r="K389" i="1"/>
  <c r="K388" i="1"/>
  <c r="K387" i="1"/>
  <c r="K386" i="1"/>
  <c r="K385" i="1"/>
  <c r="K384" i="1"/>
  <c r="K383" i="1"/>
  <c r="K382" i="1"/>
  <c r="K381" i="1"/>
  <c r="K380" i="1"/>
  <c r="K379" i="1"/>
  <c r="K378" i="1"/>
  <c r="K377" i="1"/>
  <c r="K376" i="1"/>
  <c r="K375" i="1"/>
  <c r="K374" i="1"/>
  <c r="K373" i="1"/>
  <c r="K372" i="1"/>
  <c r="K371" i="1"/>
  <c r="K370" i="1"/>
  <c r="K369" i="1"/>
  <c r="K489" i="1"/>
  <c r="K487" i="1"/>
  <c r="K485" i="1"/>
  <c r="K483" i="1"/>
  <c r="K481" i="1"/>
  <c r="K479" i="1"/>
  <c r="K477" i="1"/>
  <c r="K475" i="1"/>
  <c r="K473" i="1"/>
  <c r="K471" i="1"/>
  <c r="K469" i="1"/>
  <c r="K467" i="1"/>
  <c r="K465" i="1"/>
  <c r="K463" i="1"/>
  <c r="K461" i="1"/>
  <c r="K459" i="1"/>
  <c r="K457" i="1"/>
  <c r="K455" i="1"/>
  <c r="K453" i="1"/>
  <c r="K451" i="1"/>
  <c r="K449" i="1"/>
  <c r="K447" i="1"/>
  <c r="K445" i="1"/>
  <c r="K443" i="1"/>
  <c r="K441" i="1"/>
  <c r="K439" i="1"/>
  <c r="K437" i="1"/>
  <c r="K435" i="1"/>
  <c r="K433" i="1"/>
  <c r="K431" i="1"/>
  <c r="K429" i="1"/>
  <c r="K491" i="1"/>
  <c r="K428" i="1"/>
  <c r="K368" i="1"/>
  <c r="K367" i="1"/>
  <c r="K366" i="1"/>
  <c r="K365" i="1"/>
  <c r="K364" i="1"/>
  <c r="K363" i="1"/>
  <c r="K362" i="1"/>
  <c r="K361" i="1"/>
  <c r="K360" i="1"/>
  <c r="K359" i="1"/>
  <c r="K358" i="1"/>
  <c r="K357" i="1"/>
  <c r="K356" i="1"/>
  <c r="K355" i="1"/>
  <c r="K354" i="1"/>
  <c r="K353" i="1"/>
  <c r="K352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493" i="1"/>
  <c r="K304" i="1"/>
  <c r="K303" i="1"/>
  <c r="K302" i="1"/>
  <c r="K299" i="1"/>
  <c r="K297" i="1"/>
  <c r="K295" i="1"/>
  <c r="K293" i="1"/>
  <c r="K291" i="1"/>
  <c r="K289" i="1"/>
  <c r="K287" i="1"/>
  <c r="K285" i="1"/>
  <c r="K283" i="1"/>
  <c r="K281" i="1"/>
  <c r="K279" i="1"/>
  <c r="K277" i="1"/>
  <c r="K275" i="1"/>
  <c r="K273" i="1"/>
  <c r="K271" i="1"/>
  <c r="K269" i="1"/>
  <c r="K267" i="1"/>
  <c r="K265" i="1"/>
  <c r="K263" i="1"/>
  <c r="K261" i="1"/>
  <c r="K259" i="1"/>
  <c r="K257" i="1"/>
  <c r="K255" i="1"/>
  <c r="K253" i="1"/>
  <c r="K251" i="1"/>
  <c r="K249" i="1"/>
  <c r="K247" i="1"/>
  <c r="K245" i="1"/>
  <c r="K243" i="1"/>
  <c r="K241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492" i="1"/>
  <c r="K298" i="1"/>
  <c r="K296" i="1"/>
  <c r="K294" i="1"/>
  <c r="K292" i="1"/>
  <c r="K290" i="1"/>
  <c r="K288" i="1"/>
  <c r="K286" i="1"/>
  <c r="K284" i="1"/>
  <c r="K282" i="1"/>
  <c r="K280" i="1"/>
  <c r="K278" i="1"/>
  <c r="K276" i="1"/>
  <c r="K274" i="1"/>
  <c r="K272" i="1"/>
  <c r="K270" i="1"/>
  <c r="K268" i="1"/>
  <c r="K266" i="1"/>
  <c r="K264" i="1"/>
  <c r="K262" i="1"/>
  <c r="K260" i="1"/>
  <c r="K258" i="1"/>
  <c r="K256" i="1"/>
  <c r="K254" i="1"/>
  <c r="K252" i="1"/>
  <c r="K250" i="1"/>
  <c r="K248" i="1"/>
  <c r="K246" i="1"/>
  <c r="K244" i="1"/>
  <c r="K242" i="1"/>
  <c r="K240" i="1"/>
  <c r="K301" i="1"/>
  <c r="K220" i="1"/>
  <c r="K218" i="1"/>
  <c r="K216" i="1"/>
  <c r="K214" i="1"/>
  <c r="K212" i="1"/>
  <c r="K210" i="1"/>
  <c r="K208" i="1"/>
  <c r="K206" i="1"/>
  <c r="K204" i="1"/>
  <c r="K202" i="1"/>
  <c r="K200" i="1"/>
  <c r="K198" i="1"/>
  <c r="K196" i="1"/>
  <c r="K194" i="1"/>
  <c r="K192" i="1"/>
  <c r="K190" i="1"/>
  <c r="K188" i="1"/>
  <c r="K186" i="1"/>
  <c r="K184" i="1"/>
  <c r="K182" i="1"/>
  <c r="K180" i="1"/>
  <c r="K178" i="1"/>
  <c r="K176" i="1"/>
  <c r="K222" i="1"/>
  <c r="K300" i="1"/>
  <c r="K221" i="1"/>
  <c r="K219" i="1"/>
  <c r="K217" i="1"/>
  <c r="K215" i="1"/>
  <c r="K213" i="1"/>
  <c r="K211" i="1"/>
  <c r="K209" i="1"/>
  <c r="K207" i="1"/>
  <c r="K205" i="1"/>
  <c r="K203" i="1"/>
  <c r="K201" i="1"/>
  <c r="K199" i="1"/>
  <c r="K197" i="1"/>
  <c r="K195" i="1"/>
  <c r="K193" i="1"/>
  <c r="K191" i="1"/>
  <c r="K189" i="1"/>
  <c r="K187" i="1"/>
  <c r="K185" i="1"/>
  <c r="K183" i="1"/>
  <c r="K181" i="1"/>
  <c r="K179" i="1"/>
  <c r="K177" i="1"/>
  <c r="K175" i="1"/>
  <c r="K173" i="1"/>
  <c r="K171" i="1"/>
  <c r="K169" i="1"/>
  <c r="K167" i="1"/>
  <c r="K174" i="1"/>
  <c r="K172" i="1"/>
  <c r="K170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168" i="1"/>
  <c r="K106" i="1"/>
  <c r="J651" i="1"/>
  <c r="J650" i="1"/>
  <c r="J649" i="1"/>
  <c r="J648" i="1"/>
  <c r="J647" i="1"/>
  <c r="J646" i="1"/>
  <c r="J645" i="1"/>
  <c r="J644" i="1"/>
  <c r="J643" i="1"/>
  <c r="J642" i="1"/>
  <c r="J641" i="1"/>
  <c r="J640" i="1"/>
  <c r="J639" i="1"/>
  <c r="J638" i="1"/>
  <c r="J637" i="1"/>
  <c r="J636" i="1"/>
  <c r="J635" i="1"/>
  <c r="J634" i="1"/>
  <c r="J633" i="1"/>
  <c r="J632" i="1"/>
  <c r="J631" i="1"/>
  <c r="J630" i="1"/>
  <c r="J629" i="1"/>
  <c r="J628" i="1"/>
  <c r="J627" i="1"/>
  <c r="J626" i="1"/>
  <c r="J625" i="1"/>
  <c r="J612" i="1"/>
  <c r="J608" i="1"/>
  <c r="J604" i="1"/>
  <c r="J600" i="1"/>
  <c r="J596" i="1"/>
  <c r="J592" i="1"/>
  <c r="J611" i="1"/>
  <c r="J607" i="1"/>
  <c r="J603" i="1"/>
  <c r="J599" i="1"/>
  <c r="J595" i="1"/>
  <c r="J591" i="1"/>
  <c r="J588" i="1"/>
  <c r="J587" i="1"/>
  <c r="J622" i="1"/>
  <c r="J621" i="1"/>
  <c r="J620" i="1"/>
  <c r="J619" i="1"/>
  <c r="J618" i="1"/>
  <c r="J617" i="1"/>
  <c r="J616" i="1"/>
  <c r="J615" i="1"/>
  <c r="J610" i="1"/>
  <c r="J594" i="1"/>
  <c r="J613" i="1"/>
  <c r="J597" i="1"/>
  <c r="J586" i="1"/>
  <c r="J606" i="1"/>
  <c r="J590" i="1"/>
  <c r="J624" i="1"/>
  <c r="J609" i="1"/>
  <c r="J593" i="1"/>
  <c r="J585" i="1"/>
  <c r="J583" i="1"/>
  <c r="J581" i="1"/>
  <c r="J579" i="1"/>
  <c r="J577" i="1"/>
  <c r="J575" i="1"/>
  <c r="J573" i="1"/>
  <c r="J571" i="1"/>
  <c r="J569" i="1"/>
  <c r="J567" i="1"/>
  <c r="J565" i="1"/>
  <c r="J563" i="1"/>
  <c r="J561" i="1"/>
  <c r="J559" i="1"/>
  <c r="J557" i="1"/>
  <c r="J623" i="1"/>
  <c r="J602" i="1"/>
  <c r="J605" i="1"/>
  <c r="J589" i="1"/>
  <c r="J555" i="1"/>
  <c r="J582" i="1"/>
  <c r="J574" i="1"/>
  <c r="J566" i="1"/>
  <c r="J558" i="1"/>
  <c r="J614" i="1"/>
  <c r="J554" i="1"/>
  <c r="J551" i="1"/>
  <c r="J549" i="1"/>
  <c r="J547" i="1"/>
  <c r="J545" i="1"/>
  <c r="J543" i="1"/>
  <c r="J541" i="1"/>
  <c r="J539" i="1"/>
  <c r="J537" i="1"/>
  <c r="J535" i="1"/>
  <c r="J533" i="1"/>
  <c r="J531" i="1"/>
  <c r="J529" i="1"/>
  <c r="J527" i="1"/>
  <c r="J525" i="1"/>
  <c r="J523" i="1"/>
  <c r="J601" i="1"/>
  <c r="J584" i="1"/>
  <c r="J576" i="1"/>
  <c r="J568" i="1"/>
  <c r="J560" i="1"/>
  <c r="J556" i="1"/>
  <c r="J553" i="1"/>
  <c r="J598" i="1"/>
  <c r="J578" i="1"/>
  <c r="J570" i="1"/>
  <c r="J562" i="1"/>
  <c r="J521" i="1"/>
  <c r="J520" i="1"/>
  <c r="J519" i="1"/>
  <c r="J518" i="1"/>
  <c r="J517" i="1"/>
  <c r="J516" i="1"/>
  <c r="J515" i="1"/>
  <c r="J514" i="1"/>
  <c r="J513" i="1"/>
  <c r="J512" i="1"/>
  <c r="J511" i="1"/>
  <c r="J510" i="1"/>
  <c r="J509" i="1"/>
  <c r="J508" i="1"/>
  <c r="J507" i="1"/>
  <c r="J506" i="1"/>
  <c r="J505" i="1"/>
  <c r="J504" i="1"/>
  <c r="J503" i="1"/>
  <c r="J502" i="1"/>
  <c r="J501" i="1"/>
  <c r="J500" i="1"/>
  <c r="J499" i="1"/>
  <c r="J498" i="1"/>
  <c r="J497" i="1"/>
  <c r="J496" i="1"/>
  <c r="J495" i="1"/>
  <c r="J494" i="1"/>
  <c r="J493" i="1"/>
  <c r="J492" i="1"/>
  <c r="J546" i="1"/>
  <c r="J538" i="1"/>
  <c r="J530" i="1"/>
  <c r="J522" i="1"/>
  <c r="J572" i="1"/>
  <c r="J490" i="1"/>
  <c r="J488" i="1"/>
  <c r="J486" i="1"/>
  <c r="J484" i="1"/>
  <c r="J482" i="1"/>
  <c r="J480" i="1"/>
  <c r="J478" i="1"/>
  <c r="J476" i="1"/>
  <c r="J474" i="1"/>
  <c r="J472" i="1"/>
  <c r="J470" i="1"/>
  <c r="J468" i="1"/>
  <c r="J466" i="1"/>
  <c r="J464" i="1"/>
  <c r="J462" i="1"/>
  <c r="J460" i="1"/>
  <c r="J458" i="1"/>
  <c r="J456" i="1"/>
  <c r="J454" i="1"/>
  <c r="J452" i="1"/>
  <c r="J450" i="1"/>
  <c r="J448" i="1"/>
  <c r="J446" i="1"/>
  <c r="J444" i="1"/>
  <c r="J442" i="1"/>
  <c r="J440" i="1"/>
  <c r="J438" i="1"/>
  <c r="J436" i="1"/>
  <c r="J434" i="1"/>
  <c r="J548" i="1"/>
  <c r="J540" i="1"/>
  <c r="J532" i="1"/>
  <c r="J524" i="1"/>
  <c r="J580" i="1"/>
  <c r="J550" i="1"/>
  <c r="J542" i="1"/>
  <c r="J534" i="1"/>
  <c r="J526" i="1"/>
  <c r="J552" i="1"/>
  <c r="J544" i="1"/>
  <c r="J536" i="1"/>
  <c r="J528" i="1"/>
  <c r="J491" i="1"/>
  <c r="J483" i="1"/>
  <c r="J475" i="1"/>
  <c r="J467" i="1"/>
  <c r="J459" i="1"/>
  <c r="J451" i="1"/>
  <c r="J443" i="1"/>
  <c r="J435" i="1"/>
  <c r="J379" i="1"/>
  <c r="J375" i="1"/>
  <c r="J371" i="1"/>
  <c r="J485" i="1"/>
  <c r="J477" i="1"/>
  <c r="J469" i="1"/>
  <c r="J461" i="1"/>
  <c r="J453" i="1"/>
  <c r="J445" i="1"/>
  <c r="J437" i="1"/>
  <c r="J426" i="1"/>
  <c r="J424" i="1"/>
  <c r="J422" i="1"/>
  <c r="J420" i="1"/>
  <c r="J418" i="1"/>
  <c r="J416" i="1"/>
  <c r="J414" i="1"/>
  <c r="J412" i="1"/>
  <c r="J410" i="1"/>
  <c r="J408" i="1"/>
  <c r="J406" i="1"/>
  <c r="J404" i="1"/>
  <c r="J402" i="1"/>
  <c r="J400" i="1"/>
  <c r="J398" i="1"/>
  <c r="J396" i="1"/>
  <c r="J394" i="1"/>
  <c r="J392" i="1"/>
  <c r="J390" i="1"/>
  <c r="J388" i="1"/>
  <c r="J386" i="1"/>
  <c r="J384" i="1"/>
  <c r="J382" i="1"/>
  <c r="J432" i="1"/>
  <c r="J380" i="1"/>
  <c r="J376" i="1"/>
  <c r="J372" i="1"/>
  <c r="J487" i="1"/>
  <c r="J479" i="1"/>
  <c r="J471" i="1"/>
  <c r="J463" i="1"/>
  <c r="J455" i="1"/>
  <c r="J447" i="1"/>
  <c r="J439" i="1"/>
  <c r="J429" i="1"/>
  <c r="J428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564" i="1"/>
  <c r="J430" i="1"/>
  <c r="J377" i="1"/>
  <c r="J373" i="1"/>
  <c r="J369" i="1"/>
  <c r="J489" i="1"/>
  <c r="J457" i="1"/>
  <c r="J423" i="1"/>
  <c r="J415" i="1"/>
  <c r="J407" i="1"/>
  <c r="J399" i="1"/>
  <c r="J391" i="1"/>
  <c r="J383" i="1"/>
  <c r="J378" i="1"/>
  <c r="J465" i="1"/>
  <c r="J433" i="1"/>
  <c r="J425" i="1"/>
  <c r="J417" i="1"/>
  <c r="J409" i="1"/>
  <c r="J401" i="1"/>
  <c r="J393" i="1"/>
  <c r="J385" i="1"/>
  <c r="J473" i="1"/>
  <c r="J441" i="1"/>
  <c r="J427" i="1"/>
  <c r="J419" i="1"/>
  <c r="J411" i="1"/>
  <c r="J403" i="1"/>
  <c r="J395" i="1"/>
  <c r="J387" i="1"/>
  <c r="J431" i="1"/>
  <c r="J370" i="1"/>
  <c r="J405" i="1"/>
  <c r="J304" i="1"/>
  <c r="J302" i="1"/>
  <c r="J300" i="1"/>
  <c r="J374" i="1"/>
  <c r="J449" i="1"/>
  <c r="J413" i="1"/>
  <c r="J381" i="1"/>
  <c r="J299" i="1"/>
  <c r="J297" i="1"/>
  <c r="J295" i="1"/>
  <c r="J293" i="1"/>
  <c r="J291" i="1"/>
  <c r="J289" i="1"/>
  <c r="J287" i="1"/>
  <c r="J285" i="1"/>
  <c r="J283" i="1"/>
  <c r="J281" i="1"/>
  <c r="J279" i="1"/>
  <c r="J277" i="1"/>
  <c r="J275" i="1"/>
  <c r="J273" i="1"/>
  <c r="J271" i="1"/>
  <c r="J269" i="1"/>
  <c r="J267" i="1"/>
  <c r="J265" i="1"/>
  <c r="J263" i="1"/>
  <c r="J261" i="1"/>
  <c r="J259" i="1"/>
  <c r="J257" i="1"/>
  <c r="J255" i="1"/>
  <c r="J253" i="1"/>
  <c r="J251" i="1"/>
  <c r="J249" i="1"/>
  <c r="J247" i="1"/>
  <c r="J245" i="1"/>
  <c r="J243" i="1"/>
  <c r="J241" i="1"/>
  <c r="J239" i="1"/>
  <c r="J238" i="1"/>
  <c r="J237" i="1"/>
  <c r="J236" i="1"/>
  <c r="J235" i="1"/>
  <c r="J481" i="1"/>
  <c r="J421" i="1"/>
  <c r="J389" i="1"/>
  <c r="J303" i="1"/>
  <c r="J397" i="1"/>
  <c r="J298" i="1"/>
  <c r="J290" i="1"/>
  <c r="J282" i="1"/>
  <c r="J274" i="1"/>
  <c r="J266" i="1"/>
  <c r="J258" i="1"/>
  <c r="J250" i="1"/>
  <c r="J242" i="1"/>
  <c r="J301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92" i="1"/>
  <c r="J284" i="1"/>
  <c r="J276" i="1"/>
  <c r="J268" i="1"/>
  <c r="J260" i="1"/>
  <c r="J252" i="1"/>
  <c r="J244" i="1"/>
  <c r="J220" i="1"/>
  <c r="J218" i="1"/>
  <c r="J216" i="1"/>
  <c r="J214" i="1"/>
  <c r="J212" i="1"/>
  <c r="J210" i="1"/>
  <c r="J208" i="1"/>
  <c r="J206" i="1"/>
  <c r="J204" i="1"/>
  <c r="J202" i="1"/>
  <c r="J200" i="1"/>
  <c r="J198" i="1"/>
  <c r="J196" i="1"/>
  <c r="J194" i="1"/>
  <c r="J192" i="1"/>
  <c r="J190" i="1"/>
  <c r="J188" i="1"/>
  <c r="J186" i="1"/>
  <c r="J184" i="1"/>
  <c r="J182" i="1"/>
  <c r="J180" i="1"/>
  <c r="J178" i="1"/>
  <c r="J176" i="1"/>
  <c r="J222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296" i="1"/>
  <c r="J288" i="1"/>
  <c r="J280" i="1"/>
  <c r="J272" i="1"/>
  <c r="J264" i="1"/>
  <c r="J256" i="1"/>
  <c r="J248" i="1"/>
  <c r="J240" i="1"/>
  <c r="J221" i="1"/>
  <c r="J219" i="1"/>
  <c r="J217" i="1"/>
  <c r="J215" i="1"/>
  <c r="J213" i="1"/>
  <c r="J211" i="1"/>
  <c r="J209" i="1"/>
  <c r="J207" i="1"/>
  <c r="J205" i="1"/>
  <c r="J203" i="1"/>
  <c r="J201" i="1"/>
  <c r="J199" i="1"/>
  <c r="J197" i="1"/>
  <c r="J195" i="1"/>
  <c r="J193" i="1"/>
  <c r="J191" i="1"/>
  <c r="J189" i="1"/>
  <c r="J187" i="1"/>
  <c r="J185" i="1"/>
  <c r="J183" i="1"/>
  <c r="J181" i="1"/>
  <c r="J179" i="1"/>
  <c r="J177" i="1"/>
  <c r="J278" i="1"/>
  <c r="J246" i="1"/>
  <c r="J106" i="1"/>
  <c r="J175" i="1"/>
  <c r="J286" i="1"/>
  <c r="J254" i="1"/>
  <c r="J294" i="1"/>
  <c r="J262" i="1"/>
  <c r="J270" i="1"/>
  <c r="J70" i="1"/>
  <c r="J66" i="1"/>
  <c r="J62" i="1"/>
  <c r="J58" i="1"/>
  <c r="J54" i="1"/>
  <c r="J53" i="1"/>
  <c r="J52" i="1"/>
  <c r="J51" i="1"/>
  <c r="J50" i="1"/>
  <c r="J49" i="1"/>
  <c r="J48" i="1"/>
  <c r="J47" i="1"/>
  <c r="J105" i="1"/>
  <c r="J103" i="1"/>
  <c r="J101" i="1"/>
  <c r="J99" i="1"/>
  <c r="J97" i="1"/>
  <c r="J95" i="1"/>
  <c r="J93" i="1"/>
  <c r="J91" i="1"/>
  <c r="J89" i="1"/>
  <c r="J87" i="1"/>
  <c r="J85" i="1"/>
  <c r="J83" i="1"/>
  <c r="J81" i="1"/>
  <c r="J79" i="1"/>
  <c r="J77" i="1"/>
  <c r="J75" i="1"/>
  <c r="J73" i="1"/>
  <c r="J71" i="1"/>
  <c r="J67" i="1"/>
  <c r="J63" i="1"/>
  <c r="J59" i="1"/>
  <c r="J55" i="1"/>
  <c r="J68" i="1"/>
  <c r="J64" i="1"/>
  <c r="J60" i="1"/>
  <c r="J56" i="1"/>
  <c r="J65" i="1"/>
  <c r="J61" i="1"/>
  <c r="J57" i="1"/>
  <c r="J104" i="1"/>
  <c r="J102" i="1"/>
  <c r="J100" i="1"/>
  <c r="J98" i="1"/>
  <c r="J96" i="1"/>
  <c r="J94" i="1"/>
  <c r="J92" i="1"/>
  <c r="J90" i="1"/>
  <c r="J88" i="1"/>
  <c r="J86" i="1"/>
  <c r="J84" i="1"/>
  <c r="J82" i="1"/>
  <c r="J80" i="1"/>
  <c r="J78" i="1"/>
  <c r="J76" i="1"/>
  <c r="J74" i="1"/>
  <c r="J72" i="1"/>
  <c r="J69" i="1"/>
  <c r="I665" i="1"/>
  <c r="I662" i="1"/>
  <c r="T669" i="1"/>
  <c r="T661" i="1"/>
  <c r="T652" i="1"/>
  <c r="P663" i="1"/>
  <c r="P655" i="1"/>
  <c r="N668" i="1"/>
  <c r="N659" i="1"/>
  <c r="R653" i="1"/>
  <c r="R664" i="1"/>
  <c r="L669" i="1"/>
  <c r="L661" i="1"/>
  <c r="L652" i="1"/>
  <c r="O658" i="1"/>
  <c r="O668" i="1"/>
  <c r="M665" i="1"/>
  <c r="M657" i="1"/>
  <c r="J653" i="1"/>
  <c r="J664" i="1"/>
  <c r="S669" i="1"/>
  <c r="S661" i="1"/>
  <c r="S652" i="1"/>
  <c r="K663" i="1"/>
  <c r="K655" i="1"/>
  <c r="Q661" i="1"/>
  <c r="Q660" i="1"/>
  <c r="O654" i="1"/>
  <c r="Q654" i="1"/>
  <c r="I652" i="1"/>
  <c r="R660" i="1"/>
  <c r="J668" i="1"/>
  <c r="Q667" i="1"/>
  <c r="I661" i="1"/>
  <c r="O661" i="1"/>
  <c r="J659" i="1"/>
  <c r="T654" i="1"/>
  <c r="I659" i="1"/>
  <c r="O670" i="1"/>
  <c r="S663" i="1"/>
  <c r="J654" i="1"/>
  <c r="T662" i="1"/>
  <c r="M658" i="1"/>
  <c r="K664" i="1"/>
  <c r="I660" i="1"/>
  <c r="I658" i="1"/>
  <c r="T668" i="1"/>
  <c r="T660" i="1"/>
  <c r="P670" i="1"/>
  <c r="P662" i="1"/>
  <c r="P653" i="1"/>
  <c r="N667" i="1"/>
  <c r="N656" i="1"/>
  <c r="R652" i="1"/>
  <c r="R663" i="1"/>
  <c r="L668" i="1"/>
  <c r="L660" i="1"/>
  <c r="O665" i="1"/>
  <c r="O657" i="1"/>
  <c r="O667" i="1"/>
  <c r="M664" i="1"/>
  <c r="M656" i="1"/>
  <c r="J652" i="1"/>
  <c r="J663" i="1"/>
  <c r="S668" i="1"/>
  <c r="S660" i="1"/>
  <c r="K670" i="1"/>
  <c r="K662" i="1"/>
  <c r="K653" i="1"/>
  <c r="Q658" i="1"/>
  <c r="Q659" i="1"/>
  <c r="N654" i="1"/>
  <c r="R668" i="1"/>
  <c r="M669" i="1"/>
  <c r="S657" i="1"/>
  <c r="I668" i="1"/>
  <c r="R659" i="1"/>
  <c r="M660" i="1"/>
  <c r="K666" i="1"/>
  <c r="I664" i="1"/>
  <c r="L663" i="1"/>
  <c r="J656" i="1"/>
  <c r="K657" i="1"/>
  <c r="I663" i="1"/>
  <c r="L662" i="1"/>
  <c r="S670" i="1"/>
  <c r="Q665" i="1"/>
  <c r="I655" i="1"/>
  <c r="I657" i="1"/>
  <c r="T667" i="1"/>
  <c r="T659" i="1"/>
  <c r="P669" i="1"/>
  <c r="P661" i="1"/>
  <c r="P652" i="1"/>
  <c r="N666" i="1"/>
  <c r="N655" i="1"/>
  <c r="R670" i="1"/>
  <c r="R662" i="1"/>
  <c r="L667" i="1"/>
  <c r="L659" i="1"/>
  <c r="O664" i="1"/>
  <c r="O656" i="1"/>
  <c r="O666" i="1"/>
  <c r="M663" i="1"/>
  <c r="M655" i="1"/>
  <c r="J670" i="1"/>
  <c r="J662" i="1"/>
  <c r="S667" i="1"/>
  <c r="S659" i="1"/>
  <c r="K669" i="1"/>
  <c r="K661" i="1"/>
  <c r="K652" i="1"/>
  <c r="Q657" i="1"/>
  <c r="Q653" i="1"/>
  <c r="M654" i="1"/>
  <c r="I669" i="1"/>
  <c r="T665" i="1"/>
  <c r="P667" i="1"/>
  <c r="P659" i="1"/>
  <c r="N663" i="1"/>
  <c r="L665" i="1"/>
  <c r="O662" i="1"/>
  <c r="M661" i="1"/>
  <c r="J660" i="1"/>
  <c r="K667" i="1"/>
  <c r="Q666" i="1"/>
  <c r="T656" i="1"/>
  <c r="P658" i="1"/>
  <c r="N662" i="1"/>
  <c r="R667" i="1"/>
  <c r="L656" i="1"/>
  <c r="M668" i="1"/>
  <c r="J667" i="1"/>
  <c r="S656" i="1"/>
  <c r="Q664" i="1"/>
  <c r="K654" i="1"/>
  <c r="T663" i="1"/>
  <c r="P665" i="1"/>
  <c r="N670" i="1"/>
  <c r="R656" i="1"/>
  <c r="R658" i="1"/>
  <c r="O660" i="1"/>
  <c r="M667" i="1"/>
  <c r="J666" i="1"/>
  <c r="S655" i="1"/>
  <c r="Q669" i="1"/>
  <c r="T670" i="1"/>
  <c r="P664" i="1"/>
  <c r="P656" i="1"/>
  <c r="N660" i="1"/>
  <c r="R665" i="1"/>
  <c r="L653" i="1"/>
  <c r="M666" i="1"/>
  <c r="J665" i="1"/>
  <c r="S653" i="1"/>
  <c r="Q662" i="1"/>
  <c r="L654" i="1"/>
  <c r="I653" i="1"/>
  <c r="I656" i="1"/>
  <c r="T666" i="1"/>
  <c r="T658" i="1"/>
  <c r="P668" i="1"/>
  <c r="P660" i="1"/>
  <c r="N664" i="1"/>
  <c r="N665" i="1"/>
  <c r="N653" i="1"/>
  <c r="R669" i="1"/>
  <c r="R661" i="1"/>
  <c r="L666" i="1"/>
  <c r="L658" i="1"/>
  <c r="O663" i="1"/>
  <c r="O655" i="1"/>
  <c r="M670" i="1"/>
  <c r="M662" i="1"/>
  <c r="M653" i="1"/>
  <c r="J669" i="1"/>
  <c r="J661" i="1"/>
  <c r="S666" i="1"/>
  <c r="S658" i="1"/>
  <c r="K668" i="1"/>
  <c r="K660" i="1"/>
  <c r="Q668" i="1"/>
  <c r="Q656" i="1"/>
  <c r="Q652" i="1"/>
  <c r="I654" i="1"/>
  <c r="T657" i="1"/>
  <c r="N658" i="1"/>
  <c r="N652" i="1"/>
  <c r="L657" i="1"/>
  <c r="O653" i="1"/>
  <c r="M652" i="1"/>
  <c r="S665" i="1"/>
  <c r="K659" i="1"/>
  <c r="Q655" i="1"/>
  <c r="P654" i="1"/>
  <c r="I670" i="1"/>
  <c r="T664" i="1"/>
  <c r="P666" i="1"/>
  <c r="N657" i="1"/>
  <c r="R657" i="1"/>
  <c r="L664" i="1"/>
  <c r="O652" i="1"/>
  <c r="J657" i="1"/>
  <c r="S664" i="1"/>
  <c r="K658" i="1"/>
  <c r="Q670" i="1"/>
  <c r="I667" i="1"/>
  <c r="T655" i="1"/>
  <c r="P657" i="1"/>
  <c r="N661" i="1"/>
  <c r="R666" i="1"/>
  <c r="L655" i="1"/>
  <c r="M659" i="1"/>
  <c r="J658" i="1"/>
  <c r="K665" i="1"/>
  <c r="Q663" i="1"/>
  <c r="R654" i="1"/>
  <c r="I666" i="1"/>
  <c r="T653" i="1"/>
  <c r="N669" i="1"/>
  <c r="R655" i="1"/>
  <c r="L670" i="1"/>
  <c r="O659" i="1"/>
  <c r="O669" i="1"/>
  <c r="J655" i="1"/>
  <c r="S662" i="1"/>
  <c r="K656" i="1"/>
  <c r="S654" i="1"/>
  <c r="R34" i="1"/>
  <c r="J34" i="1"/>
  <c r="Q34" i="1"/>
  <c r="I34" i="1"/>
  <c r="O34" i="1"/>
  <c r="L34" i="1"/>
  <c r="S34" i="1"/>
  <c r="N34" i="1"/>
  <c r="M34" i="1"/>
  <c r="T34" i="1"/>
  <c r="K34" i="1"/>
  <c r="P34" i="1"/>
</calcChain>
</file>

<file path=xl/sharedStrings.xml><?xml version="1.0" encoding="utf-8"?>
<sst xmlns="http://schemas.openxmlformats.org/spreadsheetml/2006/main" count="1354" uniqueCount="708">
  <si>
    <t>[Begin Format Range]</t>
  </si>
  <si>
    <t>Default</t>
  </si>
  <si>
    <t>Leaf</t>
  </si>
  <si>
    <t>[End Format Range]</t>
  </si>
  <si>
    <t>Element Name</t>
  </si>
  <si>
    <t>Version</t>
  </si>
  <si>
    <t>Currency</t>
  </si>
  <si>
    <t>Company</t>
  </si>
  <si>
    <t>Measure</t>
  </si>
  <si>
    <t>FY-2026</t>
  </si>
  <si>
    <t>ACCOUNTING</t>
  </si>
  <si>
    <t>613077181000000</t>
  </si>
  <si>
    <t>613077181100000</t>
  </si>
  <si>
    <t>614077181000000</t>
  </si>
  <si>
    <t>615077181000000</t>
  </si>
  <si>
    <t>616077181000000</t>
  </si>
  <si>
    <t>617077181000000</t>
  </si>
  <si>
    <t>618077181000000</t>
  </si>
  <si>
    <t>619077181000000</t>
  </si>
  <si>
    <t>620077181000000</t>
  </si>
  <si>
    <t>621077181000000</t>
  </si>
  <si>
    <t>622077181000000</t>
  </si>
  <si>
    <t>623077181000000</t>
  </si>
  <si>
    <t>625077181100000</t>
  </si>
  <si>
    <t>625077181110000</t>
  </si>
  <si>
    <t>627077181000000</t>
  </si>
  <si>
    <t>632077181000000</t>
  </si>
  <si>
    <t>641077181000000</t>
  </si>
  <si>
    <t>642577181000000</t>
  </si>
  <si>
    <t>644077181000000</t>
  </si>
  <si>
    <t>Location</t>
  </si>
  <si>
    <t>Years</t>
  </si>
  <si>
    <t>}ElementAttributes_Account</t>
  </si>
  <si>
    <t>Account</t>
  </si>
  <si>
    <t>Division</t>
  </si>
  <si>
    <t>Department</t>
  </si>
  <si>
    <t>Fiscal_Year</t>
  </si>
  <si>
    <t>}ElementAttributes_Division</t>
  </si>
  <si>
    <t>}ElementAttributes_Department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</si>
  <si>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</si>
  <si>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</si>
  <si>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</si>
  <si>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</si>
  <si>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</si>
  <si>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</si>
  <si>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</si>
  <si>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</si>
  <si>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</si>
  <si>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</si>
  <si>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</si>
  <si>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</si>
  <si>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Labor / Non-Labor</t>
  </si>
  <si>
    <t>Cost Description</t>
  </si>
  <si>
    <t>GL Number</t>
  </si>
  <si>
    <t>Group Name</t>
  </si>
  <si>
    <t>Overhead Non-Labor Actual</t>
  </si>
  <si>
    <t>[3372bfd3-f3eb-4828-a572-af23df445a12_20260717190049.xlsx]Sheet1'!F20</t>
  </si>
  <si>
    <t>All_Locations</t>
  </si>
  <si>
    <t>Lubbock</t>
  </si>
  <si>
    <t>Corpus Christi</t>
  </si>
  <si>
    <t>Houston</t>
  </si>
  <si>
    <t>OTHER</t>
  </si>
  <si>
    <t>Louisiana</t>
  </si>
  <si>
    <t>Midland</t>
  </si>
  <si>
    <t>Montana</t>
  </si>
  <si>
    <t>Sweet Water</t>
  </si>
  <si>
    <t>510010200000000</t>
  </si>
  <si>
    <t>510030100000000</t>
  </si>
  <si>
    <t>510040100000000</t>
  </si>
  <si>
    <t>510050100000000</t>
  </si>
  <si>
    <t>510056200000000</t>
  </si>
  <si>
    <t>510056700000000</t>
  </si>
  <si>
    <t>510056784000000</t>
  </si>
  <si>
    <t>510056800000000</t>
  </si>
  <si>
    <t>510056900000000</t>
  </si>
  <si>
    <t>510059100000000</t>
  </si>
  <si>
    <t>510060200000000</t>
  </si>
  <si>
    <t>510065200000000</t>
  </si>
  <si>
    <t>510070200000000</t>
  </si>
  <si>
    <t>511010100000000</t>
  </si>
  <si>
    <t>511010200000000</t>
  </si>
  <si>
    <t>511040100000000</t>
  </si>
  <si>
    <t>511050100000000</t>
  </si>
  <si>
    <t>511056100000000</t>
  </si>
  <si>
    <t>511056200000000</t>
  </si>
  <si>
    <t>511056700000000</t>
  </si>
  <si>
    <t>511056800000000</t>
  </si>
  <si>
    <t>511059100000000</t>
  </si>
  <si>
    <t>511060200000000</t>
  </si>
  <si>
    <t>511065200000000</t>
  </si>
  <si>
    <t>511070200000000</t>
  </si>
  <si>
    <t>512056100000000</t>
  </si>
  <si>
    <t>512056700000000</t>
  </si>
  <si>
    <t>513010100000000</t>
  </si>
  <si>
    <t>513010100100000</t>
  </si>
  <si>
    <t>513010200000000</t>
  </si>
  <si>
    <t>513010200100000</t>
  </si>
  <si>
    <t>513030100100000</t>
  </si>
  <si>
    <t>513040100000000</t>
  </si>
  <si>
    <t>513040100100000</t>
  </si>
  <si>
    <t>513050100000000</t>
  </si>
  <si>
    <t>513050100100000</t>
  </si>
  <si>
    <t>513056100000000</t>
  </si>
  <si>
    <t>513056100100000</t>
  </si>
  <si>
    <t>513056200000000</t>
  </si>
  <si>
    <t>513056700000000</t>
  </si>
  <si>
    <t>513056700100000</t>
  </si>
  <si>
    <t>513056800000000</t>
  </si>
  <si>
    <t>513056800100000</t>
  </si>
  <si>
    <t>513059100100000</t>
  </si>
  <si>
    <t>513060200100000</t>
  </si>
  <si>
    <t>513065200000000</t>
  </si>
  <si>
    <t>513065200100000</t>
  </si>
  <si>
    <t>513070200000000</t>
  </si>
  <si>
    <t>513070200100000</t>
  </si>
  <si>
    <t>514010100000000</t>
  </si>
  <si>
    <t>514010200000000</t>
  </si>
  <si>
    <t>514030100000000</t>
  </si>
  <si>
    <t>514040100000000</t>
  </si>
  <si>
    <t>514041100000000</t>
  </si>
  <si>
    <t>514050100000000</t>
  </si>
  <si>
    <t>514054100000000</t>
  </si>
  <si>
    <t>514055100000000</t>
  </si>
  <si>
    <t>514056100000000</t>
  </si>
  <si>
    <t>514056700000000</t>
  </si>
  <si>
    <t>514056800000000</t>
  </si>
  <si>
    <t>514056900000000</t>
  </si>
  <si>
    <t>514059100000000</t>
  </si>
  <si>
    <t>514060100000000</t>
  </si>
  <si>
    <t>514060200000000</t>
  </si>
  <si>
    <t>514065600000000</t>
  </si>
  <si>
    <t>514070200000000</t>
  </si>
  <si>
    <t>514075100000000</t>
  </si>
  <si>
    <t>515010100000000</t>
  </si>
  <si>
    <t>515010200000000</t>
  </si>
  <si>
    <t>515020700000000</t>
  </si>
  <si>
    <t>515030100000000</t>
  </si>
  <si>
    <t>515030500000000</t>
  </si>
  <si>
    <t>515040100000000</t>
  </si>
  <si>
    <t>515050100000000</t>
  </si>
  <si>
    <t>515054100000000</t>
  </si>
  <si>
    <t>515055100000000</t>
  </si>
  <si>
    <t>515056100000000</t>
  </si>
  <si>
    <t>515056700000000</t>
  </si>
  <si>
    <t>515056800000000</t>
  </si>
  <si>
    <t>515056900000000</t>
  </si>
  <si>
    <t>515059100000000</t>
  </si>
  <si>
    <t>515060100000000</t>
  </si>
  <si>
    <t>515060200000000</t>
  </si>
  <si>
    <t>515065200000000</t>
  </si>
  <si>
    <t>515070200000000</t>
  </si>
  <si>
    <t>515075100000000</t>
  </si>
  <si>
    <t>516010100000000</t>
  </si>
  <si>
    <t>516010200000000</t>
  </si>
  <si>
    <t>516020600000000</t>
  </si>
  <si>
    <t>516030100000000</t>
  </si>
  <si>
    <t>516040100000000</t>
  </si>
  <si>
    <t>516050100000000</t>
  </si>
  <si>
    <t>516056100000000</t>
  </si>
  <si>
    <t>516056200000000</t>
  </si>
  <si>
    <t>516056700000000</t>
  </si>
  <si>
    <t>516056800000000</t>
  </si>
  <si>
    <t>516056900000000</t>
  </si>
  <si>
    <t>516059100000000</t>
  </si>
  <si>
    <t>516065200000000</t>
  </si>
  <si>
    <t>516070200000000</t>
  </si>
  <si>
    <t>516075100000000</t>
  </si>
  <si>
    <t>517010200000000</t>
  </si>
  <si>
    <t>517056100000000</t>
  </si>
  <si>
    <t>517056700000000</t>
  </si>
  <si>
    <t>517056800000000</t>
  </si>
  <si>
    <t>517059100000000</t>
  </si>
  <si>
    <t>518010100000000</t>
  </si>
  <si>
    <t>518010200000000</t>
  </si>
  <si>
    <t>518030100000000</t>
  </si>
  <si>
    <t>518040100000000</t>
  </si>
  <si>
    <t>518050100000000</t>
  </si>
  <si>
    <t>518054100000000</t>
  </si>
  <si>
    <t>518056100000000</t>
  </si>
  <si>
    <t>518056200000000</t>
  </si>
  <si>
    <t>518056700000000</t>
  </si>
  <si>
    <t>518056800000000</t>
  </si>
  <si>
    <t>518059100000000</t>
  </si>
  <si>
    <t>518060100000000</t>
  </si>
  <si>
    <t>518060200000000</t>
  </si>
  <si>
    <t>518065600000000</t>
  </si>
  <si>
    <t>518070200000000</t>
  </si>
  <si>
    <t>519010100000000</t>
  </si>
  <si>
    <t>519030100000000</t>
  </si>
  <si>
    <t>519040100000000</t>
  </si>
  <si>
    <t>519050100000000</t>
  </si>
  <si>
    <t>519056100000000</t>
  </si>
  <si>
    <t>519056700000000</t>
  </si>
  <si>
    <t>519059100000000</t>
  </si>
  <si>
    <t>519060100000000</t>
  </si>
  <si>
    <t>519070200000000</t>
  </si>
  <si>
    <t>519076100000000</t>
  </si>
  <si>
    <t>520056800000000</t>
  </si>
  <si>
    <t>521010100500000</t>
  </si>
  <si>
    <t>521010200500000</t>
  </si>
  <si>
    <t>521020600000000</t>
  </si>
  <si>
    <t>521030100500000</t>
  </si>
  <si>
    <t>521040100500000</t>
  </si>
  <si>
    <t>521050100500000</t>
  </si>
  <si>
    <t>521056100000000</t>
  </si>
  <si>
    <t>521056100500000</t>
  </si>
  <si>
    <t>521056700000000</t>
  </si>
  <si>
    <t>521056800000000</t>
  </si>
  <si>
    <t>521056900000000</t>
  </si>
  <si>
    <t>521059100500000</t>
  </si>
  <si>
    <t>521065600500000</t>
  </si>
  <si>
    <t>521070200500000</t>
  </si>
  <si>
    <t>522010200000000</t>
  </si>
  <si>
    <t>522030100000000</t>
  </si>
  <si>
    <t>522030500000000</t>
  </si>
  <si>
    <t>522050100000000</t>
  </si>
  <si>
    <t>522054100000000</t>
  </si>
  <si>
    <t>522056100000000</t>
  </si>
  <si>
    <t>522056700000000</t>
  </si>
  <si>
    <t>522056800000000</t>
  </si>
  <si>
    <t>522056900000000</t>
  </si>
  <si>
    <t>522059100000000</t>
  </si>
  <si>
    <t>522060100000000</t>
  </si>
  <si>
    <t>522075100000000</t>
  </si>
  <si>
    <t>523010100000000</t>
  </si>
  <si>
    <t>523050100000000</t>
  </si>
  <si>
    <t>523054100000000</t>
  </si>
  <si>
    <t>523056100000000</t>
  </si>
  <si>
    <t>523056700000000</t>
  </si>
  <si>
    <t>523056800000000</t>
  </si>
  <si>
    <t>523056900000000</t>
  </si>
  <si>
    <t>523059100000000</t>
  </si>
  <si>
    <t>523075100000000</t>
  </si>
  <si>
    <t>524056100000000</t>
  </si>
  <si>
    <t>524056700000000</t>
  </si>
  <si>
    <t>524056800000000</t>
  </si>
  <si>
    <t>524056900000000</t>
  </si>
  <si>
    <t>524059100000000</t>
  </si>
  <si>
    <t>524060100000000</t>
  </si>
  <si>
    <t>524065200000000</t>
  </si>
  <si>
    <t>524070200000000</t>
  </si>
  <si>
    <t>524075100000000</t>
  </si>
  <si>
    <t>525056100000000</t>
  </si>
  <si>
    <t>525056800000000</t>
  </si>
  <si>
    <t>525056900000000</t>
  </si>
  <si>
    <t>525059100000000</t>
  </si>
  <si>
    <t>525075100000000</t>
  </si>
  <si>
    <t>526030100000000</t>
  </si>
  <si>
    <t>526050100000000</t>
  </si>
  <si>
    <t>526056100000000</t>
  </si>
  <si>
    <t>526056700000000</t>
  </si>
  <si>
    <t>526056800000000</t>
  </si>
  <si>
    <t>526056900000000</t>
  </si>
  <si>
    <t>526059100000000</t>
  </si>
  <si>
    <t>526075100000000</t>
  </si>
  <si>
    <t>527030100000000</t>
  </si>
  <si>
    <t>527050100000000</t>
  </si>
  <si>
    <t>527056100000000</t>
  </si>
  <si>
    <t>528010200000000</t>
  </si>
  <si>
    <t>528040100000000</t>
  </si>
  <si>
    <t>528056100000000</t>
  </si>
  <si>
    <t>528056800000000</t>
  </si>
  <si>
    <t>528059100000000</t>
  </si>
  <si>
    <t>528060100000000</t>
  </si>
  <si>
    <t>528070200000000</t>
  </si>
  <si>
    <t>529010100000000</t>
  </si>
  <si>
    <t>529010200000000</t>
  </si>
  <si>
    <t>529030100000000</t>
  </si>
  <si>
    <t>529040100000000</t>
  </si>
  <si>
    <t>529050100000000</t>
  </si>
  <si>
    <t>529054100000000</t>
  </si>
  <si>
    <t>529056100000000</t>
  </si>
  <si>
    <t>529056200000000</t>
  </si>
  <si>
    <t>529056700000000</t>
  </si>
  <si>
    <t>529056800000000</t>
  </si>
  <si>
    <t>529059100000000</t>
  </si>
  <si>
    <t>529060100000000</t>
  </si>
  <si>
    <t>529065600000000</t>
  </si>
  <si>
    <t>530010100000000</t>
  </si>
  <si>
    <t>530010200000000</t>
  </si>
  <si>
    <t>530030100000000</t>
  </si>
  <si>
    <t>530040100000000</t>
  </si>
  <si>
    <t>530050100000000</t>
  </si>
  <si>
    <t>530054100000000</t>
  </si>
  <si>
    <t>530055100000000</t>
  </si>
  <si>
    <t>530056100000000</t>
  </si>
  <si>
    <t>530056700000000</t>
  </si>
  <si>
    <t>530056800000000</t>
  </si>
  <si>
    <t>530059100000000</t>
  </si>
  <si>
    <t>530060200000000</t>
  </si>
  <si>
    <t>530075100000000</t>
  </si>
  <si>
    <t>531030100000000</t>
  </si>
  <si>
    <t>531056100000000</t>
  </si>
  <si>
    <t>531056700000000</t>
  </si>
  <si>
    <t>531056800000000</t>
  </si>
  <si>
    <t>531056900000000</t>
  </si>
  <si>
    <t>531059100000000</t>
  </si>
  <si>
    <t>531075100000000</t>
  </si>
  <si>
    <t>532010100000000</t>
  </si>
  <si>
    <t>532010200000000</t>
  </si>
  <si>
    <t>532050100000000</t>
  </si>
  <si>
    <t>532056100000000</t>
  </si>
  <si>
    <t>532056200000000</t>
  </si>
  <si>
    <t>532056700000000</t>
  </si>
  <si>
    <t>532056800000000</t>
  </si>
  <si>
    <t>532059100000000</t>
  </si>
  <si>
    <t>532060200000000</t>
  </si>
  <si>
    <t>532070200000000</t>
  </si>
  <si>
    <t>533010100000000</t>
  </si>
  <si>
    <t>533030100000000</t>
  </si>
  <si>
    <t>533040100000000</t>
  </si>
  <si>
    <t>533050100000000</t>
  </si>
  <si>
    <t>533056100000000</t>
  </si>
  <si>
    <t>533056700000000</t>
  </si>
  <si>
    <t>533056800000000</t>
  </si>
  <si>
    <t>533056900000000</t>
  </si>
  <si>
    <t>533059100000000</t>
  </si>
  <si>
    <t>533060100000000</t>
  </si>
  <si>
    <t>533065200000000</t>
  </si>
  <si>
    <t>534010100000000</t>
  </si>
  <si>
    <t>534010200000000</t>
  </si>
  <si>
    <t>534030100000000</t>
  </si>
  <si>
    <t>534040100000000</t>
  </si>
  <si>
    <t>534054100000000</t>
  </si>
  <si>
    <t>534056100000000</t>
  </si>
  <si>
    <t>534056200000000</t>
  </si>
  <si>
    <t>534056700000000</t>
  </si>
  <si>
    <t>534056800000000</t>
  </si>
  <si>
    <t>534059100000000</t>
  </si>
  <si>
    <t>534060100000000</t>
  </si>
  <si>
    <t>534065200000000</t>
  </si>
  <si>
    <t>534070200000000</t>
  </si>
  <si>
    <t>534230100000000</t>
  </si>
  <si>
    <t>535056100000000</t>
  </si>
  <si>
    <t>535056700000000</t>
  </si>
  <si>
    <t>535056800000000</t>
  </si>
  <si>
    <t>535059100000000</t>
  </si>
  <si>
    <t>536030100000000</t>
  </si>
  <si>
    <t>536050100000000</t>
  </si>
  <si>
    <t>536054100000000</t>
  </si>
  <si>
    <t>536056200000000</t>
  </si>
  <si>
    <t>536059100000000</t>
  </si>
  <si>
    <t>536070200000000</t>
  </si>
  <si>
    <t>536075100000000</t>
  </si>
  <si>
    <t>538010100000000</t>
  </si>
  <si>
    <t>538030100000000</t>
  </si>
  <si>
    <t>538056100000000</t>
  </si>
  <si>
    <t>538056700000000</t>
  </si>
  <si>
    <t>538056800000000</t>
  </si>
  <si>
    <t>538059100000000</t>
  </si>
  <si>
    <t>538065200000000</t>
  </si>
  <si>
    <t>538070200000000</t>
  </si>
  <si>
    <t>538075100000000</t>
  </si>
  <si>
    <t>541010100000000</t>
  </si>
  <si>
    <t>541010200000000</t>
  </si>
  <si>
    <t>541030100000000</t>
  </si>
  <si>
    <t>541040100000000</t>
  </si>
  <si>
    <t>541050100000000</t>
  </si>
  <si>
    <t>541054100000000</t>
  </si>
  <si>
    <t>541055100000000</t>
  </si>
  <si>
    <t>541056100000000</t>
  </si>
  <si>
    <t>541056200000000</t>
  </si>
  <si>
    <t>541056700000000</t>
  </si>
  <si>
    <t>541056800000000</t>
  </si>
  <si>
    <t>541059100000000</t>
  </si>
  <si>
    <t>541060100000000</t>
  </si>
  <si>
    <t>541060200000000</t>
  </si>
  <si>
    <t>541065200000000</t>
  </si>
  <si>
    <t>541065600000000</t>
  </si>
  <si>
    <t>541070200000000</t>
  </si>
  <si>
    <t>541075100000000</t>
  </si>
  <si>
    <t>541510100000000</t>
  </si>
  <si>
    <t>541510100000002</t>
  </si>
  <si>
    <t>541510200000002</t>
  </si>
  <si>
    <t>541530100000002</t>
  </si>
  <si>
    <t>541540100000002</t>
  </si>
  <si>
    <t>541550100000002</t>
  </si>
  <si>
    <t>541556100000002</t>
  </si>
  <si>
    <t>541559100000002</t>
  </si>
  <si>
    <t>541565600000002</t>
  </si>
  <si>
    <t>541570200000002</t>
  </si>
  <si>
    <t>541610100000000</t>
  </si>
  <si>
    <t>541610200000000</t>
  </si>
  <si>
    <t>541640100000000</t>
  </si>
  <si>
    <t>541650100000000</t>
  </si>
  <si>
    <t>541656100000000</t>
  </si>
  <si>
    <t>541656200000000</t>
  </si>
  <si>
    <t>541659100000000</t>
  </si>
  <si>
    <t>541665600000000</t>
  </si>
  <si>
    <t>542010100000000</t>
  </si>
  <si>
    <t>542010200000000</t>
  </si>
  <si>
    <t>542030100000000</t>
  </si>
  <si>
    <t>542040100000000</t>
  </si>
  <si>
    <t>542050100000000</t>
  </si>
  <si>
    <t>542055100000000</t>
  </si>
  <si>
    <t>542056100000000</t>
  </si>
  <si>
    <t>542056200000000</t>
  </si>
  <si>
    <t>542056700000000</t>
  </si>
  <si>
    <t>542056700100000</t>
  </si>
  <si>
    <t>542056800100000</t>
  </si>
  <si>
    <t>542059100000000</t>
  </si>
  <si>
    <t>542060100000000</t>
  </si>
  <si>
    <t>542060200000000</t>
  </si>
  <si>
    <t>542065200000000</t>
  </si>
  <si>
    <t>542065600000000</t>
  </si>
  <si>
    <t>542070200000000</t>
  </si>
  <si>
    <t>542510100000000</t>
  </si>
  <si>
    <t>542530100000000</t>
  </si>
  <si>
    <t>542540100000000</t>
  </si>
  <si>
    <t>542556100000000</t>
  </si>
  <si>
    <t>542559100000000</t>
  </si>
  <si>
    <t>542565200000000</t>
  </si>
  <si>
    <t>542610100000000</t>
  </si>
  <si>
    <t>542610200000000</t>
  </si>
  <si>
    <t>542640100000000</t>
  </si>
  <si>
    <t>542656800000000</t>
  </si>
  <si>
    <t>543010100000000</t>
  </si>
  <si>
    <t>543030100000000</t>
  </si>
  <si>
    <t>543041100000000</t>
  </si>
  <si>
    <t>543050100000000</t>
  </si>
  <si>
    <t>543056100000000</t>
  </si>
  <si>
    <t>543056200000000</t>
  </si>
  <si>
    <t>543056700000000</t>
  </si>
  <si>
    <t>543056900000000</t>
  </si>
  <si>
    <t>543059100000000</t>
  </si>
  <si>
    <t>543060100000000</t>
  </si>
  <si>
    <t>543070200000000</t>
  </si>
  <si>
    <t>543075100000000</t>
  </si>
  <si>
    <t>543076100000000</t>
  </si>
  <si>
    <t>544010100000000</t>
  </si>
  <si>
    <t>544010200000000</t>
  </si>
  <si>
    <t>544030100000000</t>
  </si>
  <si>
    <t>544040100000000</t>
  </si>
  <si>
    <t>544050100000000</t>
  </si>
  <si>
    <t>544054100000000</t>
  </si>
  <si>
    <t>544056100000000</t>
  </si>
  <si>
    <t>544056200000000</t>
  </si>
  <si>
    <t>544056700000000</t>
  </si>
  <si>
    <t>544056800000000</t>
  </si>
  <si>
    <t>544056900000000</t>
  </si>
  <si>
    <t>544059100000000</t>
  </si>
  <si>
    <t>544060200000000</t>
  </si>
  <si>
    <t>544070200000000</t>
  </si>
  <si>
    <t>544075100000000</t>
  </si>
  <si>
    <t>546040100000000</t>
  </si>
  <si>
    <t>546056200000000</t>
  </si>
  <si>
    <t>546059100000000</t>
  </si>
  <si>
    <t>547056100000000</t>
  </si>
  <si>
    <t>547056700000000</t>
  </si>
  <si>
    <t>547060200000000</t>
  </si>
  <si>
    <t>548010200000000</t>
  </si>
  <si>
    <t>548059100000000</t>
  </si>
  <si>
    <t>599910000000000</t>
  </si>
  <si>
    <t>599930000000000</t>
  </si>
  <si>
    <t>599940000000000</t>
  </si>
  <si>
    <t>599950000000000</t>
  </si>
  <si>
    <t>599954000000000</t>
  </si>
  <si>
    <t>599955000000000</t>
  </si>
  <si>
    <t>599956000000000</t>
  </si>
  <si>
    <t>599959000000000</t>
  </si>
  <si>
    <t>599960000000000</t>
  </si>
  <si>
    <t>599965000000000</t>
  </si>
  <si>
    <t>599970000000000</t>
  </si>
  <si>
    <t>599975000000000</t>
  </si>
  <si>
    <t>610077181000000</t>
  </si>
  <si>
    <t>610077184000000</t>
  </si>
  <si>
    <t>610077186000000</t>
  </si>
  <si>
    <t>610077190000000</t>
  </si>
  <si>
    <t>610077191000000</t>
  </si>
  <si>
    <t>610077194000000</t>
  </si>
  <si>
    <t>610077284000000</t>
  </si>
  <si>
    <t>610077286000000</t>
  </si>
  <si>
    <t>610077288000000</t>
  </si>
  <si>
    <t>610077290000000</t>
  </si>
  <si>
    <t>611077190000000</t>
  </si>
  <si>
    <t>611077194000000</t>
  </si>
  <si>
    <t>611077290000000</t>
  </si>
  <si>
    <t>612077187000000</t>
  </si>
  <si>
    <t>612077190000000</t>
  </si>
  <si>
    <t>613077185000000</t>
  </si>
  <si>
    <t>613077185100000</t>
  </si>
  <si>
    <t>613077186000000</t>
  </si>
  <si>
    <t>613077186100000</t>
  </si>
  <si>
    <t>613077187100000</t>
  </si>
  <si>
    <t>613077190000000</t>
  </si>
  <si>
    <t>613077190100000</t>
  </si>
  <si>
    <t>613077191000000</t>
  </si>
  <si>
    <t>613077191100000</t>
  </si>
  <si>
    <t>613077195100000</t>
  </si>
  <si>
    <t>613077198100000</t>
  </si>
  <si>
    <t>613077284100000</t>
  </si>
  <si>
    <t>613077286000000</t>
  </si>
  <si>
    <t>613077286100000</t>
  </si>
  <si>
    <t>613077288000000</t>
  </si>
  <si>
    <t>613077288100000</t>
  </si>
  <si>
    <t>613077290000000</t>
  </si>
  <si>
    <t>613077290100000</t>
  </si>
  <si>
    <t>614077182000000</t>
  </si>
  <si>
    <t>614077183000000</t>
  </si>
  <si>
    <t>614077184000000</t>
  </si>
  <si>
    <t>614077185000000</t>
  </si>
  <si>
    <t>614077186000000</t>
  </si>
  <si>
    <t>614077187000000</t>
  </si>
  <si>
    <t>614077189000000</t>
  </si>
  <si>
    <t>614077190000000</t>
  </si>
  <si>
    <t>614077191000000</t>
  </si>
  <si>
    <t>614077193000000</t>
  </si>
  <si>
    <t>614077194000000</t>
  </si>
  <si>
    <t>614077195000000</t>
  </si>
  <si>
    <t>614077196000000</t>
  </si>
  <si>
    <t>614077198000000</t>
  </si>
  <si>
    <t>614077284000000</t>
  </si>
  <si>
    <t>614077286000000</t>
  </si>
  <si>
    <t>614077287000000</t>
  </si>
  <si>
    <t>614077288000000</t>
  </si>
  <si>
    <t>614077290000000</t>
  </si>
  <si>
    <t>614077293000000</t>
  </si>
  <si>
    <t>614077686000000</t>
  </si>
  <si>
    <t>615077182000000</t>
  </si>
  <si>
    <t>615077183000000</t>
  </si>
  <si>
    <t>615077183100000</t>
  </si>
  <si>
    <t>615077183200000</t>
  </si>
  <si>
    <t>615077183210000</t>
  </si>
  <si>
    <t>615077183230000</t>
  </si>
  <si>
    <t>615077183240000</t>
  </si>
  <si>
    <t>615077183320000</t>
  </si>
  <si>
    <t>615077184000000</t>
  </si>
  <si>
    <t>615077185000000</t>
  </si>
  <si>
    <t>615077186000000</t>
  </si>
  <si>
    <t>615077187000000</t>
  </si>
  <si>
    <t>615077189000000</t>
  </si>
  <si>
    <t>615077190000000</t>
  </si>
  <si>
    <t>615077191000000</t>
  </si>
  <si>
    <t>615077193000000</t>
  </si>
  <si>
    <t>615077194000000</t>
  </si>
  <si>
    <t>615077195000000</t>
  </si>
  <si>
    <t>615077195000500</t>
  </si>
  <si>
    <t>615077196000000</t>
  </si>
  <si>
    <t>615077197000000</t>
  </si>
  <si>
    <t>615077284000000</t>
  </si>
  <si>
    <t>615077286000000</t>
  </si>
  <si>
    <t>615077287000000</t>
  </si>
  <si>
    <t>615077288000000</t>
  </si>
  <si>
    <t>615077290000000</t>
  </si>
  <si>
    <t>615077687000000</t>
  </si>
  <si>
    <t>616077183000000</t>
  </si>
  <si>
    <t>616077184000000</t>
  </si>
  <si>
    <t>616077186000000</t>
  </si>
  <si>
    <t>616077187000000</t>
  </si>
  <si>
    <t>616077189000000</t>
  </si>
  <si>
    <t>616077191000000</t>
  </si>
  <si>
    <t>616077193000000</t>
  </si>
  <si>
    <t>616077194000000</t>
  </si>
  <si>
    <t>616077195000000</t>
  </si>
  <si>
    <t>616077286000000</t>
  </si>
  <si>
    <t>616077287000000</t>
  </si>
  <si>
    <t>616077288000000</t>
  </si>
  <si>
    <t>616077293000000</t>
  </si>
  <si>
    <t>617077184000000</t>
  </si>
  <si>
    <t>617077186000000</t>
  </si>
  <si>
    <t>617077187000000</t>
  </si>
  <si>
    <t>617077195000000</t>
  </si>
  <si>
    <t>617077284000000</t>
  </si>
  <si>
    <t>617077286000000</t>
  </si>
  <si>
    <t>617077288000000</t>
  </si>
  <si>
    <t>618077184000000</t>
  </si>
  <si>
    <t>618077185000000</t>
  </si>
  <si>
    <t>618077186000000</t>
  </si>
  <si>
    <t>618077187000000</t>
  </si>
  <si>
    <t>618077190000000</t>
  </si>
  <si>
    <t>618077191000000</t>
  </si>
  <si>
    <t>618077194000000</t>
  </si>
  <si>
    <t>618077195000000</t>
  </si>
  <si>
    <t>618077196000000</t>
  </si>
  <si>
    <t>618077198000000</t>
  </si>
  <si>
    <t>618077290000000</t>
  </si>
  <si>
    <t>619077186000000</t>
  </si>
  <si>
    <t>619077194000000</t>
  </si>
  <si>
    <t>620077187000000</t>
  </si>
  <si>
    <t>621077183500000</t>
  </si>
  <si>
    <t>621077186500000</t>
  </si>
  <si>
    <t>621077187000000</t>
  </si>
  <si>
    <t>621077194500000</t>
  </si>
  <si>
    <t>621077287500000</t>
  </si>
  <si>
    <t>622077187000000</t>
  </si>
  <si>
    <t>622077288000000</t>
  </si>
  <si>
    <t>623077185000000</t>
  </si>
  <si>
    <t>623077186000000</t>
  </si>
  <si>
    <t>623077187000000</t>
  </si>
  <si>
    <t>623077193000000</t>
  </si>
  <si>
    <t>623077288000000</t>
  </si>
  <si>
    <t>624077185000000</t>
  </si>
  <si>
    <t>624077193000000</t>
  </si>
  <si>
    <t>624077288000000</t>
  </si>
  <si>
    <t>625077182000000</t>
  </si>
  <si>
    <t>625077186000000</t>
  </si>
  <si>
    <t>625077187000000</t>
  </si>
  <si>
    <t>625077189000000</t>
  </si>
  <si>
    <t>625077190000000</t>
  </si>
  <si>
    <t>625077194000000</t>
  </si>
  <si>
    <t>627077187000000</t>
  </si>
  <si>
    <t>627077191000000</t>
  </si>
  <si>
    <t>627077191000004</t>
  </si>
  <si>
    <t>627077191000101</t>
  </si>
  <si>
    <t>629077186000000</t>
  </si>
  <si>
    <t>629077194000000</t>
  </si>
  <si>
    <t>629077196000000</t>
  </si>
  <si>
    <t>630077193000000</t>
  </si>
  <si>
    <t>630077194000000</t>
  </si>
  <si>
    <t>631077186000000</t>
  </si>
  <si>
    <t>631077193000000</t>
  </si>
  <si>
    <t>632077184000000</t>
  </si>
  <si>
    <t>632077185000000</t>
  </si>
  <si>
    <t>632077186000000</t>
  </si>
  <si>
    <t>632077194000000</t>
  </si>
  <si>
    <t>632077195000000</t>
  </si>
  <si>
    <t>632077287000000</t>
  </si>
  <si>
    <t>633077186000000</t>
  </si>
  <si>
    <t>633077193000000</t>
  </si>
  <si>
    <t>633077293000000</t>
  </si>
  <si>
    <t>634077193000000</t>
  </si>
  <si>
    <t>634077286000000</t>
  </si>
  <si>
    <t>634077287000000</t>
  </si>
  <si>
    <t>634077293000000</t>
  </si>
  <si>
    <t>636077193000000</t>
  </si>
  <si>
    <t>636077293000000</t>
  </si>
  <si>
    <t>638077193000000</t>
  </si>
  <si>
    <t>641077183000000</t>
  </si>
  <si>
    <t>641077184000000</t>
  </si>
  <si>
    <t>641077185000000</t>
  </si>
  <si>
    <t>641077186000000</t>
  </si>
  <si>
    <t>641077187000000</t>
  </si>
  <si>
    <t>641077190000000</t>
  </si>
  <si>
    <t>641077191000000</t>
  </si>
  <si>
    <t>641077193000000</t>
  </si>
  <si>
    <t>641077194000000</t>
  </si>
  <si>
    <t>641077197000000</t>
  </si>
  <si>
    <t>641077284000000</t>
  </si>
  <si>
    <t>641077286000000</t>
  </si>
  <si>
    <t>641077290000000</t>
  </si>
  <si>
    <t>642077184000000</t>
  </si>
  <si>
    <t>642077185000000</t>
  </si>
  <si>
    <t>642077186000000</t>
  </si>
  <si>
    <t>642077190000000</t>
  </si>
  <si>
    <t>642077193000000</t>
  </si>
  <si>
    <t>642077195000000</t>
  </si>
  <si>
    <t>642077286000000</t>
  </si>
  <si>
    <t>642077288000000</t>
  </si>
  <si>
    <t>642077293000000</t>
  </si>
  <si>
    <t>642577194000000</t>
  </si>
  <si>
    <t>642577288000000</t>
  </si>
  <si>
    <t>643077193000000</t>
  </si>
  <si>
    <t>643077288000000</t>
  </si>
  <si>
    <t>644077185000000</t>
  </si>
  <si>
    <t>644077186000000</t>
  </si>
  <si>
    <t>644077190000000</t>
  </si>
  <si>
    <t>644077193000000</t>
  </si>
  <si>
    <t>644077288000000</t>
  </si>
  <si>
    <t>644077293000000</t>
  </si>
  <si>
    <t>647077190000000</t>
  </si>
  <si>
    <t>647077290000000</t>
  </si>
  <si>
    <t>648077183000000</t>
  </si>
  <si>
    <t>648077186000000</t>
  </si>
  <si>
    <t>648077190000000</t>
  </si>
  <si>
    <t>648077199000000</t>
  </si>
  <si>
    <t>648077284000000</t>
  </si>
  <si>
    <t>712077199100000</t>
  </si>
  <si>
    <t>712077199199000</t>
  </si>
  <si>
    <t>728077199000000</t>
  </si>
  <si>
    <t>748077199000000</t>
  </si>
  <si>
    <t>RIGGING/HAULING</t>
  </si>
  <si>
    <t>PERSONNEL</t>
  </si>
  <si>
    <t>INDUSTRIAL</t>
  </si>
  <si>
    <t>FABRICATION</t>
  </si>
  <si>
    <t>HWY/TRK/MAT</t>
  </si>
  <si>
    <t>TANK</t>
  </si>
  <si>
    <t>OFFSHORE</t>
  </si>
  <si>
    <t>I&amp;E</t>
  </si>
  <si>
    <t>CORP MGT</t>
  </si>
  <si>
    <t>IT</t>
  </si>
  <si>
    <t>INTERNAL AUDIT</t>
  </si>
  <si>
    <t>ESTIMATING</t>
  </si>
  <si>
    <t>PIPELINE</t>
  </si>
  <si>
    <t>PROJECT FINANCE</t>
  </si>
  <si>
    <t>HR</t>
  </si>
  <si>
    <t>INVEST RECOVERY</t>
  </si>
  <si>
    <t>LEGAL</t>
  </si>
  <si>
    <t>TOOLROOM</t>
  </si>
  <si>
    <t>BUS DEVELOP</t>
  </si>
  <si>
    <t>REDFISH BAY</t>
  </si>
  <si>
    <t>INTERNAL EQUIP</t>
  </si>
  <si>
    <t>DOCK</t>
  </si>
  <si>
    <t>SCAFFOLDING</t>
  </si>
  <si>
    <t>PURCHASING</t>
  </si>
  <si>
    <t>QA/QC</t>
  </si>
  <si>
    <t>PMO</t>
  </si>
  <si>
    <t>SAFETY</t>
  </si>
  <si>
    <t>PROJECT CONTROLS</t>
  </si>
  <si>
    <t>MANAGEMENT/ADMIN</t>
  </si>
  <si>
    <t>BI</t>
  </si>
  <si>
    <t>542556800000000</t>
  </si>
  <si>
    <t>510010100000000</t>
  </si>
  <si>
    <t>517030100000000</t>
  </si>
  <si>
    <t>524030100000000</t>
  </si>
  <si>
    <t>541630100000000</t>
  </si>
  <si>
    <t>615077183310000</t>
  </si>
  <si>
    <t>625077181300000</t>
  </si>
  <si>
    <t>634077186000000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</si>
</sst>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.5"/>
      <color rgb="FF165D81"/>
      <name val="Calibri"/>
      <family val="2"/>
    </font>
    <font>
      <b/>
      <sz val="10.5"/>
      <color theme="1" tint="0.24994659260841701"/>
      <name val="Calibri"/>
      <family val="2"/>
    </font>
    <font>
      <b/>
      <sz val="10.5"/>
      <color theme="1" tint="0.34998626667073579"/>
      <name val="Calibri"/>
      <family val="2"/>
    </font>
    <font>
      <b/>
      <sz val="10.5"/>
      <color theme="4"/>
      <name val="Calibri"/>
      <family val="2"/>
    </font>
    <font>
      <b/>
      <sz val="10.5"/>
      <color theme="7"/>
      <name val="Calibri"/>
      <family val="2"/>
    </font>
    <font>
      <b/>
      <sz val="10.5"/>
      <color theme="5" tint="0.39994506668294322"/>
      <name val="Calibri"/>
      <family val="2"/>
    </font>
    <font>
      <b/>
      <sz val="10.5"/>
      <color rgb="FF336577"/>
      <name val="Calibri"/>
      <family val="2"/>
    </font>
    <font>
      <b/>
      <sz val="10.5"/>
      <color theme="6" tint="-0.24994659260841701"/>
      <name val="Calibri"/>
      <family val="2"/>
    </font>
    <font>
      <b/>
      <sz val="10.5"/>
      <color theme="3" tint="0.39994506668294322"/>
      <name val="Calibri"/>
      <family val="2"/>
    </font>
    <font>
      <b/>
      <sz val="10"/>
      <color rgb="FF165D81"/>
      <name val="Arial"/>
      <family val="2"/>
    </font>
    <font>
      <b/>
      <sz val="9"/>
      <color theme="1" tint="0.24994659260841701"/>
      <name val="Arial"/>
      <family val="2"/>
    </font>
    <font>
      <sz val="24"/>
      <color rgb="FF185EB7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BED7A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EFBE6"/>
        <bgColor indexed="64"/>
      </patternFill>
    </fill>
    <fill>
      <patternFill patternType="solid">
        <fgColor rgb="FFF4F4F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</fills>
  <borders count="15">
    <border>
      <left/>
      <right/>
      <top/>
      <bottom/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dotted">
        <color rgb="FF3BAB5A"/>
      </left>
      <right style="dotted">
        <color rgb="FF3BAB5A"/>
      </right>
      <top style="dotted">
        <color rgb="FF3BAB5A"/>
      </top>
      <bottom style="dotted">
        <color rgb="FF3BAB5A"/>
      </bottom>
      <diagonal/>
    </border>
    <border>
      <left style="dotted">
        <color rgb="FFA8A8A8"/>
      </left>
      <right style="dotted">
        <color rgb="FFA8A8A8"/>
      </right>
      <top style="dotted">
        <color rgb="FFA8A8A8"/>
      </top>
      <bottom style="dotted">
        <color rgb="FFA8A8A8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0.24994659260841701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0" tint="-0.24994659260841701"/>
      </left>
      <right/>
      <top style="medium">
        <color theme="0" tint="-0.24994659260841701"/>
      </top>
      <bottom style="medium">
        <color theme="0" tint="-0.24994659260841701"/>
      </bottom>
      <diagonal/>
    </border>
  </borders>
  <cellStyleXfs count="76">
    <xf numFmtId="0" fontId="0" fillId="0" borderId="0"/>
    <xf numFmtId="0" fontId="3" fillId="0" borderId="1" applyNumberFormat="0" applyFill="0" applyProtection="0">
      <alignment horizontal="center" vertical="center"/>
    </xf>
    <xf numFmtId="3" fontId="4" fillId="0" borderId="2" applyFont="0" applyFill="0" applyAlignment="0" applyProtection="0"/>
    <xf numFmtId="3" fontId="4" fillId="0" borderId="2" applyFont="0" applyFill="0" applyAlignment="0" applyProtection="0"/>
    <xf numFmtId="3" fontId="4" fillId="0" borderId="2" applyFont="0" applyFill="0" applyAlignment="0" applyProtection="0"/>
    <xf numFmtId="3" fontId="4" fillId="0" borderId="2" applyFont="0" applyFill="0" applyAlignment="0" applyProtection="0"/>
    <xf numFmtId="3" fontId="4" fillId="0" borderId="2" applyFont="0" applyFill="0" applyAlignment="0" applyProtection="0"/>
    <xf numFmtId="3" fontId="4" fillId="0" borderId="2" applyFont="0" applyFill="0" applyAlignment="0" applyProtection="0"/>
    <xf numFmtId="3" fontId="4" fillId="0" borderId="2" applyFont="0" applyFill="0" applyAlignment="0" applyProtection="0"/>
    <xf numFmtId="3" fontId="4" fillId="0" borderId="2" applyFont="0" applyFill="0" applyAlignment="0" applyProtection="0"/>
    <xf numFmtId="3" fontId="3" fillId="0" borderId="1" applyNumberFormat="0" applyFill="0" applyAlignment="0" applyProtection="0"/>
    <xf numFmtId="0" fontId="3" fillId="0" borderId="1" applyNumberFormat="0" applyFill="0" applyAlignment="0" applyProtection="0"/>
    <xf numFmtId="3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3" fontId="4" fillId="0" borderId="0" applyNumberFormat="0" applyBorder="0" applyAlignment="0" applyProtection="0"/>
    <xf numFmtId="3" fontId="4" fillId="0" borderId="0" applyNumberFormat="0" applyBorder="0" applyAlignment="0" applyProtection="0"/>
    <xf numFmtId="3" fontId="4" fillId="0" borderId="0" applyNumberFormat="0" applyBorder="0" applyAlignment="0" applyProtection="0"/>
    <xf numFmtId="3" fontId="4" fillId="0" borderId="0" applyNumberFormat="0" applyBorder="0" applyAlignment="0" applyProtection="0"/>
    <xf numFmtId="3" fontId="4" fillId="0" borderId="0" applyNumberFormat="0" applyBorder="0" applyAlignment="0" applyProtection="0"/>
    <xf numFmtId="3" fontId="4" fillId="0" borderId="2" applyNumberFormat="0" applyBorder="0" applyAlignment="0" applyProtection="0"/>
    <xf numFmtId="3" fontId="4" fillId="0" borderId="2" applyNumberFormat="0" applyBorder="0" applyAlignment="0" applyProtection="0"/>
    <xf numFmtId="3" fontId="4" fillId="0" borderId="2" applyNumberFormat="0" applyBorder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>
      <alignment horizontal="right" vertical="center"/>
    </xf>
    <xf numFmtId="3" fontId="4" fillId="2" borderId="2">
      <alignment horizontal="center" vertical="center"/>
    </xf>
    <xf numFmtId="0" fontId="4" fillId="2" borderId="2">
      <alignment horizontal="right" vertical="center"/>
    </xf>
    <xf numFmtId="0" fontId="3" fillId="0" borderId="3">
      <alignment horizontal="left" vertical="center"/>
    </xf>
    <xf numFmtId="0" fontId="3" fillId="0" borderId="4">
      <alignment horizontal="center" vertical="center"/>
    </xf>
    <xf numFmtId="0" fontId="5" fillId="0" borderId="5">
      <alignment horizontal="center" vertical="center"/>
    </xf>
    <xf numFmtId="0" fontId="4" fillId="3" borderId="2"/>
    <xf numFmtId="3" fontId="3" fillId="0" borderId="1" applyFill="0" applyAlignment="0" applyProtection="0"/>
    <xf numFmtId="3" fontId="3" fillId="0" borderId="1" applyFill="0" applyAlignment="0" applyProtection="0"/>
    <xf numFmtId="3" fontId="3" fillId="0" borderId="1" applyFill="0" applyAlignment="0" applyProtection="0"/>
    <xf numFmtId="3" fontId="3" fillId="0" borderId="1" applyFill="0" applyAlignment="0" applyProtection="0"/>
    <xf numFmtId="0" fontId="3" fillId="0" borderId="1" applyFill="0" applyAlignment="0" applyProtection="0"/>
    <xf numFmtId="3" fontId="3" fillId="0" borderId="1" applyFill="0" applyAlignment="0" applyProtection="0"/>
    <xf numFmtId="0" fontId="3" fillId="0" borderId="4">
      <alignment horizontal="center" vertical="center"/>
    </xf>
    <xf numFmtId="0" fontId="3" fillId="0" borderId="4">
      <alignment horizontal="center" vertical="center"/>
    </xf>
    <xf numFmtId="3" fontId="4" fillId="0" borderId="2" applyFill="0" applyAlignment="0" applyProtection="0"/>
    <xf numFmtId="0" fontId="4" fillId="0" borderId="2" applyFill="0" applyAlignment="0" applyProtection="0"/>
    <xf numFmtId="3" fontId="3" fillId="4" borderId="6" applyNumberFormat="0" applyFont="0" applyAlignment="0" applyProtection="0"/>
    <xf numFmtId="0" fontId="1" fillId="5" borderId="7" applyNumberFormat="0" applyFont="0" applyAlignment="0" applyProtection="0"/>
    <xf numFmtId="0" fontId="3" fillId="0" borderId="1" applyFill="0" applyAlignment="0" applyProtection="0"/>
    <xf numFmtId="3" fontId="3" fillId="0" borderId="1" applyFill="0" applyAlignment="0" applyProtection="0"/>
    <xf numFmtId="0" fontId="3" fillId="0" borderId="1" applyFill="0" applyAlignment="0" applyProtection="0"/>
    <xf numFmtId="0" fontId="3" fillId="0" borderId="1" applyFill="0" applyAlignment="0" applyProtection="0"/>
    <xf numFmtId="0" fontId="3" fillId="0" borderId="1" applyFill="0" applyAlignment="0" applyProtection="0"/>
    <xf numFmtId="0" fontId="3" fillId="0" borderId="1" applyFill="0" applyAlignment="0" applyProtection="0"/>
    <xf numFmtId="0" fontId="3" fillId="0" borderId="3">
      <alignment horizontal="left" vertical="center"/>
    </xf>
    <xf numFmtId="3" fontId="3" fillId="0" borderId="1" applyFill="0" applyAlignment="0" applyProtection="0"/>
    <xf numFmtId="3" fontId="6" fillId="0" borderId="2"/>
    <xf numFmtId="3" fontId="7" fillId="0" borderId="2"/>
    <xf numFmtId="0" fontId="3" fillId="0" borderId="4">
      <alignment horizontal="left" vertical="top"/>
    </xf>
    <xf numFmtId="0" fontId="8" fillId="0" borderId="2"/>
    <xf numFmtId="0" fontId="3" fillId="0" borderId="4">
      <alignment horizontal="left" vertical="center"/>
    </xf>
    <xf numFmtId="0" fontId="4" fillId="2" borderId="8"/>
    <xf numFmtId="3" fontId="4" fillId="0" borderId="2">
      <alignment horizontal="right" vertical="center"/>
    </xf>
    <xf numFmtId="0" fontId="3" fillId="0" borderId="4">
      <alignment horizontal="right" vertical="center"/>
    </xf>
    <xf numFmtId="0" fontId="4" fillId="0" borderId="5">
      <alignment horizontal="center" vertical="center"/>
    </xf>
    <xf numFmtId="3" fontId="4" fillId="0" borderId="2"/>
    <xf numFmtId="3" fontId="4" fillId="0" borderId="2"/>
    <xf numFmtId="0" fontId="4" fillId="0" borderId="5">
      <alignment horizontal="center" vertical="center" wrapText="1"/>
    </xf>
    <xf numFmtId="0" fontId="9" fillId="0" borderId="5">
      <alignment horizontal="left" vertical="center" indent="1"/>
    </xf>
    <xf numFmtId="0" fontId="10" fillId="0" borderId="2"/>
    <xf numFmtId="0" fontId="3" fillId="0" borderId="3">
      <alignment horizontal="left" vertical="center"/>
    </xf>
    <xf numFmtId="3" fontId="4" fillId="0" borderId="2">
      <alignment horizontal="center" vertical="center"/>
    </xf>
    <xf numFmtId="0" fontId="3" fillId="0" borderId="4">
      <alignment horizontal="center" vertical="center"/>
    </xf>
    <xf numFmtId="0" fontId="3" fillId="0" borderId="4">
      <alignment horizontal="center" vertical="center"/>
    </xf>
    <xf numFmtId="0" fontId="3" fillId="0" borderId="3">
      <alignment horizontal="left" vertical="center"/>
    </xf>
    <xf numFmtId="0" fontId="3" fillId="0" borderId="3">
      <alignment horizontal="left" vertical="center"/>
    </xf>
    <xf numFmtId="0" fontId="11" fillId="0" borderId="2"/>
  </cellStyleXfs>
  <cellXfs count="52">
    <xf numFmtId="0" fontId="0" fillId="0" borderId="0" xfId="0"/>
    <xf numFmtId="0" fontId="0" fillId="0" borderId="0" xfId="0" quotePrefix="1"/>
    <xf numFmtId="0" fontId="0" fillId="6" borderId="0" xfId="0" quotePrefix="1" applyFill="1"/>
    <xf numFmtId="0" fontId="0" fillId="6" borderId="0" xfId="0" applyFill="1"/>
    <xf numFmtId="0" fontId="4" fillId="6" borderId="0" xfId="19" applyNumberFormat="1" applyFill="1"/>
    <xf numFmtId="0" fontId="3" fillId="6" borderId="1" xfId="11" applyNumberFormat="1" applyFill="1"/>
    <xf numFmtId="0" fontId="3" fillId="6" borderId="14" xfId="11" applyNumberFormat="1" applyFill="1" applyBorder="1"/>
    <xf numFmtId="3" fontId="4" fillId="6" borderId="13" xfId="3" applyFill="1" applyBorder="1"/>
    <xf numFmtId="0" fontId="4" fillId="6" borderId="0" xfId="20" applyNumberFormat="1" applyFill="1"/>
    <xf numFmtId="0" fontId="3" fillId="6" borderId="1" xfId="12" applyNumberFormat="1" applyFill="1"/>
    <xf numFmtId="0" fontId="3" fillId="6" borderId="14" xfId="12" applyNumberFormat="1" applyFill="1" applyBorder="1"/>
    <xf numFmtId="3" fontId="4" fillId="6" borderId="13" xfId="4" applyFill="1" applyBorder="1"/>
    <xf numFmtId="0" fontId="4" fillId="6" borderId="0" xfId="21" applyNumberFormat="1" applyFill="1"/>
    <xf numFmtId="0" fontId="3" fillId="6" borderId="1" xfId="13" applyNumberFormat="1" applyFill="1"/>
    <xf numFmtId="0" fontId="3" fillId="6" borderId="14" xfId="13" applyNumberFormat="1" applyFill="1" applyBorder="1"/>
    <xf numFmtId="3" fontId="4" fillId="6" borderId="13" xfId="5" applyFill="1" applyBorder="1"/>
    <xf numFmtId="0" fontId="4" fillId="6" borderId="0" xfId="22" applyNumberFormat="1" applyFill="1"/>
    <xf numFmtId="0" fontId="3" fillId="6" borderId="1" xfId="14" applyNumberFormat="1" applyFill="1"/>
    <xf numFmtId="0" fontId="3" fillId="6" borderId="14" xfId="14" applyNumberFormat="1" applyFill="1" applyBorder="1"/>
    <xf numFmtId="3" fontId="4" fillId="6" borderId="13" xfId="6" applyFill="1" applyBorder="1"/>
    <xf numFmtId="0" fontId="4" fillId="6" borderId="0" xfId="23" applyNumberFormat="1" applyFill="1" applyBorder="1"/>
    <xf numFmtId="0" fontId="3" fillId="6" borderId="1" xfId="15" applyNumberFormat="1" applyFill="1"/>
    <xf numFmtId="0" fontId="3" fillId="6" borderId="14" xfId="15" applyNumberFormat="1" applyFill="1" applyBorder="1"/>
    <xf numFmtId="3" fontId="4" fillId="6" borderId="13" xfId="7" applyFill="1" applyBorder="1"/>
    <xf numFmtId="0" fontId="4" fillId="6" borderId="0" xfId="24" applyNumberFormat="1" applyFill="1" applyBorder="1"/>
    <xf numFmtId="0" fontId="3" fillId="6" borderId="1" xfId="16" applyNumberFormat="1" applyFill="1"/>
    <xf numFmtId="0" fontId="3" fillId="6" borderId="14" xfId="16" applyNumberFormat="1" applyFill="1" applyBorder="1"/>
    <xf numFmtId="3" fontId="4" fillId="6" borderId="13" xfId="8" applyFill="1" applyBorder="1"/>
    <xf numFmtId="0" fontId="4" fillId="6" borderId="0" xfId="18" quotePrefix="1" applyNumberFormat="1" applyFill="1"/>
    <xf numFmtId="0" fontId="3" fillId="6" borderId="1" xfId="10" applyNumberFormat="1" applyFill="1"/>
    <xf numFmtId="0" fontId="3" fillId="6" borderId="14" xfId="10" applyNumberFormat="1" applyFill="1" applyBorder="1"/>
    <xf numFmtId="3" fontId="4" fillId="6" borderId="13" xfId="2" applyFill="1" applyBorder="1"/>
    <xf numFmtId="0" fontId="4" fillId="6" borderId="0" xfId="18" applyNumberFormat="1" applyFill="1"/>
    <xf numFmtId="0" fontId="4" fillId="6" borderId="0" xfId="25" quotePrefix="1" applyNumberFormat="1" applyFill="1" applyBorder="1"/>
    <xf numFmtId="0" fontId="12" fillId="6" borderId="1" xfId="17" applyNumberFormat="1" applyFont="1" applyFill="1" applyAlignment="1" applyProtection="1">
      <alignment horizontal="left" vertical="center"/>
    </xf>
    <xf numFmtId="0" fontId="12" fillId="6" borderId="14" xfId="17" applyNumberFormat="1" applyFont="1" applyFill="1" applyBorder="1" applyAlignment="1" applyProtection="1">
      <alignment horizontal="left" vertical="center"/>
    </xf>
    <xf numFmtId="2" fontId="13" fillId="6" borderId="13" xfId="9" applyNumberFormat="1" applyFont="1" applyFill="1" applyBorder="1" applyAlignment="1" applyProtection="1">
      <alignment horizontal="right" vertical="center"/>
      <protection locked="0"/>
    </xf>
    <xf numFmtId="0" fontId="4" fillId="6" borderId="0" xfId="25" applyNumberFormat="1" applyFill="1" applyBorder="1"/>
    <xf numFmtId="0" fontId="4" fillId="6" borderId="9" xfId="27" quotePrefix="1" applyFill="1" applyBorder="1"/>
    <xf numFmtId="0" fontId="4" fillId="6" borderId="0" xfId="26" applyFill="1" applyBorder="1"/>
    <xf numFmtId="0" fontId="4" fillId="6" borderId="2" xfId="26" applyFill="1"/>
    <xf numFmtId="0" fontId="3" fillId="6" borderId="1" xfId="1" quotePrefix="1" applyFill="1">
      <alignment horizontal="center" vertical="center"/>
    </xf>
    <xf numFmtId="49" fontId="12" fillId="6" borderId="1" xfId="17" applyNumberFormat="1" applyFont="1" applyFill="1" applyAlignment="1" applyProtection="1">
      <alignment horizontal="left" vertical="center"/>
    </xf>
    <xf numFmtId="49" fontId="12" fillId="6" borderId="14" xfId="17" applyNumberFormat="1" applyFont="1" applyFill="1" applyBorder="1" applyAlignment="1" applyProtection="1">
      <alignment horizontal="left" vertical="center"/>
    </xf>
    <xf numFmtId="0" fontId="2" fillId="7" borderId="0" xfId="0" applyFont="1" applyFill="1" applyAlignment="1">
      <alignment horizontal="left" vertical="center"/>
    </xf>
    <xf numFmtId="0" fontId="4" fillId="7" borderId="9" xfId="27" quotePrefix="1" applyFill="1" applyBorder="1"/>
    <xf numFmtId="0" fontId="4" fillId="7" borderId="0" xfId="26" applyFill="1" applyBorder="1"/>
    <xf numFmtId="0" fontId="4" fillId="7" borderId="0" xfId="27" applyFill="1" applyBorder="1"/>
    <xf numFmtId="0" fontId="2" fillId="7" borderId="0" xfId="0" applyFont="1" applyFill="1" applyProtection="1">
      <protection locked="0"/>
    </xf>
    <xf numFmtId="0" fontId="14" fillId="6" borderId="10" xfId="0" applyFont="1" applyFill="1" applyBorder="1" applyAlignment="1">
      <alignment horizontal="center" vertical="center"/>
    </xf>
    <xf numFmtId="0" fontId="14" fillId="6" borderId="11" xfId="0" applyFont="1" applyFill="1" applyBorder="1" applyAlignment="1">
      <alignment horizontal="center" vertical="center"/>
    </xf>
    <xf numFmtId="0" fontId="14" fillId="6" borderId="12" xfId="0" applyFont="1" applyFill="1" applyBorder="1" applyAlignment="1">
      <alignment horizontal="center" vertical="center"/>
    </xf>
  </cellXfs>
  <cellStyles count="76">
    <cellStyle name="AF Column - IBM Cognos" xfId="1" xr:uid="{54177081-91C8-4000-89E9-53A6CEAE0B36}"/>
    <cellStyle name="AF Data - IBM Cognos" xfId="2" xr:uid="{EC9C888A-E726-4C9D-B21E-652E11EE21AC}"/>
    <cellStyle name="AF Data 0 - IBM Cognos" xfId="3" xr:uid="{00ED10A7-087C-47ED-8EC5-87CFC5A8C6E8}"/>
    <cellStyle name="AF Data 1 - IBM Cognos" xfId="4" xr:uid="{FA438EB4-29F1-4C46-A327-0388E61AA7E8}"/>
    <cellStyle name="AF Data 2 - IBM Cognos" xfId="5" xr:uid="{6B293F2F-EDD3-41C4-A7D7-B14058131EC8}"/>
    <cellStyle name="AF Data 3 - IBM Cognos" xfId="6" xr:uid="{F6690BFE-0DEA-4E48-AE00-7369FA08ABA9}"/>
    <cellStyle name="AF Data 4 - IBM Cognos" xfId="7" xr:uid="{E7CE3592-4A79-45BD-8B49-4937C4B210E3}"/>
    <cellStyle name="AF Data 5 - IBM Cognos" xfId="8" xr:uid="{C9620F9B-F689-4B7B-AD89-0A47C22A004E}"/>
    <cellStyle name="AF Data Leaf - IBM Cognos" xfId="9" xr:uid="{D78C757F-DDBE-4E48-9865-ABDF76221D79}"/>
    <cellStyle name="AF Header - IBM Cognos" xfId="10" xr:uid="{F65E0D79-87FE-4B40-B388-1B52943EFEB1}"/>
    <cellStyle name="AF Header 0 - IBM Cognos" xfId="11" xr:uid="{24B548A7-6684-496E-AC64-B5912661C00A}"/>
    <cellStyle name="AF Header 1 - IBM Cognos" xfId="12" xr:uid="{4B9D6820-535B-4790-9A39-7DD330DE90F2}"/>
    <cellStyle name="AF Header 2 - IBM Cognos" xfId="13" xr:uid="{611153B9-D60F-42D7-A6A1-181CD581D514}"/>
    <cellStyle name="AF Header 3 - IBM Cognos" xfId="14" xr:uid="{C413968C-ABB3-4A5A-A6BF-A802A99D4255}"/>
    <cellStyle name="AF Header 4 - IBM Cognos" xfId="15" xr:uid="{62D4F187-7C57-4501-9962-0A5ED17B772E}"/>
    <cellStyle name="AF Header 5 - IBM Cognos" xfId="16" xr:uid="{4B307FF7-DCAA-40EB-9CD4-2D9DEBC6634F}"/>
    <cellStyle name="AF Header Leaf - IBM Cognos" xfId="17" xr:uid="{60B6C62C-0D1B-417B-AA29-CE1788EA0DC0}"/>
    <cellStyle name="AF Row - IBM Cognos" xfId="18" xr:uid="{B5D53FD0-A36A-46FA-B2E5-AAE3606B6288}"/>
    <cellStyle name="AF Row 0 - IBM Cognos" xfId="19" xr:uid="{019C0DED-8164-4056-9194-C94AC57371B7}"/>
    <cellStyle name="AF Row 1 - IBM Cognos" xfId="20" xr:uid="{DE331D57-8810-4E10-80DB-02366D9D2BD2}"/>
    <cellStyle name="AF Row 2 - IBM Cognos" xfId="21" xr:uid="{56C979DA-08A3-465E-AF06-9BD426E8F86A}"/>
    <cellStyle name="AF Row 3 - IBM Cognos" xfId="22" xr:uid="{F0F0948C-C473-400C-AB55-E5C02708BECB}"/>
    <cellStyle name="AF Row 4 - IBM Cognos" xfId="23" xr:uid="{E57A0FF9-5D34-472B-9145-A941212EF1B6}"/>
    <cellStyle name="AF Row 5 - IBM Cognos" xfId="24" xr:uid="{DACC6854-E2F8-4F52-B813-509B84761475}"/>
    <cellStyle name="AF Row Leaf - IBM Cognos" xfId="25" xr:uid="{E6B708BB-CB54-4BF0-B028-FE8CD3CE737C}"/>
    <cellStyle name="AF Subnm - IBM Cognos" xfId="26" xr:uid="{D5A941B3-0B77-4EE8-898D-3A66958D5C22}"/>
    <cellStyle name="AF Title - IBM Cognos" xfId="27" xr:uid="{EFCCD55A-F486-438A-8E94-829DB0CE974D}"/>
    <cellStyle name="Calculated Column - IBM Cognos" xfId="28" xr:uid="{66E56143-297C-475F-95F2-DE4DE60C23AD}"/>
    <cellStyle name="Calculated Column Name - IBM Cognos" xfId="29" xr:uid="{3F92C85F-4622-47E8-A00D-D1239DCE187D}"/>
    <cellStyle name="Calculated Row - IBM Cognos" xfId="30" xr:uid="{B9F6126D-18DD-471F-8398-BE921473B4A8}"/>
    <cellStyle name="Calculated Row Name - IBM Cognos" xfId="31" xr:uid="{1B2AB41E-9141-436E-A451-A84957D22C43}"/>
    <cellStyle name="Column Name - IBM Cognos" xfId="32" xr:uid="{FA393DC6-BB3E-49DA-A68F-2C63CB7F05B7}"/>
    <cellStyle name="Column Template - IBM Cognos" xfId="33" xr:uid="{D5FCFDF4-E11A-46A0-8900-E249F4172F96}"/>
    <cellStyle name="Differs From Base - IBM Cognos" xfId="34" xr:uid="{314AF555-6D01-4575-B8E3-7E46058D7E99}"/>
    <cellStyle name="DQR Column 0 - IBM Cognos" xfId="35" xr:uid="{5ED00E28-DC74-4C5C-A5BF-96658DC676E8}"/>
    <cellStyle name="DQR Column 1 - IBM Cognos" xfId="36" xr:uid="{9DCB1CD0-5ABF-4A26-B4AC-3A7B8ED73608}"/>
    <cellStyle name="DQR Column 2 - IBM Cognos" xfId="37" xr:uid="{4612B796-1E86-466E-9EAB-EC3926803C0B}"/>
    <cellStyle name="DQR Column 3 - IBM Cognos" xfId="38" xr:uid="{3E0E3703-4CD8-45CE-9404-7452CF934492}"/>
    <cellStyle name="DQR Column 4 - IBM Cognos" xfId="39" xr:uid="{5E3B981B-C8F5-425D-8C49-72855F7BA740}"/>
    <cellStyle name="DQR Column 5 - IBM Cognos" xfId="40" xr:uid="{FCC056A0-D071-49D0-86C0-938BE95B3902}"/>
    <cellStyle name="DQR Column Default - IBM Cognos" xfId="41" xr:uid="{A254810B-8895-4DB8-BB07-4AFE46648065}"/>
    <cellStyle name="DQR Column Leaf - IBM Cognos" xfId="42" xr:uid="{BB618627-6198-4ADF-B531-9B580DA6EE34}"/>
    <cellStyle name="DQR Data Default - IBM Cognos" xfId="43" xr:uid="{5FDF8CFD-4CA5-4C28-9FE2-6E5265AF0F11}"/>
    <cellStyle name="DQR Default - IBM Cognos" xfId="44" xr:uid="{4130BA62-F91F-4F12-8433-5CE822D12632}"/>
    <cellStyle name="DQR Gutter Default - IBM Cognos" xfId="45" xr:uid="{BF7BFDA7-F57C-405E-B7F4-5A3E28238444}"/>
    <cellStyle name="DQR Gutter Default (OFF) - IBM Cognos" xfId="46" xr:uid="{6DA0A432-73BF-4152-9EF2-5524A71CAF3E}"/>
    <cellStyle name="DQR Row 0 - IBM Cognos" xfId="47" xr:uid="{02E6AAB8-D334-4AC1-9763-7C5207236F21}"/>
    <cellStyle name="DQR Row 1 - IBM Cognos" xfId="48" xr:uid="{462E7F63-2B29-4802-B874-C0363EDCB86B}"/>
    <cellStyle name="DQR Row 2 - IBM Cognos" xfId="49" xr:uid="{6100BC2C-463B-4D89-A5B4-37ED941EC923}"/>
    <cellStyle name="DQR Row 3 - IBM Cognos" xfId="50" xr:uid="{A64CEBCB-0241-4FC4-9082-E28C0CB4CC3D}"/>
    <cellStyle name="DQR Row 4 - IBM Cognos" xfId="51" xr:uid="{5C0061B3-9397-434F-863D-D86EC53106DF}"/>
    <cellStyle name="DQR Row 5 - IBM Cognos" xfId="52" xr:uid="{D81D2A9F-2F4F-4BBB-BA69-490E62FD3C82}"/>
    <cellStyle name="DQR Row Default - IBM Cognos" xfId="53" xr:uid="{0C704675-2CA1-4AB5-AF35-948182DC1D7E}"/>
    <cellStyle name="DQR Row Leaf - IBM Cognos" xfId="54" xr:uid="{01222773-0077-4F52-949A-AF99DE3A9B58}"/>
    <cellStyle name="Edit - IBM Cognos" xfId="55" xr:uid="{66E46CE0-B229-4690-A2E6-75A62EA0544A}"/>
    <cellStyle name="Formula - IBM Cognos" xfId="56" xr:uid="{8845A77D-E858-434B-8724-4CB8590DB6AD}"/>
    <cellStyle name="Group Name - IBM Cognos" xfId="57" xr:uid="{5A43E269-8B24-4B20-9882-B83501ABDB4D}"/>
    <cellStyle name="Hold Values - IBM Cognos" xfId="58" xr:uid="{491696BC-3A78-43F7-A502-E6B165ACD01E}"/>
    <cellStyle name="List Name - IBM Cognos" xfId="59" xr:uid="{212F00C9-796A-45DA-8D62-38E799DFB25D}"/>
    <cellStyle name="Locked - IBM Cognos" xfId="60" xr:uid="{A855D940-F267-4928-8548-EFB9BF848D18}"/>
    <cellStyle name="Measure - IBM Cognos" xfId="61" xr:uid="{EB735063-18FA-485E-9DD8-B58FE9E6BD80}"/>
    <cellStyle name="Measure Header - IBM Cognos" xfId="62" xr:uid="{51D24CE1-F377-4720-A485-969CD0E5B15C}"/>
    <cellStyle name="Measure Name - IBM Cognos" xfId="63" xr:uid="{F2BDEA27-9FCE-4FFB-A6BB-EE9C99E464C7}"/>
    <cellStyle name="Measure Summary - IBM Cognos" xfId="64" xr:uid="{0027C930-5876-41AB-81B3-A4843C5A9FC2}"/>
    <cellStyle name="Measure Summary TM1 - IBM Cognos" xfId="65" xr:uid="{E89ECD83-67FA-4A55-B062-41282A34F267}"/>
    <cellStyle name="Measure Template - IBM Cognos" xfId="66" xr:uid="{862608F4-FDA0-42D3-95E2-77287DBFCD0C}"/>
    <cellStyle name="More - IBM Cognos" xfId="67" xr:uid="{06127155-61A1-4E65-9783-74709FA9581C}"/>
    <cellStyle name="Normal" xfId="0" builtinId="0" customBuiltin="1"/>
    <cellStyle name="Pending Change - IBM Cognos" xfId="68" xr:uid="{ADB9794F-DCCF-4B57-91AB-DF87788BF2AE}"/>
    <cellStyle name="Row Name - IBM Cognos" xfId="69" xr:uid="{FAC4AC6B-A20F-4142-8A7A-DF154FA25473}"/>
    <cellStyle name="Row Template - IBM Cognos" xfId="70" xr:uid="{5EFA0C04-63D3-4811-8758-2E1AD12159A1}"/>
    <cellStyle name="Summary Column Name - IBM Cognos" xfId="71" xr:uid="{0B3B8BF4-E275-41CE-83DF-86EA6573D89F}"/>
    <cellStyle name="Summary Column Name TM1 - IBM Cognos" xfId="72" xr:uid="{3E3F9451-E6F0-4576-9B01-FEA6D3D87E38}"/>
    <cellStyle name="Summary Row Name - IBM Cognos" xfId="73" xr:uid="{FD44B661-9ECF-40EF-BC13-3ED2423C0CC3}"/>
    <cellStyle name="Summary Row Name TM1 - IBM Cognos" xfId="74" xr:uid="{C99BC60A-1051-4CF3-A5F1-23CB5EDF56C2}"/>
    <cellStyle name="Unsaved Change - IBM Cognos" xfId="75" xr:uid="{1E7A470D-B559-4B13-86B1-B2446B30AEB3}"/>
  </cellStyles>
  <dxfs count="4"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B372D-6AE5-47AA-8B93-E90E096B920E}">
  <dimension ref="B1:B10"/>
  <sheetViews>
    <sheetView workbookViewId="0"/>
  </sheetViews>
  <sheetFormatPr defaultRowHeight="14.4" x14ac:dyDescent="0.3"/>
  <sheetData>
    <row r="1" spans="2:2" x14ac:dyDescent="0.3">
      <c r="B1" s="1" t="s">
        <v>56</v>
      </c>
    </row>
    <row r="2" spans="2:2" x14ac:dyDescent="0.3">
      <c r="B2" s="1" t="s">
        <v>57</v>
      </c>
    </row>
    <row r="3" spans="2:2" x14ac:dyDescent="0.3">
      <c r="B3" s="1" t="s">
        <v>58</v>
      </c>
    </row>
    <row r="4" spans="2:2" x14ac:dyDescent="0.3">
      <c r="B4" s="1" t="s">
        <v>59</v>
      </c>
    </row>
    <row r="5" spans="2:2" x14ac:dyDescent="0.3">
      <c r="B5" s="1" t="s">
        <v>60</v>
      </c>
    </row>
    <row r="6" spans="2:2" x14ac:dyDescent="0.3">
      <c r="B6" s="1" t="s">
        <v>61</v>
      </c>
    </row>
    <row r="7" spans="2:2" x14ac:dyDescent="0.3">
      <c r="B7" s="1" t="s">
        <v>62</v>
      </c>
    </row>
    <row r="8" spans="2:2" x14ac:dyDescent="0.3">
      <c r="B8" s="1" t="s">
        <v>63</v>
      </c>
    </row>
    <row r="9" spans="2:2" x14ac:dyDescent="0.3">
      <c r="B9" s="1" t="s">
        <v>64</v>
      </c>
    </row>
    <row r="10" spans="2:2" x14ac:dyDescent="0.3">
      <c r="B10" s="1" t="s">
        <v>65</v>
      </c>
    </row>
  </sheetData>
  <pageMargins left="0.7" right="0.7" top="0.75" bottom="0.75" header="0.3" footer="0.3"/>
  <customProperties>
    <customPr name="CafeStyleVersion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83586-A152-46F7-8DD7-C474D6DCFA11}">
  <dimension ref="A1:V670"/>
  <sheetViews>
    <sheetView showGridLines="0" tabSelected="1" topLeftCell="E14" workbookViewId="0">
      <pane xSplit="4" ySplit="20" topLeftCell="I34" activePane="bottomRight" state="frozen"/>
      <selection activeCell="E14" sqref="E14"/>
      <selection pane="topRight" activeCell="I14" sqref="I14"/>
      <selection pane="bottomLeft" activeCell="E34" sqref="E34"/>
      <selection pane="bottomRight" activeCell="E35" sqref="E35"/>
    </sheetView>
  </sheetViews>
  <sheetFormatPr defaultRowHeight="14.4" outlineLevelRow="1" outlineLevelCol="1" x14ac:dyDescent="0.3"/>
  <cols>
    <col min="1" max="1" width="0" style="3" hidden="1" customWidth="1" outlineLevel="1"/>
    <col min="2" max="2" width="19.88671875" style="3" hidden="1" customWidth="1" outlineLevel="1"/>
    <col min="3" max="3" width="0" style="3" hidden="1" customWidth="1" outlineLevel="1"/>
    <col min="4" max="4" width="25.77734375" style="3" hidden="1" customWidth="1" outlineLevel="1"/>
    <col min="5" max="5" width="22.5546875" style="3" customWidth="1" collapsed="1"/>
    <col min="6" max="6" width="18.21875" style="3" customWidth="1"/>
    <col min="7" max="7" width="38.6640625" style="3" customWidth="1"/>
    <col min="8" max="8" width="19.33203125" style="3" customWidth="1"/>
    <col min="9" max="21" width="12.77734375" style="3" customWidth="1"/>
    <col min="22" max="16384" width="8.88671875" style="3"/>
  </cols>
  <sheetData>
    <row r="1" spans="4:22" ht="15" hidden="1" outlineLevel="1" thickBot="1" x14ac:dyDescent="0.35">
      <c r="D1" s="2" t="s">
        <v>0</v>
      </c>
    </row>
    <row r="2" spans="4:22" s="4" customFormat="1" ht="15" hidden="1" outlineLevel="1" thickBot="1" x14ac:dyDescent="0.35">
      <c r="D2" s="4">
        <v>0</v>
      </c>
      <c r="E2" s="5" t="s">
        <v>4</v>
      </c>
      <c r="F2" s="5" t="s">
        <v>4</v>
      </c>
      <c r="G2" s="5" t="s">
        <v>4</v>
      </c>
      <c r="H2" s="6" t="s">
        <v>4</v>
      </c>
      <c r="I2" s="7">
        <v>123.456789</v>
      </c>
      <c r="J2" s="7">
        <v>123.456789</v>
      </c>
      <c r="K2" s="7">
        <v>123.456789</v>
      </c>
      <c r="L2" s="7">
        <v>123.456789</v>
      </c>
      <c r="M2" s="7">
        <v>123.456789</v>
      </c>
      <c r="N2" s="7">
        <v>123.456789</v>
      </c>
      <c r="O2" s="7">
        <v>123.456789</v>
      </c>
      <c r="P2" s="7">
        <v>123.456789</v>
      </c>
      <c r="Q2" s="7">
        <v>123.456789</v>
      </c>
      <c r="R2" s="7">
        <v>123.456789</v>
      </c>
      <c r="S2" s="7">
        <v>123.456789</v>
      </c>
      <c r="T2" s="7">
        <v>123.456789</v>
      </c>
      <c r="U2" s="7">
        <v>123.456789</v>
      </c>
    </row>
    <row r="3" spans="4:22" s="8" customFormat="1" ht="15" hidden="1" outlineLevel="1" thickBot="1" x14ac:dyDescent="0.35">
      <c r="D3" s="8">
        <v>1</v>
      </c>
      <c r="E3" s="9" t="s">
        <v>4</v>
      </c>
      <c r="F3" s="9" t="s">
        <v>4</v>
      </c>
      <c r="G3" s="9" t="s">
        <v>4</v>
      </c>
      <c r="H3" s="10" t="s">
        <v>4</v>
      </c>
      <c r="I3" s="11">
        <v>123.456789</v>
      </c>
      <c r="J3" s="11">
        <v>123.456789</v>
      </c>
      <c r="K3" s="11">
        <v>123.456789</v>
      </c>
      <c r="L3" s="11">
        <v>123.456789</v>
      </c>
      <c r="M3" s="11">
        <v>123.456789</v>
      </c>
      <c r="N3" s="11">
        <v>123.456789</v>
      </c>
      <c r="O3" s="11">
        <v>123.456789</v>
      </c>
      <c r="P3" s="11">
        <v>123.456789</v>
      </c>
      <c r="Q3" s="11">
        <v>123.456789</v>
      </c>
      <c r="R3" s="11">
        <v>123.456789</v>
      </c>
      <c r="S3" s="11">
        <v>123.456789</v>
      </c>
      <c r="T3" s="11">
        <v>123.456789</v>
      </c>
      <c r="U3" s="11">
        <v>123.456789</v>
      </c>
    </row>
    <row r="4" spans="4:22" s="12" customFormat="1" ht="15" hidden="1" outlineLevel="1" thickBot="1" x14ac:dyDescent="0.35">
      <c r="D4" s="12">
        <v>2</v>
      </c>
      <c r="E4" s="13" t="s">
        <v>4</v>
      </c>
      <c r="F4" s="13" t="s">
        <v>4</v>
      </c>
      <c r="G4" s="13" t="s">
        <v>4</v>
      </c>
      <c r="H4" s="14" t="s">
        <v>4</v>
      </c>
      <c r="I4" s="15">
        <v>123.456789</v>
      </c>
      <c r="J4" s="15">
        <v>123.456789</v>
      </c>
      <c r="K4" s="15">
        <v>123.456789</v>
      </c>
      <c r="L4" s="15">
        <v>123.456789</v>
      </c>
      <c r="M4" s="15">
        <v>123.456789</v>
      </c>
      <c r="N4" s="15">
        <v>123.456789</v>
      </c>
      <c r="O4" s="15">
        <v>123.456789</v>
      </c>
      <c r="P4" s="15">
        <v>123.456789</v>
      </c>
      <c r="Q4" s="15">
        <v>123.456789</v>
      </c>
      <c r="R4" s="15">
        <v>123.456789</v>
      </c>
      <c r="S4" s="15">
        <v>123.456789</v>
      </c>
      <c r="T4" s="15">
        <v>123.456789</v>
      </c>
      <c r="U4" s="15">
        <v>123.456789</v>
      </c>
    </row>
    <row r="5" spans="4:22" s="16" customFormat="1" ht="15" hidden="1" outlineLevel="1" thickBot="1" x14ac:dyDescent="0.35">
      <c r="D5" s="16">
        <v>3</v>
      </c>
      <c r="E5" s="17" t="s">
        <v>4</v>
      </c>
      <c r="F5" s="17" t="s">
        <v>4</v>
      </c>
      <c r="G5" s="17" t="s">
        <v>4</v>
      </c>
      <c r="H5" s="18" t="s">
        <v>4</v>
      </c>
      <c r="I5" s="19">
        <v>123.456789</v>
      </c>
      <c r="J5" s="19">
        <v>123.456789</v>
      </c>
      <c r="K5" s="19">
        <v>123.456789</v>
      </c>
      <c r="L5" s="19">
        <v>123.456789</v>
      </c>
      <c r="M5" s="19">
        <v>123.456789</v>
      </c>
      <c r="N5" s="19">
        <v>123.456789</v>
      </c>
      <c r="O5" s="19">
        <v>123.456789</v>
      </c>
      <c r="P5" s="19">
        <v>123.456789</v>
      </c>
      <c r="Q5" s="19">
        <v>123.456789</v>
      </c>
      <c r="R5" s="19">
        <v>123.456789</v>
      </c>
      <c r="S5" s="19">
        <v>123.456789</v>
      </c>
      <c r="T5" s="19">
        <v>123.456789</v>
      </c>
      <c r="U5" s="19">
        <v>123.456789</v>
      </c>
    </row>
    <row r="6" spans="4:22" s="20" customFormat="1" ht="15" hidden="1" outlineLevel="1" thickBot="1" x14ac:dyDescent="0.35">
      <c r="D6" s="20">
        <v>4</v>
      </c>
      <c r="E6" s="21" t="s">
        <v>4</v>
      </c>
      <c r="F6" s="21" t="s">
        <v>4</v>
      </c>
      <c r="G6" s="21" t="s">
        <v>4</v>
      </c>
      <c r="H6" s="22" t="s">
        <v>4</v>
      </c>
      <c r="I6" s="23">
        <v>123.456789</v>
      </c>
      <c r="J6" s="23">
        <v>123.456789</v>
      </c>
      <c r="K6" s="23">
        <v>123.456789</v>
      </c>
      <c r="L6" s="23">
        <v>123.456789</v>
      </c>
      <c r="M6" s="23">
        <v>123.456789</v>
      </c>
      <c r="N6" s="23">
        <v>123.456789</v>
      </c>
      <c r="O6" s="23">
        <v>123.456789</v>
      </c>
      <c r="P6" s="23">
        <v>123.456789</v>
      </c>
      <c r="Q6" s="23">
        <v>123.456789</v>
      </c>
      <c r="R6" s="23">
        <v>123.456789</v>
      </c>
      <c r="S6" s="23">
        <v>123.456789</v>
      </c>
      <c r="T6" s="23">
        <v>123.456789</v>
      </c>
      <c r="U6" s="23">
        <v>123.456789</v>
      </c>
    </row>
    <row r="7" spans="4:22" s="24" customFormat="1" ht="15" hidden="1" outlineLevel="1" thickBot="1" x14ac:dyDescent="0.35">
      <c r="D7" s="24">
        <v>5</v>
      </c>
      <c r="E7" s="25" t="s">
        <v>4</v>
      </c>
      <c r="F7" s="25" t="s">
        <v>4</v>
      </c>
      <c r="G7" s="25" t="s">
        <v>4</v>
      </c>
      <c r="H7" s="26" t="s">
        <v>4</v>
      </c>
      <c r="I7" s="27">
        <v>123.456789</v>
      </c>
      <c r="J7" s="27">
        <v>123.456789</v>
      </c>
      <c r="K7" s="27">
        <v>123.456789</v>
      </c>
      <c r="L7" s="27">
        <v>123.456789</v>
      </c>
      <c r="M7" s="27">
        <v>123.456789</v>
      </c>
      <c r="N7" s="27">
        <v>123.456789</v>
      </c>
      <c r="O7" s="27">
        <v>123.456789</v>
      </c>
      <c r="P7" s="27">
        <v>123.456789</v>
      </c>
      <c r="Q7" s="27">
        <v>123.456789</v>
      </c>
      <c r="R7" s="27">
        <v>123.456789</v>
      </c>
      <c r="S7" s="27">
        <v>123.456789</v>
      </c>
      <c r="T7" s="27">
        <v>123.456789</v>
      </c>
      <c r="U7" s="27">
        <v>123.456789</v>
      </c>
    </row>
    <row r="8" spans="4:22" s="32" customFormat="1" ht="15" hidden="1" outlineLevel="1" thickBot="1" x14ac:dyDescent="0.35">
      <c r="D8" s="28" t="s">
        <v>1</v>
      </c>
      <c r="E8" s="29" t="s">
        <v>4</v>
      </c>
      <c r="F8" s="29" t="s">
        <v>4</v>
      </c>
      <c r="G8" s="29" t="s">
        <v>4</v>
      </c>
      <c r="H8" s="30" t="s">
        <v>4</v>
      </c>
      <c r="I8" s="31">
        <v>123.456789</v>
      </c>
      <c r="J8" s="31">
        <v>123.456789</v>
      </c>
      <c r="K8" s="31">
        <v>123.456789</v>
      </c>
      <c r="L8" s="31">
        <v>123.456789</v>
      </c>
      <c r="M8" s="31">
        <v>123.456789</v>
      </c>
      <c r="N8" s="31">
        <v>123.456789</v>
      </c>
      <c r="O8" s="31">
        <v>123.456789</v>
      </c>
      <c r="P8" s="31">
        <v>123.456789</v>
      </c>
      <c r="Q8" s="31">
        <v>123.456789</v>
      </c>
      <c r="R8" s="31">
        <v>123.456789</v>
      </c>
      <c r="S8" s="31">
        <v>123.456789</v>
      </c>
      <c r="T8" s="31">
        <v>123.456789</v>
      </c>
      <c r="U8" s="31">
        <v>123.456789</v>
      </c>
    </row>
    <row r="9" spans="4:22" s="37" customFormat="1" ht="15" hidden="1" outlineLevel="1" thickBot="1" x14ac:dyDescent="0.35">
      <c r="D9" s="33" t="s">
        <v>2</v>
      </c>
      <c r="E9" s="34" t="s">
        <v>4</v>
      </c>
      <c r="F9" s="34" t="s">
        <v>4</v>
      </c>
      <c r="G9" s="34" t="s">
        <v>4</v>
      </c>
      <c r="H9" s="35" t="s">
        <v>4</v>
      </c>
      <c r="I9" s="36">
        <v>123.456789</v>
      </c>
      <c r="J9" s="36">
        <v>123.456789</v>
      </c>
      <c r="K9" s="36">
        <v>123.456789</v>
      </c>
      <c r="L9" s="36">
        <v>123.456789</v>
      </c>
      <c r="M9" s="36">
        <v>123.456789</v>
      </c>
      <c r="N9" s="36">
        <v>123.456789</v>
      </c>
      <c r="O9" s="36">
        <v>123.456789</v>
      </c>
      <c r="P9" s="36">
        <v>123.456789</v>
      </c>
      <c r="Q9" s="36">
        <v>123.456789</v>
      </c>
      <c r="R9" s="36">
        <v>123.456789</v>
      </c>
      <c r="S9" s="36">
        <v>123.456789</v>
      </c>
      <c r="T9" s="36">
        <v>123.456789</v>
      </c>
      <c r="U9" s="36">
        <v>123.456789</v>
      </c>
    </row>
    <row r="10" spans="4:22" hidden="1" outlineLevel="1" x14ac:dyDescent="0.3">
      <c r="D10" s="2" t="s">
        <v>3</v>
      </c>
    </row>
    <row r="11" spans="4:22" hidden="1" outlineLevel="1" x14ac:dyDescent="0.3"/>
    <row r="12" spans="4:22" hidden="1" outlineLevel="1" x14ac:dyDescent="0.3">
      <c r="E12" s="3" t="str">
        <f>_xll.TM1RPTVIEW("Bay-Ltd:nReporting_Financial:15695952",1,_xll.TM1RPTTITLE("Bay-Ltd:Version",$F$16),_xll.TM1RPTTITLE("Bay-Ltd:Currency",$F$17),_xll.TM1RPTTITLE("Bay-Ltd:Company",$F$18),_xll.TM1RPTTITLE("Bay-Ltd:Measure",$F$19),TM1RPTFMTRNG15695952,TM1RPTFMTIDCOL15695952)</f>
        <v>Bay-Ltd:nReporting_Financial:15695952</v>
      </c>
    </row>
    <row r="13" spans="4:22" ht="15" hidden="1" outlineLevel="1" thickBot="1" x14ac:dyDescent="0.35"/>
    <row r="14" spans="4:22" ht="30.6" collapsed="1" thickBot="1" x14ac:dyDescent="0.35">
      <c r="E14" s="49" t="s">
        <v>55</v>
      </c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1"/>
    </row>
    <row r="15" spans="4:22" hidden="1" outlineLevel="1" x14ac:dyDescent="0.3"/>
    <row r="16" spans="4:22" hidden="1" outlineLevel="1" x14ac:dyDescent="0.3">
      <c r="E16" s="38" t="s">
        <v>5</v>
      </c>
      <c r="F16" s="39" t="str">
        <f>"Actual"</f>
        <v>Actual</v>
      </c>
      <c r="G16" s="40"/>
    </row>
    <row r="17" spans="1:21" hidden="1" outlineLevel="1" x14ac:dyDescent="0.3">
      <c r="A17" s="3" t="str">
        <f>_xll.TM1PRIMARYDBNAME()</f>
        <v>Bay-Ltd</v>
      </c>
      <c r="E17" s="38" t="s">
        <v>6</v>
      </c>
      <c r="F17" s="39" t="str">
        <f>"Local Currency"</f>
        <v>Local Currency</v>
      </c>
      <c r="G17" s="40"/>
    </row>
    <row r="18" spans="1:21" hidden="1" outlineLevel="1" x14ac:dyDescent="0.3">
      <c r="A18" s="3" t="s">
        <v>32</v>
      </c>
      <c r="B18" s="3" t="str">
        <f t="shared" ref="B18:B29" si="0">_xlfn.CONCAT(Server,":",$A18)</f>
        <v>Bay-Ltd:}ElementAttributes_Account</v>
      </c>
      <c r="E18" s="38" t="s">
        <v>7</v>
      </c>
      <c r="F18" s="39" t="str">
        <f>"4"</f>
        <v>4</v>
      </c>
      <c r="G18" s="40"/>
    </row>
    <row r="19" spans="1:21" hidden="1" outlineLevel="1" x14ac:dyDescent="0.3">
      <c r="A19" s="3" t="s">
        <v>5</v>
      </c>
      <c r="B19" s="3" t="str">
        <f t="shared" si="0"/>
        <v>Bay-Ltd:Version</v>
      </c>
      <c r="E19" s="38" t="s">
        <v>8</v>
      </c>
      <c r="F19" s="39" t="str">
        <f>"Amount"</f>
        <v>Amount</v>
      </c>
      <c r="G19" s="40"/>
    </row>
    <row r="20" spans="1:21" collapsed="1" x14ac:dyDescent="0.3">
      <c r="A20" s="3" t="s">
        <v>6</v>
      </c>
      <c r="B20" s="3" t="str">
        <f t="shared" si="0"/>
        <v>Bay-Ltd:Currency</v>
      </c>
      <c r="E20" s="45" t="s">
        <v>30</v>
      </c>
      <c r="F20" s="46" t="str">
        <f>_xll.SUBNM("Bay-Ltd:nLocation","Default","All_Locations","Caption")</f>
        <v>All_Locations</v>
      </c>
    </row>
    <row r="21" spans="1:21" x14ac:dyDescent="0.3">
      <c r="A21" s="3" t="s">
        <v>7</v>
      </c>
      <c r="B21" s="3" t="str">
        <f t="shared" si="0"/>
        <v>Bay-Ltd:Company</v>
      </c>
      <c r="E21" s="47" t="s">
        <v>31</v>
      </c>
      <c r="F21" s="48" t="str">
        <f>_xll.SUBNM($B$27,"LeafYear","2026")</f>
        <v>2026</v>
      </c>
    </row>
    <row r="22" spans="1:21" ht="15" hidden="1" outlineLevel="1" thickBot="1" x14ac:dyDescent="0.35">
      <c r="A22" s="3" t="s">
        <v>8</v>
      </c>
      <c r="B22" s="3" t="str">
        <f t="shared" si="0"/>
        <v>Bay-Ltd:Measure</v>
      </c>
      <c r="I22" s="41" t="str">
        <f>I$23&amp;"-"&amp;$F$21</f>
        <v>01-2026</v>
      </c>
      <c r="J22" s="41" t="str">
        <f t="shared" ref="J22:T22" si="1">J$23&amp;"-"&amp;$F$21</f>
        <v>02-2026</v>
      </c>
      <c r="K22" s="41" t="str">
        <f t="shared" si="1"/>
        <v>03-2026</v>
      </c>
      <c r="L22" s="41" t="str">
        <f t="shared" si="1"/>
        <v>04-2026</v>
      </c>
      <c r="M22" s="41" t="str">
        <f t="shared" si="1"/>
        <v>05-2026</v>
      </c>
      <c r="N22" s="41" t="str">
        <f t="shared" si="1"/>
        <v>06-2026</v>
      </c>
      <c r="O22" s="41" t="str">
        <f t="shared" si="1"/>
        <v>07-2026</v>
      </c>
      <c r="P22" s="41" t="str">
        <f t="shared" si="1"/>
        <v>08-2026</v>
      </c>
      <c r="Q22" s="41" t="str">
        <f t="shared" si="1"/>
        <v>09-2026</v>
      </c>
      <c r="R22" s="41" t="str">
        <f t="shared" si="1"/>
        <v>10-2026</v>
      </c>
      <c r="S22" s="41" t="str">
        <f t="shared" si="1"/>
        <v>11-2026</v>
      </c>
      <c r="T22" s="41" t="str">
        <f t="shared" si="1"/>
        <v>12-2026</v>
      </c>
      <c r="U22" s="41" t="s">
        <v>9</v>
      </c>
    </row>
    <row r="23" spans="1:21" ht="15" hidden="1" outlineLevel="1" thickBot="1" x14ac:dyDescent="0.35">
      <c r="A23" s="3" t="s">
        <v>33</v>
      </c>
      <c r="B23" s="3" t="str">
        <f t="shared" si="0"/>
        <v>Bay-Ltd:Account</v>
      </c>
      <c r="I23" s="41" t="s">
        <v>39</v>
      </c>
      <c r="J23" s="41" t="s">
        <v>40</v>
      </c>
      <c r="K23" s="41" t="s">
        <v>41</v>
      </c>
      <c r="L23" s="41" t="s">
        <v>42</v>
      </c>
      <c r="M23" s="41" t="s">
        <v>43</v>
      </c>
      <c r="N23" s="41" t="s">
        <v>44</v>
      </c>
      <c r="O23" s="41" t="s">
        <v>45</v>
      </c>
      <c r="P23" s="41" t="s">
        <v>46</v>
      </c>
      <c r="Q23" s="41" t="s">
        <v>47</v>
      </c>
      <c r="R23" s="41" t="s">
        <v>48</v>
      </c>
      <c r="S23" s="41" t="s">
        <v>49</v>
      </c>
      <c r="T23" s="41" t="s">
        <v>50</v>
      </c>
      <c r="U23" s="41"/>
    </row>
    <row r="24" spans="1:21" ht="15" hidden="1" outlineLevel="1" thickBot="1" x14ac:dyDescent="0.35">
      <c r="A24" s="3" t="s">
        <v>34</v>
      </c>
      <c r="B24" s="3" t="str">
        <f t="shared" si="0"/>
        <v>Bay-Ltd:Division</v>
      </c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</row>
    <row r="25" spans="1:21" ht="15" hidden="1" outlineLevel="1" thickBot="1" x14ac:dyDescent="0.35">
      <c r="A25" s="3" t="s">
        <v>35</v>
      </c>
      <c r="B25" s="3" t="str">
        <f t="shared" si="0"/>
        <v>Bay-Ltd:Department</v>
      </c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</row>
    <row r="26" spans="1:21" ht="15" hidden="1" outlineLevel="1" thickBot="1" x14ac:dyDescent="0.35">
      <c r="A26" s="3" t="s">
        <v>30</v>
      </c>
      <c r="B26" s="3" t="str">
        <f t="shared" si="0"/>
        <v>Bay-Ltd:Location</v>
      </c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</row>
    <row r="27" spans="1:21" ht="15" hidden="1" outlineLevel="1" thickBot="1" x14ac:dyDescent="0.35">
      <c r="A27" s="3" t="s">
        <v>36</v>
      </c>
      <c r="B27" s="3" t="str">
        <f t="shared" si="0"/>
        <v>Bay-Ltd:Fiscal_Year</v>
      </c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</row>
    <row r="28" spans="1:21" ht="15" hidden="1" outlineLevel="1" thickBot="1" x14ac:dyDescent="0.35">
      <c r="A28" s="3" t="s">
        <v>37</v>
      </c>
      <c r="B28" s="3" t="str">
        <f t="shared" si="0"/>
        <v>Bay-Ltd:}ElementAttributes_Division</v>
      </c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</row>
    <row r="29" spans="1:21" ht="15" hidden="1" outlineLevel="1" thickBot="1" x14ac:dyDescent="0.35">
      <c r="A29" s="3" t="s">
        <v>38</v>
      </c>
      <c r="B29" s="3" t="str">
        <f t="shared" si="0"/>
        <v>Bay-Ltd:}ElementAttributes_Department</v>
      </c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</row>
    <row r="30" spans="1:21" ht="15" hidden="1" outlineLevel="1" thickBot="1" x14ac:dyDescent="0.35"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</row>
    <row r="31" spans="1:21" hidden="1" outlineLevel="1" x14ac:dyDescent="0.3"/>
    <row r="32" spans="1:21" collapsed="1" x14ac:dyDescent="0.3"/>
    <row r="33" spans="4:21" ht="15" thickBot="1" x14ac:dyDescent="0.35">
      <c r="E33" s="44" t="s">
        <v>54</v>
      </c>
      <c r="F33" s="44" t="s">
        <v>51</v>
      </c>
      <c r="G33" s="44" t="s">
        <v>52</v>
      </c>
      <c r="H33" s="44" t="s">
        <v>53</v>
      </c>
      <c r="I33" s="44" t="str">
        <f>TEXT(I$23*28,"MMMM")</f>
        <v>January</v>
      </c>
      <c r="J33" s="44" t="str">
        <f t="shared" ref="J33:T33" si="2">TEXT(J$23*28,"MMMM")</f>
        <v>February</v>
      </c>
      <c r="K33" s="44" t="str">
        <f t="shared" si="2"/>
        <v>March</v>
      </c>
      <c r="L33" s="44" t="str">
        <f t="shared" si="2"/>
        <v>April</v>
      </c>
      <c r="M33" s="44" t="str">
        <f t="shared" si="2"/>
        <v>May</v>
      </c>
      <c r="N33" s="44" t="str">
        <f t="shared" si="2"/>
        <v>June</v>
      </c>
      <c r="O33" s="44" t="str">
        <f t="shared" si="2"/>
        <v>July</v>
      </c>
      <c r="P33" s="44" t="str">
        <f t="shared" si="2"/>
        <v>August</v>
      </c>
      <c r="Q33" s="44" t="str">
        <f t="shared" si="2"/>
        <v>September</v>
      </c>
      <c r="R33" s="44" t="str">
        <f t="shared" si="2"/>
        <v>October</v>
      </c>
      <c r="S33" s="44" t="str">
        <f t="shared" si="2"/>
        <v>November</v>
      </c>
      <c r="T33" s="44" t="str">
        <f t="shared" si="2"/>
        <v>December</v>
      </c>
      <c r="U33" s="44" t="str">
        <f>"YTD"&amp;"-"&amp;$F$21</f>
        <v>YTD-2026</v>
      </c>
    </row>
    <row r="34" spans="4:21" s="37" customFormat="1" ht="15" outlineLevel="1" thickBot="1" x14ac:dyDescent="0.35">
      <c r="D34" s="33" t="str">
        <f>IF(_xll.TM1RPTELISCONSOLIDATED($H$34,$H34),IF(_xll.TM1RPTELLEV($H$34,$H34)&lt;=5,_xll.TM1RPTELLEV($H$34,$H34),"Default"),"Leaf")</f>
        <v>Leaf</v>
      </c>
      <c r="E34" s="42" t="str">
        <f>_xll.TM1RPTROW($E$12,"Bay-Ltd:Division_Department","LeafLevel",,"Caption")</f>
        <v>RIGGING/HAULING</v>
      </c>
      <c r="F34" s="34" t="str">
        <f>_xll.DBR($B$18,$H34,"Account_Type")</f>
        <v>NON LABOR</v>
      </c>
      <c r="G34" s="34" t="str">
        <f>_xll.DBR($B$18,$H34,"Description")</f>
        <v>Travel &amp; Lodging</v>
      </c>
      <c r="H34" s="43" t="str">
        <f>_xll.TM1RPTROW($E$12,"Bay-Ltd:Account","Non Labour",,"MEMBER_NAME")</f>
        <v>510056100000000</v>
      </c>
      <c r="I34" s="36">
        <f>_xll.DBRW($E$12,$F$16,$F$17,$F$18,$E34,$F$20,I$22,$H34,$F$19)</f>
        <v>1548.3</v>
      </c>
      <c r="J34" s="36">
        <f>_xll.DBRW($E$12,$F$16,$F$17,$F$18,$E34,$F$20,J$22,$H34,$F$19)</f>
        <v>5799.51</v>
      </c>
      <c r="K34" s="36">
        <f>_xll.DBRW($E$12,$F$16,$F$17,$F$18,$E34,$F$20,K$22,$H34,$F$19)</f>
        <v>0</v>
      </c>
      <c r="L34" s="36">
        <f>_xll.DBRW($E$12,$F$16,$F$17,$F$18,$E34,$F$20,L$22,$H34,$F$19)</f>
        <v>906.4</v>
      </c>
      <c r="M34" s="36">
        <f>_xll.DBRW($E$12,$F$16,$F$17,$F$18,$E34,$F$20,M$22,$H34,$F$19)</f>
        <v>13911.69</v>
      </c>
      <c r="N34" s="36">
        <f>_xll.DBRW($E$12,$F$16,$F$17,$F$18,$E34,$F$20,N$22,$H34,$F$19)</f>
        <v>2857.52</v>
      </c>
      <c r="O34" s="36">
        <f>_xll.DBRW($E$12,$F$16,$F$17,$F$18,$E34,$F$20,O$22,$H34,$F$19)</f>
        <v>0</v>
      </c>
      <c r="P34" s="36">
        <f>_xll.DBRW($E$12,$F$16,$F$17,$F$18,$E34,$F$20,P$22,$H34,$F$19)</f>
        <v>0</v>
      </c>
      <c r="Q34" s="36">
        <f>_xll.DBRW($E$12,$F$16,$F$17,$F$18,$E34,$F$20,Q$22,$H34,$F$19)</f>
        <v>0</v>
      </c>
      <c r="R34" s="36">
        <f>_xll.DBRW($E$12,$F$16,$F$17,$F$18,$E34,$F$20,R$22,$H34,$F$19)</f>
        <v>0</v>
      </c>
      <c r="S34" s="36">
        <f>_xll.DBRW($E$12,$F$16,$F$17,$F$18,$E34,$F$20,S$22,$H34,$F$19)</f>
        <v>0</v>
      </c>
      <c r="T34" s="36">
        <f>_xll.DBRW($E$12,$F$16,$F$17,$F$18,$E34,$F$20,T$22,$H34,$F$19)</f>
        <v>0</v>
      </c>
      <c r="U34" s="36">
        <f>_xll.DBRW($E$12,$F$16,$F$17,$F$18,$E34,$F$20,U$22,$H34,$F$19)</f>
        <v>25023.420000000002</v>
      </c>
    </row>
    <row r="35" spans="4:21" s="37" customFormat="1" ht="15" outlineLevel="1" thickBot="1" x14ac:dyDescent="0.35">
      <c r="D35" s="33" t="str">
        <f>IF(_xll.TM1RPTELISCONSOLIDATED($H$34,$H35),IF(_xll.TM1RPTELLEV($H$34,$H35)&lt;=5,_xll.TM1RPTELLEV($H$34,$H35),"Default"),"Leaf")</f>
        <v>Leaf</v>
      </c>
      <c r="E35" s="42" t="s">
        <v>670</v>
      </c>
      <c r="F35" s="34" t="str">
        <f>_xll.DBR($B$18,$H35,"Account_Type")</f>
        <v>NON LABOR</v>
      </c>
      <c r="G35" s="34" t="str">
        <f>_xll.DBR($B$18,$H35,"Description")</f>
        <v>Travel &amp; Lodging</v>
      </c>
      <c r="H35" s="43" t="s">
        <v>70</v>
      </c>
      <c r="I35" s="36">
        <f>_xll.DBRW($E$12,$F$16,$F$17,$F$18,$E35,$F$20,I$22,$H35,$F$19)</f>
        <v>100</v>
      </c>
      <c r="J35" s="36">
        <f>_xll.DBRW($E$12,$F$16,$F$17,$F$18,$E35,$F$20,J$22,$H35,$F$19)</f>
        <v>150</v>
      </c>
      <c r="K35" s="36">
        <f>_xll.DBRW($E$12,$F$16,$F$17,$F$18,$E35,$F$20,K$22,$H35,$F$19)</f>
        <v>169.39</v>
      </c>
      <c r="L35" s="36">
        <f>_xll.DBRW($E$12,$F$16,$F$17,$F$18,$E35,$F$20,L$22,$H35,$F$19)</f>
        <v>97.44</v>
      </c>
      <c r="M35" s="36">
        <f>_xll.DBRW($E$12,$F$16,$F$17,$F$18,$E35,$F$20,M$22,$H35,$F$19)</f>
        <v>150.91999999999999</v>
      </c>
      <c r="N35" s="36">
        <f>_xll.DBRW($E$12,$F$16,$F$17,$F$18,$E35,$F$20,N$22,$H35,$F$19)</f>
        <v>100</v>
      </c>
      <c r="O35" s="36">
        <f>_xll.DBRW($E$12,$F$16,$F$17,$F$18,$E35,$F$20,O$22,$H35,$F$19)</f>
        <v>0</v>
      </c>
      <c r="P35" s="36">
        <f>_xll.DBRW($E$12,$F$16,$F$17,$F$18,$E35,$F$20,P$22,$H35,$F$19)</f>
        <v>0</v>
      </c>
      <c r="Q35" s="36">
        <f>_xll.DBRW($E$12,$F$16,$F$17,$F$18,$E35,$F$20,Q$22,$H35,$F$19)</f>
        <v>0</v>
      </c>
      <c r="R35" s="36">
        <f>_xll.DBRW($E$12,$F$16,$F$17,$F$18,$E35,$F$20,R$22,$H35,$F$19)</f>
        <v>0</v>
      </c>
      <c r="S35" s="36">
        <f>_xll.DBRW($E$12,$F$16,$F$17,$F$18,$E35,$F$20,S$22,$H35,$F$19)</f>
        <v>0</v>
      </c>
      <c r="T35" s="36">
        <f>_xll.DBRW($E$12,$F$16,$F$17,$F$18,$E35,$F$20,T$22,$H35,$F$19)</f>
        <v>0</v>
      </c>
      <c r="U35" s="36">
        <f>_xll.DBRW($E$12,$F$16,$F$17,$F$18,$E35,$F$20,U$22,$H35,$F$19)</f>
        <v>767.74999999999989</v>
      </c>
    </row>
    <row r="36" spans="4:21" s="37" customFormat="1" ht="15" outlineLevel="1" thickBot="1" x14ac:dyDescent="0.35">
      <c r="D36" s="33" t="str">
        <f>IF(_xll.TM1RPTELISCONSOLIDATED($H$34,$H36),IF(_xll.TM1RPTELLEV($H$34,$H36)&lt;=5,_xll.TM1RPTELLEV($H$34,$H36),"Default"),"Leaf")</f>
        <v>Leaf</v>
      </c>
      <c r="E36" s="42" t="s">
        <v>670</v>
      </c>
      <c r="F36" s="34" t="str">
        <f>_xll.DBR($B$18,$H36,"Account_Type")</f>
        <v>NON LABOR</v>
      </c>
      <c r="G36" s="34" t="str">
        <f>_xll.DBR($B$18,$H36,"Description")</f>
        <v>Travel &amp; Lodging</v>
      </c>
      <c r="H36" s="43" t="s">
        <v>71</v>
      </c>
      <c r="I36" s="36">
        <f>_xll.DBRW($E$12,$F$16,$F$17,$F$18,$E36,$F$20,I$22,$H36,$F$19)</f>
        <v>11845</v>
      </c>
      <c r="J36" s="36">
        <f>_xll.DBRW($E$12,$F$16,$F$17,$F$18,$E36,$F$20,J$22,$H36,$F$19)</f>
        <v>6916.12</v>
      </c>
      <c r="K36" s="36">
        <f>_xll.DBRW($E$12,$F$16,$F$17,$F$18,$E36,$F$20,K$22,$H36,$F$19)</f>
        <v>11032.75</v>
      </c>
      <c r="L36" s="36">
        <f>_xll.DBRW($E$12,$F$16,$F$17,$F$18,$E36,$F$20,L$22,$H36,$F$19)</f>
        <v>4342.72</v>
      </c>
      <c r="M36" s="36">
        <f>_xll.DBRW($E$12,$F$16,$F$17,$F$18,$E36,$F$20,M$22,$H36,$F$19)</f>
        <v>4495.4799999999996</v>
      </c>
      <c r="N36" s="36">
        <f>_xll.DBRW($E$12,$F$16,$F$17,$F$18,$E36,$F$20,N$22,$H36,$F$19)</f>
        <v>3535.59</v>
      </c>
      <c r="O36" s="36">
        <f>_xll.DBRW($E$12,$F$16,$F$17,$F$18,$E36,$F$20,O$22,$H36,$F$19)</f>
        <v>2160</v>
      </c>
      <c r="P36" s="36">
        <f>_xll.DBRW($E$12,$F$16,$F$17,$F$18,$E36,$F$20,P$22,$H36,$F$19)</f>
        <v>0</v>
      </c>
      <c r="Q36" s="36">
        <f>_xll.DBRW($E$12,$F$16,$F$17,$F$18,$E36,$F$20,Q$22,$H36,$F$19)</f>
        <v>0</v>
      </c>
      <c r="R36" s="36">
        <f>_xll.DBRW($E$12,$F$16,$F$17,$F$18,$E36,$F$20,R$22,$H36,$F$19)</f>
        <v>0</v>
      </c>
      <c r="S36" s="36">
        <f>_xll.DBRW($E$12,$F$16,$F$17,$F$18,$E36,$F$20,S$22,$H36,$F$19)</f>
        <v>0</v>
      </c>
      <c r="T36" s="36">
        <f>_xll.DBRW($E$12,$F$16,$F$17,$F$18,$E36,$F$20,T$22,$H36,$F$19)</f>
        <v>0</v>
      </c>
      <c r="U36" s="36">
        <f>_xll.DBRW($E$12,$F$16,$F$17,$F$18,$E36,$F$20,U$22,$H36,$F$19)</f>
        <v>44327.659999999989</v>
      </c>
    </row>
    <row r="37" spans="4:21" s="37" customFormat="1" ht="15" outlineLevel="1" thickBot="1" x14ac:dyDescent="0.35">
      <c r="D37" s="33" t="str">
        <f>IF(_xll.TM1RPTELISCONSOLIDATED($H$34,$H37),IF(_xll.TM1RPTELLEV($H$34,$H37)&lt;=5,_xll.TM1RPTELLEV($H$34,$H37),"Default"),"Leaf")</f>
        <v>Leaf</v>
      </c>
      <c r="E37" s="42" t="s">
        <v>670</v>
      </c>
      <c r="F37" s="34" t="str">
        <f>_xll.DBR($B$18,$H37,"Account_Type")</f>
        <v>NON LABOR</v>
      </c>
      <c r="G37" s="34" t="str">
        <f>_xll.DBR($B$18,$H37,"Description")</f>
        <v>Travel &amp; Lodging</v>
      </c>
      <c r="H37" s="43" t="s">
        <v>72</v>
      </c>
      <c r="I37" s="36">
        <f>_xll.DBRW($E$12,$F$16,$F$17,$F$18,$E37,$F$20,I$22,$H37,$F$19)</f>
        <v>0</v>
      </c>
      <c r="J37" s="36">
        <f>_xll.DBRW($E$12,$F$16,$F$17,$F$18,$E37,$F$20,J$22,$H37,$F$19)</f>
        <v>0</v>
      </c>
      <c r="K37" s="36">
        <f>_xll.DBRW($E$12,$F$16,$F$17,$F$18,$E37,$F$20,K$22,$H37,$F$19)</f>
        <v>0</v>
      </c>
      <c r="L37" s="36">
        <f>_xll.DBRW($E$12,$F$16,$F$17,$F$18,$E37,$F$20,L$22,$H37,$F$19)</f>
        <v>240</v>
      </c>
      <c r="M37" s="36">
        <f>_xll.DBRW($E$12,$F$16,$F$17,$F$18,$E37,$F$20,M$22,$H37,$F$19)</f>
        <v>0</v>
      </c>
      <c r="N37" s="36">
        <f>_xll.DBRW($E$12,$F$16,$F$17,$F$18,$E37,$F$20,N$22,$H37,$F$19)</f>
        <v>0</v>
      </c>
      <c r="O37" s="36">
        <f>_xll.DBRW($E$12,$F$16,$F$17,$F$18,$E37,$F$20,O$22,$H37,$F$19)</f>
        <v>0</v>
      </c>
      <c r="P37" s="36">
        <f>_xll.DBRW($E$12,$F$16,$F$17,$F$18,$E37,$F$20,P$22,$H37,$F$19)</f>
        <v>0</v>
      </c>
      <c r="Q37" s="36">
        <f>_xll.DBRW($E$12,$F$16,$F$17,$F$18,$E37,$F$20,Q$22,$H37,$F$19)</f>
        <v>0</v>
      </c>
      <c r="R37" s="36">
        <f>_xll.DBRW($E$12,$F$16,$F$17,$F$18,$E37,$F$20,R$22,$H37,$F$19)</f>
        <v>0</v>
      </c>
      <c r="S37" s="36">
        <f>_xll.DBRW($E$12,$F$16,$F$17,$F$18,$E37,$F$20,S$22,$H37,$F$19)</f>
        <v>0</v>
      </c>
      <c r="T37" s="36">
        <f>_xll.DBRW($E$12,$F$16,$F$17,$F$18,$E37,$F$20,T$22,$H37,$F$19)</f>
        <v>0</v>
      </c>
      <c r="U37" s="36">
        <f>_xll.DBRW($E$12,$F$16,$F$17,$F$18,$E37,$F$20,U$22,$H37,$F$19)</f>
        <v>240</v>
      </c>
    </row>
    <row r="38" spans="4:21" s="37" customFormat="1" ht="15" outlineLevel="1" thickBot="1" x14ac:dyDescent="0.35">
      <c r="D38" s="33" t="str">
        <f>IF(_xll.TM1RPTELISCONSOLIDATED($H$34,$H38),IF(_xll.TM1RPTELLEV($H$34,$H38)&lt;=5,_xll.TM1RPTELLEV($H$34,$H38),"Default"),"Leaf")</f>
        <v>Leaf</v>
      </c>
      <c r="E38" s="42" t="s">
        <v>670</v>
      </c>
      <c r="F38" s="34" t="str">
        <f>_xll.DBR($B$18,$H38,"Account_Type")</f>
        <v>NON LABOR</v>
      </c>
      <c r="G38" s="34" t="str">
        <f>_xll.DBR($B$18,$H38,"Description")</f>
        <v>Travel &amp; Lodging</v>
      </c>
      <c r="H38" s="43" t="s">
        <v>73</v>
      </c>
      <c r="I38" s="36">
        <f>_xll.DBRW($E$12,$F$16,$F$17,$F$18,$E38,$F$20,I$22,$H38,$F$19)</f>
        <v>12480</v>
      </c>
      <c r="J38" s="36">
        <f>_xll.DBRW($E$12,$F$16,$F$17,$F$18,$E38,$F$20,J$22,$H38,$F$19)</f>
        <v>19060</v>
      </c>
      <c r="K38" s="36">
        <f>_xll.DBRW($E$12,$F$16,$F$17,$F$18,$E38,$F$20,K$22,$H38,$F$19)</f>
        <v>29657.4</v>
      </c>
      <c r="L38" s="36">
        <f>_xll.DBRW($E$12,$F$16,$F$17,$F$18,$E38,$F$20,L$22,$H38,$F$19)</f>
        <v>35820</v>
      </c>
      <c r="M38" s="36">
        <f>_xll.DBRW($E$12,$F$16,$F$17,$F$18,$E38,$F$20,M$22,$H38,$F$19)</f>
        <v>37410</v>
      </c>
      <c r="N38" s="36">
        <f>_xll.DBRW($E$12,$F$16,$F$17,$F$18,$E38,$F$20,N$22,$H38,$F$19)</f>
        <v>22670</v>
      </c>
      <c r="O38" s="36">
        <f>_xll.DBRW($E$12,$F$16,$F$17,$F$18,$E38,$F$20,O$22,$H38,$F$19)</f>
        <v>14690</v>
      </c>
      <c r="P38" s="36">
        <f>_xll.DBRW($E$12,$F$16,$F$17,$F$18,$E38,$F$20,P$22,$H38,$F$19)</f>
        <v>0</v>
      </c>
      <c r="Q38" s="36">
        <f>_xll.DBRW($E$12,$F$16,$F$17,$F$18,$E38,$F$20,Q$22,$H38,$F$19)</f>
        <v>0</v>
      </c>
      <c r="R38" s="36">
        <f>_xll.DBRW($E$12,$F$16,$F$17,$F$18,$E38,$F$20,R$22,$H38,$F$19)</f>
        <v>0</v>
      </c>
      <c r="S38" s="36">
        <f>_xll.DBRW($E$12,$F$16,$F$17,$F$18,$E38,$F$20,S$22,$H38,$F$19)</f>
        <v>0</v>
      </c>
      <c r="T38" s="36">
        <f>_xll.DBRW($E$12,$F$16,$F$17,$F$18,$E38,$F$20,T$22,$H38,$F$19)</f>
        <v>0</v>
      </c>
      <c r="U38" s="36">
        <f>_xll.DBRW($E$12,$F$16,$F$17,$F$18,$E38,$F$20,U$22,$H38,$F$19)</f>
        <v>171787.4</v>
      </c>
    </row>
    <row r="39" spans="4:21" s="37" customFormat="1" ht="15" outlineLevel="1" thickBot="1" x14ac:dyDescent="0.35">
      <c r="D39" s="33" t="str">
        <f>IF(_xll.TM1RPTELISCONSOLIDATED($H$34,$H39),IF(_xll.TM1RPTELLEV($H$34,$H39)&lt;=5,_xll.TM1RPTELLEV($H$34,$H39),"Default"),"Leaf")</f>
        <v>Leaf</v>
      </c>
      <c r="E39" s="42" t="s">
        <v>670</v>
      </c>
      <c r="F39" s="34" t="str">
        <f>_xll.DBR($B$18,$H39,"Account_Type")</f>
        <v>NON LABOR</v>
      </c>
      <c r="G39" s="34" t="str">
        <f>_xll.DBR($B$18,$H39,"Description")</f>
        <v>Travel &amp; Lodging</v>
      </c>
      <c r="H39" s="43" t="s">
        <v>74</v>
      </c>
      <c r="I39" s="36">
        <f>_xll.DBRW($E$12,$F$16,$F$17,$F$18,$E39,$F$20,I$22,$H39,$F$19)</f>
        <v>0</v>
      </c>
      <c r="J39" s="36">
        <f>_xll.DBRW($E$12,$F$16,$F$17,$F$18,$E39,$F$20,J$22,$H39,$F$19)</f>
        <v>167.11</v>
      </c>
      <c r="K39" s="36">
        <f>_xll.DBRW($E$12,$F$16,$F$17,$F$18,$E39,$F$20,K$22,$H39,$F$19)</f>
        <v>0</v>
      </c>
      <c r="L39" s="36">
        <f>_xll.DBRW($E$12,$F$16,$F$17,$F$18,$E39,$F$20,L$22,$H39,$F$19)</f>
        <v>177.1</v>
      </c>
      <c r="M39" s="36">
        <f>_xll.DBRW($E$12,$F$16,$F$17,$F$18,$E39,$F$20,M$22,$H39,$F$19)</f>
        <v>0</v>
      </c>
      <c r="N39" s="36">
        <f>_xll.DBRW($E$12,$F$16,$F$17,$F$18,$E39,$F$20,N$22,$H39,$F$19)</f>
        <v>256.32</v>
      </c>
      <c r="O39" s="36">
        <f>_xll.DBRW($E$12,$F$16,$F$17,$F$18,$E39,$F$20,O$22,$H39,$F$19)</f>
        <v>0</v>
      </c>
      <c r="P39" s="36">
        <f>_xll.DBRW($E$12,$F$16,$F$17,$F$18,$E39,$F$20,P$22,$H39,$F$19)</f>
        <v>0</v>
      </c>
      <c r="Q39" s="36">
        <f>_xll.DBRW($E$12,$F$16,$F$17,$F$18,$E39,$F$20,Q$22,$H39,$F$19)</f>
        <v>0</v>
      </c>
      <c r="R39" s="36">
        <f>_xll.DBRW($E$12,$F$16,$F$17,$F$18,$E39,$F$20,R$22,$H39,$F$19)</f>
        <v>0</v>
      </c>
      <c r="S39" s="36">
        <f>_xll.DBRW($E$12,$F$16,$F$17,$F$18,$E39,$F$20,S$22,$H39,$F$19)</f>
        <v>0</v>
      </c>
      <c r="T39" s="36">
        <f>_xll.DBRW($E$12,$F$16,$F$17,$F$18,$E39,$F$20,T$22,$H39,$F$19)</f>
        <v>0</v>
      </c>
      <c r="U39" s="36">
        <f>_xll.DBRW($E$12,$F$16,$F$17,$F$18,$E39,$F$20,U$22,$H39,$F$19)</f>
        <v>600.53</v>
      </c>
    </row>
    <row r="40" spans="4:21" s="37" customFormat="1" ht="15" outlineLevel="1" thickBot="1" x14ac:dyDescent="0.35">
      <c r="D40" s="33" t="str">
        <f>IF(_xll.TM1RPTELISCONSOLIDATED($H$34,$H40),IF(_xll.TM1RPTELLEV($H$34,$H40)&lt;=5,_xll.TM1RPTELLEV($H$34,$H40),"Default"),"Leaf")</f>
        <v>Leaf</v>
      </c>
      <c r="E40" s="42" t="s">
        <v>670</v>
      </c>
      <c r="F40" s="34" t="str">
        <f>_xll.DBR($B$18,$H40,"Account_Type")</f>
        <v>NON LABOR</v>
      </c>
      <c r="G40" s="34" t="str">
        <f>_xll.DBR($B$18,$H40,"Description")</f>
        <v>Client Development</v>
      </c>
      <c r="H40" s="43" t="s">
        <v>83</v>
      </c>
      <c r="I40" s="36">
        <f>_xll.DBRW($E$12,$F$16,$F$17,$F$18,$E40,$F$20,I$22,$H40,$F$19)</f>
        <v>0</v>
      </c>
      <c r="J40" s="36">
        <f>_xll.DBRW($E$12,$F$16,$F$17,$F$18,$E40,$F$20,J$22,$H40,$F$19)</f>
        <v>5175</v>
      </c>
      <c r="K40" s="36">
        <f>_xll.DBRW($E$12,$F$16,$F$17,$F$18,$E40,$F$20,K$22,$H40,$F$19)</f>
        <v>130.15</v>
      </c>
      <c r="L40" s="36">
        <f>_xll.DBRW($E$12,$F$16,$F$17,$F$18,$E40,$F$20,L$22,$H40,$F$19)</f>
        <v>1457.67</v>
      </c>
      <c r="M40" s="36">
        <f>_xll.DBRW($E$12,$F$16,$F$17,$F$18,$E40,$F$20,M$22,$H40,$F$19)</f>
        <v>4104.2700000000004</v>
      </c>
      <c r="N40" s="36">
        <f>_xll.DBRW($E$12,$F$16,$F$17,$F$18,$E40,$F$20,N$22,$H40,$F$19)</f>
        <v>457.99</v>
      </c>
      <c r="O40" s="36">
        <f>_xll.DBRW($E$12,$F$16,$F$17,$F$18,$E40,$F$20,O$22,$H40,$F$19)</f>
        <v>0</v>
      </c>
      <c r="P40" s="36">
        <f>_xll.DBRW($E$12,$F$16,$F$17,$F$18,$E40,$F$20,P$22,$H40,$F$19)</f>
        <v>0</v>
      </c>
      <c r="Q40" s="36">
        <f>_xll.DBRW($E$12,$F$16,$F$17,$F$18,$E40,$F$20,Q$22,$H40,$F$19)</f>
        <v>0</v>
      </c>
      <c r="R40" s="36">
        <f>_xll.DBRW($E$12,$F$16,$F$17,$F$18,$E40,$F$20,R$22,$H40,$F$19)</f>
        <v>0</v>
      </c>
      <c r="S40" s="36">
        <f>_xll.DBRW($E$12,$F$16,$F$17,$F$18,$E40,$F$20,S$22,$H40,$F$19)</f>
        <v>0</v>
      </c>
      <c r="T40" s="36">
        <f>_xll.DBRW($E$12,$F$16,$F$17,$F$18,$E40,$F$20,T$22,$H40,$F$19)</f>
        <v>0</v>
      </c>
      <c r="U40" s="36">
        <f>_xll.DBRW($E$12,$F$16,$F$17,$F$18,$E40,$F$20,U$22,$H40,$F$19)</f>
        <v>11325.08</v>
      </c>
    </row>
    <row r="41" spans="4:21" s="37" customFormat="1" ht="15" outlineLevel="1" thickBot="1" x14ac:dyDescent="0.35">
      <c r="D41" s="33" t="str">
        <f>IF(_xll.TM1RPTELISCONSOLIDATED($H$34,$H41),IF(_xll.TM1RPTELLEV($H$34,$H41)&lt;=5,_xll.TM1RPTELLEV($H$34,$H41),"Default"),"Leaf")</f>
        <v>Leaf</v>
      </c>
      <c r="E41" s="42" t="s">
        <v>670</v>
      </c>
      <c r="F41" s="34" t="str">
        <f>_xll.DBR($B$18,$H41,"Account_Type")</f>
        <v>NON LABOR</v>
      </c>
      <c r="G41" s="34" t="str">
        <f>_xll.DBR($B$18,$H41,"Description")</f>
        <v>Client Development</v>
      </c>
      <c r="H41" s="43" t="s">
        <v>84</v>
      </c>
      <c r="I41" s="36">
        <f>_xll.DBRW($E$12,$F$16,$F$17,$F$18,$E41,$F$20,I$22,$H41,$F$19)</f>
        <v>0</v>
      </c>
      <c r="J41" s="36">
        <f>_xll.DBRW($E$12,$F$16,$F$17,$F$18,$E41,$F$20,J$22,$H41,$F$19)</f>
        <v>96.47</v>
      </c>
      <c r="K41" s="36">
        <f>_xll.DBRW($E$12,$F$16,$F$17,$F$18,$E41,$F$20,K$22,$H41,$F$19)</f>
        <v>120.38</v>
      </c>
      <c r="L41" s="36">
        <f>_xll.DBRW($E$12,$F$16,$F$17,$F$18,$E41,$F$20,L$22,$H41,$F$19)</f>
        <v>199.4</v>
      </c>
      <c r="M41" s="36">
        <f>_xll.DBRW($E$12,$F$16,$F$17,$F$18,$E41,$F$20,M$22,$H41,$F$19)</f>
        <v>250.63</v>
      </c>
      <c r="N41" s="36">
        <f>_xll.DBRW($E$12,$F$16,$F$17,$F$18,$E41,$F$20,N$22,$H41,$F$19)</f>
        <v>80.75</v>
      </c>
      <c r="O41" s="36">
        <f>_xll.DBRW($E$12,$F$16,$F$17,$F$18,$E41,$F$20,O$22,$H41,$F$19)</f>
        <v>0</v>
      </c>
      <c r="P41" s="36">
        <f>_xll.DBRW($E$12,$F$16,$F$17,$F$18,$E41,$F$20,P$22,$H41,$F$19)</f>
        <v>0</v>
      </c>
      <c r="Q41" s="36">
        <f>_xll.DBRW($E$12,$F$16,$F$17,$F$18,$E41,$F$20,Q$22,$H41,$F$19)</f>
        <v>0</v>
      </c>
      <c r="R41" s="36">
        <f>_xll.DBRW($E$12,$F$16,$F$17,$F$18,$E41,$F$20,R$22,$H41,$F$19)</f>
        <v>0</v>
      </c>
      <c r="S41" s="36">
        <f>_xll.DBRW($E$12,$F$16,$F$17,$F$18,$E41,$F$20,S$22,$H41,$F$19)</f>
        <v>0</v>
      </c>
      <c r="T41" s="36">
        <f>_xll.DBRW($E$12,$F$16,$F$17,$F$18,$E41,$F$20,T$22,$H41,$F$19)</f>
        <v>0</v>
      </c>
      <c r="U41" s="36">
        <f>_xll.DBRW($E$12,$F$16,$F$17,$F$18,$E41,$F$20,U$22,$H41,$F$19)</f>
        <v>747.63</v>
      </c>
    </row>
    <row r="42" spans="4:21" s="37" customFormat="1" ht="15" outlineLevel="1" thickBot="1" x14ac:dyDescent="0.35">
      <c r="D42" s="33" t="str">
        <f>IF(_xll.TM1RPTELISCONSOLIDATED($H$34,$H42),IF(_xll.TM1RPTELLEV($H$34,$H42)&lt;=5,_xll.TM1RPTELLEV($H$34,$H42),"Default"),"Leaf")</f>
        <v>Leaf</v>
      </c>
      <c r="E42" s="42" t="s">
        <v>670</v>
      </c>
      <c r="F42" s="34" t="str">
        <f>_xll.DBR($B$18,$H42,"Account_Type")</f>
        <v>NON LABOR</v>
      </c>
      <c r="G42" s="34" t="str">
        <f>_xll.DBR($B$18,$H42,"Description")</f>
        <v>Client Development</v>
      </c>
      <c r="H42" s="43" t="s">
        <v>85</v>
      </c>
      <c r="I42" s="36">
        <f>_xll.DBRW($E$12,$F$16,$F$17,$F$18,$E42,$F$20,I$22,$H42,$F$19)</f>
        <v>3333.13</v>
      </c>
      <c r="J42" s="36">
        <f>_xll.DBRW($E$12,$F$16,$F$17,$F$18,$E42,$F$20,J$22,$H42,$F$19)</f>
        <v>2279.9499999999998</v>
      </c>
      <c r="K42" s="36">
        <f>_xll.DBRW($E$12,$F$16,$F$17,$F$18,$E42,$F$20,K$22,$H42,$F$19)</f>
        <v>419.68</v>
      </c>
      <c r="L42" s="36">
        <f>_xll.DBRW($E$12,$F$16,$F$17,$F$18,$E42,$F$20,L$22,$H42,$F$19)</f>
        <v>2487.96</v>
      </c>
      <c r="M42" s="36">
        <f>_xll.DBRW($E$12,$F$16,$F$17,$F$18,$E42,$F$20,M$22,$H42,$F$19)</f>
        <v>2651.69</v>
      </c>
      <c r="N42" s="36">
        <f>_xll.DBRW($E$12,$F$16,$F$17,$F$18,$E42,$F$20,N$22,$H42,$F$19)</f>
        <v>6882.29</v>
      </c>
      <c r="O42" s="36">
        <f>_xll.DBRW($E$12,$F$16,$F$17,$F$18,$E42,$F$20,O$22,$H42,$F$19)</f>
        <v>0</v>
      </c>
      <c r="P42" s="36">
        <f>_xll.DBRW($E$12,$F$16,$F$17,$F$18,$E42,$F$20,P$22,$H42,$F$19)</f>
        <v>0</v>
      </c>
      <c r="Q42" s="36">
        <f>_xll.DBRW($E$12,$F$16,$F$17,$F$18,$E42,$F$20,Q$22,$H42,$F$19)</f>
        <v>0</v>
      </c>
      <c r="R42" s="36">
        <f>_xll.DBRW($E$12,$F$16,$F$17,$F$18,$E42,$F$20,R$22,$H42,$F$19)</f>
        <v>0</v>
      </c>
      <c r="S42" s="36">
        <f>_xll.DBRW($E$12,$F$16,$F$17,$F$18,$E42,$F$20,S$22,$H42,$F$19)</f>
        <v>0</v>
      </c>
      <c r="T42" s="36">
        <f>_xll.DBRW($E$12,$F$16,$F$17,$F$18,$E42,$F$20,T$22,$H42,$F$19)</f>
        <v>0</v>
      </c>
      <c r="U42" s="36">
        <f>_xll.DBRW($E$12,$F$16,$F$17,$F$18,$E42,$F$20,U$22,$H42,$F$19)</f>
        <v>18054.7</v>
      </c>
    </row>
    <row r="43" spans="4:21" s="37" customFormat="1" ht="15" outlineLevel="1" thickBot="1" x14ac:dyDescent="0.35">
      <c r="D43" s="33" t="str">
        <f>IF(_xll.TM1RPTELISCONSOLIDATED($H$34,$H43),IF(_xll.TM1RPTELLEV($H$34,$H43)&lt;=5,_xll.TM1RPTELLEV($H$34,$H43),"Default"),"Leaf")</f>
        <v>Leaf</v>
      </c>
      <c r="E43" s="42" t="s">
        <v>670</v>
      </c>
      <c r="F43" s="34" t="str">
        <f>_xll.DBR($B$18,$H43,"Account_Type")</f>
        <v>NON LABOR</v>
      </c>
      <c r="G43" s="34" t="str">
        <f>_xll.DBR($B$18,$H43,"Description")</f>
        <v>Client Development</v>
      </c>
      <c r="H43" s="43" t="s">
        <v>86</v>
      </c>
      <c r="I43" s="36">
        <f>_xll.DBRW($E$12,$F$16,$F$17,$F$18,$E43,$F$20,I$22,$H43,$F$19)</f>
        <v>0</v>
      </c>
      <c r="J43" s="36">
        <f>_xll.DBRW($E$12,$F$16,$F$17,$F$18,$E43,$F$20,J$22,$H43,$F$19)</f>
        <v>0</v>
      </c>
      <c r="K43" s="36">
        <f>_xll.DBRW($E$12,$F$16,$F$17,$F$18,$E43,$F$20,K$22,$H43,$F$19)</f>
        <v>0</v>
      </c>
      <c r="L43" s="36">
        <f>_xll.DBRW($E$12,$F$16,$F$17,$F$18,$E43,$F$20,L$22,$H43,$F$19)</f>
        <v>0</v>
      </c>
      <c r="M43" s="36">
        <f>_xll.DBRW($E$12,$F$16,$F$17,$F$18,$E43,$F$20,M$22,$H43,$F$19)</f>
        <v>0</v>
      </c>
      <c r="N43" s="36">
        <f>_xll.DBRW($E$12,$F$16,$F$17,$F$18,$E43,$F$20,N$22,$H43,$F$19)</f>
        <v>2043.86</v>
      </c>
      <c r="O43" s="36">
        <f>_xll.DBRW($E$12,$F$16,$F$17,$F$18,$E43,$F$20,O$22,$H43,$F$19)</f>
        <v>0</v>
      </c>
      <c r="P43" s="36">
        <f>_xll.DBRW($E$12,$F$16,$F$17,$F$18,$E43,$F$20,P$22,$H43,$F$19)</f>
        <v>0</v>
      </c>
      <c r="Q43" s="36">
        <f>_xll.DBRW($E$12,$F$16,$F$17,$F$18,$E43,$F$20,Q$22,$H43,$F$19)</f>
        <v>0</v>
      </c>
      <c r="R43" s="36">
        <f>_xll.DBRW($E$12,$F$16,$F$17,$F$18,$E43,$F$20,R$22,$H43,$F$19)</f>
        <v>0</v>
      </c>
      <c r="S43" s="36">
        <f>_xll.DBRW($E$12,$F$16,$F$17,$F$18,$E43,$F$20,S$22,$H43,$F$19)</f>
        <v>0</v>
      </c>
      <c r="T43" s="36">
        <f>_xll.DBRW($E$12,$F$16,$F$17,$F$18,$E43,$F$20,T$22,$H43,$F$19)</f>
        <v>0</v>
      </c>
      <c r="U43" s="36">
        <f>_xll.DBRW($E$12,$F$16,$F$17,$F$18,$E43,$F$20,U$22,$H43,$F$19)</f>
        <v>2043.86</v>
      </c>
    </row>
    <row r="44" spans="4:21" s="37" customFormat="1" ht="15" outlineLevel="1" thickBot="1" x14ac:dyDescent="0.35">
      <c r="D44" s="33" t="str">
        <f>IF(_xll.TM1RPTELISCONSOLIDATED($H$34,$H44),IF(_xll.TM1RPTELLEV($H$34,$H44)&lt;=5,_xll.TM1RPTELLEV($H$34,$H44),"Default"),"Leaf")</f>
        <v>Leaf</v>
      </c>
      <c r="E44" s="42" t="s">
        <v>670</v>
      </c>
      <c r="F44" s="34" t="str">
        <f>_xll.DBR($B$18,$H44,"Account_Type")</f>
        <v>NON LABOR</v>
      </c>
      <c r="G44" s="34" t="str">
        <f>_xll.DBR($B$18,$H44,"Description")</f>
        <v>Advertising &amp; Promotion</v>
      </c>
      <c r="H44" s="43" t="s">
        <v>91</v>
      </c>
      <c r="I44" s="36">
        <f>_xll.DBRW($E$12,$F$16,$F$17,$F$18,$E44,$F$20,I$22,$H44,$F$19)</f>
        <v>0</v>
      </c>
      <c r="J44" s="36">
        <f>_xll.DBRW($E$12,$F$16,$F$17,$F$18,$E44,$F$20,J$22,$H44,$F$19)</f>
        <v>3709</v>
      </c>
      <c r="K44" s="36">
        <f>_xll.DBRW($E$12,$F$16,$F$17,$F$18,$E44,$F$20,K$22,$H44,$F$19)</f>
        <v>3977</v>
      </c>
      <c r="L44" s="36">
        <f>_xll.DBRW($E$12,$F$16,$F$17,$F$18,$E44,$F$20,L$22,$H44,$F$19)</f>
        <v>104</v>
      </c>
      <c r="M44" s="36">
        <f>_xll.DBRW($E$12,$F$16,$F$17,$F$18,$E44,$F$20,M$22,$H44,$F$19)</f>
        <v>0</v>
      </c>
      <c r="N44" s="36">
        <f>_xll.DBRW($E$12,$F$16,$F$17,$F$18,$E44,$F$20,N$22,$H44,$F$19)</f>
        <v>1340.38</v>
      </c>
      <c r="O44" s="36">
        <f>_xll.DBRW($E$12,$F$16,$F$17,$F$18,$E44,$F$20,O$22,$H44,$F$19)</f>
        <v>0</v>
      </c>
      <c r="P44" s="36">
        <f>_xll.DBRW($E$12,$F$16,$F$17,$F$18,$E44,$F$20,P$22,$H44,$F$19)</f>
        <v>0</v>
      </c>
      <c r="Q44" s="36">
        <f>_xll.DBRW($E$12,$F$16,$F$17,$F$18,$E44,$F$20,Q$22,$H44,$F$19)</f>
        <v>0</v>
      </c>
      <c r="R44" s="36">
        <f>_xll.DBRW($E$12,$F$16,$F$17,$F$18,$E44,$F$20,R$22,$H44,$F$19)</f>
        <v>0</v>
      </c>
      <c r="S44" s="36">
        <f>_xll.DBRW($E$12,$F$16,$F$17,$F$18,$E44,$F$20,S$22,$H44,$F$19)</f>
        <v>0</v>
      </c>
      <c r="T44" s="36">
        <f>_xll.DBRW($E$12,$F$16,$F$17,$F$18,$E44,$F$20,T$22,$H44,$F$19)</f>
        <v>0</v>
      </c>
      <c r="U44" s="36">
        <f>_xll.DBRW($E$12,$F$16,$F$17,$F$18,$E44,$F$20,U$22,$H44,$F$19)</f>
        <v>9130.380000000001</v>
      </c>
    </row>
    <row r="45" spans="4:21" s="37" customFormat="1" ht="15" outlineLevel="1" thickBot="1" x14ac:dyDescent="0.35">
      <c r="D45" s="33" t="str">
        <f>IF(_xll.TM1RPTELISCONSOLIDATED($H$34,$H45),IF(_xll.TM1RPTELLEV($H$34,$H45)&lt;=5,_xll.TM1RPTELLEV($H$34,$H45),"Default"),"Leaf")</f>
        <v>Leaf</v>
      </c>
      <c r="E45" s="42" t="s">
        <v>670</v>
      </c>
      <c r="F45" s="34" t="str">
        <f>_xll.DBR($B$18,$H45,"Account_Type")</f>
        <v>NON LABOR</v>
      </c>
      <c r="G45" s="34" t="str">
        <f>_xll.DBR($B$18,$H45,"Description")</f>
        <v>Advertising &amp; Promotion</v>
      </c>
      <c r="H45" s="43" t="s">
        <v>92</v>
      </c>
      <c r="I45" s="36">
        <f>_xll.DBRW($E$12,$F$16,$F$17,$F$18,$E45,$F$20,I$22,$H45,$F$19)</f>
        <v>109.11</v>
      </c>
      <c r="J45" s="36">
        <f>_xll.DBRW($E$12,$F$16,$F$17,$F$18,$E45,$F$20,J$22,$H45,$F$19)</f>
        <v>3177.65</v>
      </c>
      <c r="K45" s="36">
        <f>_xll.DBRW($E$12,$F$16,$F$17,$F$18,$E45,$F$20,K$22,$H45,$F$19)</f>
        <v>0</v>
      </c>
      <c r="L45" s="36">
        <f>_xll.DBRW($E$12,$F$16,$F$17,$F$18,$E45,$F$20,L$22,$H45,$F$19)</f>
        <v>0</v>
      </c>
      <c r="M45" s="36">
        <f>_xll.DBRW($E$12,$F$16,$F$17,$F$18,$E45,$F$20,M$22,$H45,$F$19)</f>
        <v>1004.04</v>
      </c>
      <c r="N45" s="36">
        <f>_xll.DBRW($E$12,$F$16,$F$17,$F$18,$E45,$F$20,N$22,$H45,$F$19)</f>
        <v>1716.31</v>
      </c>
      <c r="O45" s="36">
        <f>_xll.DBRW($E$12,$F$16,$F$17,$F$18,$E45,$F$20,O$22,$H45,$F$19)</f>
        <v>0</v>
      </c>
      <c r="P45" s="36">
        <f>_xll.DBRW($E$12,$F$16,$F$17,$F$18,$E45,$F$20,P$22,$H45,$F$19)</f>
        <v>0</v>
      </c>
      <c r="Q45" s="36">
        <f>_xll.DBRW($E$12,$F$16,$F$17,$F$18,$E45,$F$20,Q$22,$H45,$F$19)</f>
        <v>0</v>
      </c>
      <c r="R45" s="36">
        <f>_xll.DBRW($E$12,$F$16,$F$17,$F$18,$E45,$F$20,R$22,$H45,$F$19)</f>
        <v>0</v>
      </c>
      <c r="S45" s="36">
        <f>_xll.DBRW($E$12,$F$16,$F$17,$F$18,$E45,$F$20,S$22,$H45,$F$19)</f>
        <v>0</v>
      </c>
      <c r="T45" s="36">
        <f>_xll.DBRW($E$12,$F$16,$F$17,$F$18,$E45,$F$20,T$22,$H45,$F$19)</f>
        <v>0</v>
      </c>
      <c r="U45" s="36">
        <f>_xll.DBRW($E$12,$F$16,$F$17,$F$18,$E45,$F$20,U$22,$H45,$F$19)</f>
        <v>6007.1100000000006</v>
      </c>
    </row>
    <row r="46" spans="4:21" s="37" customFormat="1" ht="15" outlineLevel="1" thickBot="1" x14ac:dyDescent="0.35">
      <c r="D46" s="33" t="str">
        <f>IF(_xll.TM1RPTELISCONSOLIDATED($H$34,$H46),IF(_xll.TM1RPTELLEV($H$34,$H46)&lt;=5,_xll.TM1RPTELLEV($H$34,$H46),"Default"),"Leaf")</f>
        <v>Leaf</v>
      </c>
      <c r="E46" s="42" t="s">
        <v>670</v>
      </c>
      <c r="F46" s="34" t="str">
        <f>_xll.DBR($B$18,$H46,"Account_Type")</f>
        <v>NON LABOR</v>
      </c>
      <c r="G46" s="34" t="str">
        <f>_xll.DBR($B$18,$H46,"Description")</f>
        <v>Business Meals &amp; Entertainment</v>
      </c>
      <c r="H46" s="43" t="s">
        <v>102</v>
      </c>
      <c r="I46" s="36">
        <f>_xll.DBRW($E$12,$F$16,$F$17,$F$18,$E46,$F$20,I$22,$H46,$F$19)</f>
        <v>405.22</v>
      </c>
      <c r="J46" s="36">
        <f>_xll.DBRW($E$12,$F$16,$F$17,$F$18,$E46,$F$20,J$22,$H46,$F$19)</f>
        <v>1381.15</v>
      </c>
      <c r="K46" s="36">
        <f>_xll.DBRW($E$12,$F$16,$F$17,$F$18,$E46,$F$20,K$22,$H46,$F$19)</f>
        <v>288.83</v>
      </c>
      <c r="L46" s="36">
        <f>_xll.DBRW($E$12,$F$16,$F$17,$F$18,$E46,$F$20,L$22,$H46,$F$19)</f>
        <v>2358.4</v>
      </c>
      <c r="M46" s="36">
        <f>_xll.DBRW($E$12,$F$16,$F$17,$F$18,$E46,$F$20,M$22,$H46,$F$19)</f>
        <v>206.86</v>
      </c>
      <c r="N46" s="36">
        <f>_xll.DBRW($E$12,$F$16,$F$17,$F$18,$E46,$F$20,N$22,$H46,$F$19)</f>
        <v>335.11</v>
      </c>
      <c r="O46" s="36">
        <f>_xll.DBRW($E$12,$F$16,$F$17,$F$18,$E46,$F$20,O$22,$H46,$F$19)</f>
        <v>0</v>
      </c>
      <c r="P46" s="36">
        <f>_xll.DBRW($E$12,$F$16,$F$17,$F$18,$E46,$F$20,P$22,$H46,$F$19)</f>
        <v>0</v>
      </c>
      <c r="Q46" s="36">
        <f>_xll.DBRW($E$12,$F$16,$F$17,$F$18,$E46,$F$20,Q$22,$H46,$F$19)</f>
        <v>0</v>
      </c>
      <c r="R46" s="36">
        <f>_xll.DBRW($E$12,$F$16,$F$17,$F$18,$E46,$F$20,R$22,$H46,$F$19)</f>
        <v>0</v>
      </c>
      <c r="S46" s="36">
        <f>_xll.DBRW($E$12,$F$16,$F$17,$F$18,$E46,$F$20,S$22,$H46,$F$19)</f>
        <v>0</v>
      </c>
      <c r="T46" s="36">
        <f>_xll.DBRW($E$12,$F$16,$F$17,$F$18,$E46,$F$20,T$22,$H46,$F$19)</f>
        <v>0</v>
      </c>
      <c r="U46" s="36">
        <f>_xll.DBRW($E$12,$F$16,$F$17,$F$18,$E46,$F$20,U$22,$H46,$F$19)</f>
        <v>4975.57</v>
      </c>
    </row>
    <row r="47" spans="4:21" s="37" customFormat="1" ht="15" outlineLevel="1" thickBot="1" x14ac:dyDescent="0.35">
      <c r="D47" s="33" t="str">
        <f>IF(_xll.TM1RPTELISCONSOLIDATED($H$34,$H47),IF(_xll.TM1RPTELLEV($H$34,$H47)&lt;=5,_xll.TM1RPTELLEV($H$34,$H47),"Default"),"Leaf")</f>
        <v>Leaf</v>
      </c>
      <c r="E47" s="42" t="s">
        <v>670</v>
      </c>
      <c r="F47" s="34" t="str">
        <f>_xll.DBR($B$18,$H47,"Account_Type")</f>
        <v>NON LABOR</v>
      </c>
      <c r="G47" s="34" t="str">
        <f>_xll.DBR($B$18,$H47,"Description")</f>
        <v>Business Meals &amp; Entertainment</v>
      </c>
      <c r="H47" s="43" t="s">
        <v>103</v>
      </c>
      <c r="I47" s="36">
        <f>_xll.DBRW($E$12,$F$16,$F$17,$F$18,$E47,$F$20,I$22,$H47,$F$19)</f>
        <v>199.04</v>
      </c>
      <c r="J47" s="36">
        <f>_xll.DBRW($E$12,$F$16,$F$17,$F$18,$E47,$F$20,J$22,$H47,$F$19)</f>
        <v>2845.2</v>
      </c>
      <c r="K47" s="36">
        <f>_xll.DBRW($E$12,$F$16,$F$17,$F$18,$E47,$F$20,K$22,$H47,$F$19)</f>
        <v>704.35</v>
      </c>
      <c r="L47" s="36">
        <f>_xll.DBRW($E$12,$F$16,$F$17,$F$18,$E47,$F$20,L$22,$H47,$F$19)</f>
        <v>1273.96</v>
      </c>
      <c r="M47" s="36">
        <f>_xll.DBRW($E$12,$F$16,$F$17,$F$18,$E47,$F$20,M$22,$H47,$F$19)</f>
        <v>591.41999999999996</v>
      </c>
      <c r="N47" s="36">
        <f>_xll.DBRW($E$12,$F$16,$F$17,$F$18,$E47,$F$20,N$22,$H47,$F$19)</f>
        <v>967.06</v>
      </c>
      <c r="O47" s="36">
        <f>_xll.DBRW($E$12,$F$16,$F$17,$F$18,$E47,$F$20,O$22,$H47,$F$19)</f>
        <v>0</v>
      </c>
      <c r="P47" s="36">
        <f>_xll.DBRW($E$12,$F$16,$F$17,$F$18,$E47,$F$20,P$22,$H47,$F$19)</f>
        <v>0</v>
      </c>
      <c r="Q47" s="36">
        <f>_xll.DBRW($E$12,$F$16,$F$17,$F$18,$E47,$F$20,Q$22,$H47,$F$19)</f>
        <v>0</v>
      </c>
      <c r="R47" s="36">
        <f>_xll.DBRW($E$12,$F$16,$F$17,$F$18,$E47,$F$20,R$22,$H47,$F$19)</f>
        <v>0</v>
      </c>
      <c r="S47" s="36">
        <f>_xll.DBRW($E$12,$F$16,$F$17,$F$18,$E47,$F$20,S$22,$H47,$F$19)</f>
        <v>0</v>
      </c>
      <c r="T47" s="36">
        <f>_xll.DBRW($E$12,$F$16,$F$17,$F$18,$E47,$F$20,T$22,$H47,$F$19)</f>
        <v>0</v>
      </c>
      <c r="U47" s="36">
        <f>_xll.DBRW($E$12,$F$16,$F$17,$F$18,$E47,$F$20,U$22,$H47,$F$19)</f>
        <v>6581.0299999999988</v>
      </c>
    </row>
    <row r="48" spans="4:21" s="37" customFormat="1" ht="15" outlineLevel="1" thickBot="1" x14ac:dyDescent="0.35">
      <c r="D48" s="33" t="str">
        <f>IF(_xll.TM1RPTELISCONSOLIDATED($H$34,$H48),IF(_xll.TM1RPTELLEV($H$34,$H48)&lt;=5,_xll.TM1RPTELLEV($H$34,$H48),"Default"),"Leaf")</f>
        <v>Leaf</v>
      </c>
      <c r="E48" s="42" t="s">
        <v>670</v>
      </c>
      <c r="F48" s="34" t="str">
        <f>_xll.DBR($B$18,$H48,"Account_Type")</f>
        <v>NON LABOR</v>
      </c>
      <c r="G48" s="34" t="str">
        <f>_xll.DBR($B$18,$H48,"Description")</f>
        <v>Business Meals &amp; Entertainment</v>
      </c>
      <c r="H48" s="43" t="s">
        <v>104</v>
      </c>
      <c r="I48" s="36">
        <f>_xll.DBRW($E$12,$F$16,$F$17,$F$18,$E48,$F$20,I$22,$H48,$F$19)</f>
        <v>0</v>
      </c>
      <c r="J48" s="36">
        <f>_xll.DBRW($E$12,$F$16,$F$17,$F$18,$E48,$F$20,J$22,$H48,$F$19)</f>
        <v>0</v>
      </c>
      <c r="K48" s="36">
        <f>_xll.DBRW($E$12,$F$16,$F$17,$F$18,$E48,$F$20,K$22,$H48,$F$19)</f>
        <v>0</v>
      </c>
      <c r="L48" s="36">
        <f>_xll.DBRW($E$12,$F$16,$F$17,$F$18,$E48,$F$20,L$22,$H48,$F$19)</f>
        <v>87.32</v>
      </c>
      <c r="M48" s="36">
        <f>_xll.DBRW($E$12,$F$16,$F$17,$F$18,$E48,$F$20,M$22,$H48,$F$19)</f>
        <v>0</v>
      </c>
      <c r="N48" s="36">
        <f>_xll.DBRW($E$12,$F$16,$F$17,$F$18,$E48,$F$20,N$22,$H48,$F$19)</f>
        <v>0</v>
      </c>
      <c r="O48" s="36">
        <f>_xll.DBRW($E$12,$F$16,$F$17,$F$18,$E48,$F$20,O$22,$H48,$F$19)</f>
        <v>0</v>
      </c>
      <c r="P48" s="36">
        <f>_xll.DBRW($E$12,$F$16,$F$17,$F$18,$E48,$F$20,P$22,$H48,$F$19)</f>
        <v>0</v>
      </c>
      <c r="Q48" s="36">
        <f>_xll.DBRW($E$12,$F$16,$F$17,$F$18,$E48,$F$20,Q$22,$H48,$F$19)</f>
        <v>0</v>
      </c>
      <c r="R48" s="36">
        <f>_xll.DBRW($E$12,$F$16,$F$17,$F$18,$E48,$F$20,R$22,$H48,$F$19)</f>
        <v>0</v>
      </c>
      <c r="S48" s="36">
        <f>_xll.DBRW($E$12,$F$16,$F$17,$F$18,$E48,$F$20,S$22,$H48,$F$19)</f>
        <v>0</v>
      </c>
      <c r="T48" s="36">
        <f>_xll.DBRW($E$12,$F$16,$F$17,$F$18,$E48,$F$20,T$22,$H48,$F$19)</f>
        <v>0</v>
      </c>
      <c r="U48" s="36">
        <f>_xll.DBRW($E$12,$F$16,$F$17,$F$18,$E48,$F$20,U$22,$H48,$F$19)</f>
        <v>87.32</v>
      </c>
    </row>
    <row r="49" spans="4:21" s="37" customFormat="1" ht="15" outlineLevel="1" thickBot="1" x14ac:dyDescent="0.35">
      <c r="D49" s="33" t="str">
        <f>IF(_xll.TM1RPTELISCONSOLIDATED($H$34,$H49),IF(_xll.TM1RPTELLEV($H$34,$H49)&lt;=5,_xll.TM1RPTELLEV($H$34,$H49),"Default"),"Leaf")</f>
        <v>Leaf</v>
      </c>
      <c r="E49" s="42" t="s">
        <v>670</v>
      </c>
      <c r="F49" s="34" t="str">
        <f>_xll.DBR($B$18,$H49,"Account_Type")</f>
        <v>NON LABOR</v>
      </c>
      <c r="G49" s="34" t="str">
        <f>_xll.DBR($B$18,$H49,"Description")</f>
        <v>Business Meals &amp; Entertainment</v>
      </c>
      <c r="H49" s="43" t="s">
        <v>105</v>
      </c>
      <c r="I49" s="36">
        <f>_xll.DBRW($E$12,$F$16,$F$17,$F$18,$E49,$F$20,I$22,$H49,$F$19)</f>
        <v>174.59</v>
      </c>
      <c r="J49" s="36">
        <f>_xll.DBRW($E$12,$F$16,$F$17,$F$18,$E49,$F$20,J$22,$H49,$F$19)</f>
        <v>126.01</v>
      </c>
      <c r="K49" s="36">
        <f>_xll.DBRW($E$12,$F$16,$F$17,$F$18,$E49,$F$20,K$22,$H49,$F$19)</f>
        <v>62.61</v>
      </c>
      <c r="L49" s="36">
        <f>_xll.DBRW($E$12,$F$16,$F$17,$F$18,$E49,$F$20,L$22,$H49,$F$19)</f>
        <v>68.53</v>
      </c>
      <c r="M49" s="36">
        <f>_xll.DBRW($E$12,$F$16,$F$17,$F$18,$E49,$F$20,M$22,$H49,$F$19)</f>
        <v>58.37</v>
      </c>
      <c r="N49" s="36">
        <f>_xll.DBRW($E$12,$F$16,$F$17,$F$18,$E49,$F$20,N$22,$H49,$F$19)</f>
        <v>22.45</v>
      </c>
      <c r="O49" s="36">
        <f>_xll.DBRW($E$12,$F$16,$F$17,$F$18,$E49,$F$20,O$22,$H49,$F$19)</f>
        <v>0</v>
      </c>
      <c r="P49" s="36">
        <f>_xll.DBRW($E$12,$F$16,$F$17,$F$18,$E49,$F$20,P$22,$H49,$F$19)</f>
        <v>0</v>
      </c>
      <c r="Q49" s="36">
        <f>_xll.DBRW($E$12,$F$16,$F$17,$F$18,$E49,$F$20,Q$22,$H49,$F$19)</f>
        <v>0</v>
      </c>
      <c r="R49" s="36">
        <f>_xll.DBRW($E$12,$F$16,$F$17,$F$18,$E49,$F$20,R$22,$H49,$F$19)</f>
        <v>0</v>
      </c>
      <c r="S49" s="36">
        <f>_xll.DBRW($E$12,$F$16,$F$17,$F$18,$E49,$F$20,S$22,$H49,$F$19)</f>
        <v>0</v>
      </c>
      <c r="T49" s="36">
        <f>_xll.DBRW($E$12,$F$16,$F$17,$F$18,$E49,$F$20,T$22,$H49,$F$19)</f>
        <v>0</v>
      </c>
      <c r="U49" s="36">
        <f>_xll.DBRW($E$12,$F$16,$F$17,$F$18,$E49,$F$20,U$22,$H49,$F$19)</f>
        <v>512.56000000000006</v>
      </c>
    </row>
    <row r="50" spans="4:21" s="37" customFormat="1" ht="15" outlineLevel="1" thickBot="1" x14ac:dyDescent="0.35">
      <c r="D50" s="33" t="str">
        <f>IF(_xll.TM1RPTELISCONSOLIDATED($H$34,$H50),IF(_xll.TM1RPTELLEV($H$34,$H50)&lt;=5,_xll.TM1RPTELLEV($H$34,$H50),"Default"),"Leaf")</f>
        <v>Leaf</v>
      </c>
      <c r="E50" s="42" t="s">
        <v>670</v>
      </c>
      <c r="F50" s="34" t="str">
        <f>_xll.DBR($B$18,$H50,"Account_Type")</f>
        <v>NON LABOR</v>
      </c>
      <c r="G50" s="34" t="str">
        <f>_xll.DBR($B$18,$H50,"Description")</f>
        <v>Business Meals &amp; Entertainment</v>
      </c>
      <c r="H50" s="43" t="s">
        <v>106</v>
      </c>
      <c r="I50" s="36">
        <f>_xll.DBRW($E$12,$F$16,$F$17,$F$18,$E50,$F$20,I$22,$H50,$F$19)</f>
        <v>253.09</v>
      </c>
      <c r="J50" s="36">
        <f>_xll.DBRW($E$12,$F$16,$F$17,$F$18,$E50,$F$20,J$22,$H50,$F$19)</f>
        <v>493.11</v>
      </c>
      <c r="K50" s="36">
        <f>_xll.DBRW($E$12,$F$16,$F$17,$F$18,$E50,$F$20,K$22,$H50,$F$19)</f>
        <v>123.72</v>
      </c>
      <c r="L50" s="36">
        <f>_xll.DBRW($E$12,$F$16,$F$17,$F$18,$E50,$F$20,L$22,$H50,$F$19)</f>
        <v>605.78</v>
      </c>
      <c r="M50" s="36">
        <f>_xll.DBRW($E$12,$F$16,$F$17,$F$18,$E50,$F$20,M$22,$H50,$F$19)</f>
        <v>565.94000000000005</v>
      </c>
      <c r="N50" s="36">
        <f>_xll.DBRW($E$12,$F$16,$F$17,$F$18,$E50,$F$20,N$22,$H50,$F$19)</f>
        <v>184.47</v>
      </c>
      <c r="O50" s="36">
        <f>_xll.DBRW($E$12,$F$16,$F$17,$F$18,$E50,$F$20,O$22,$H50,$F$19)</f>
        <v>0</v>
      </c>
      <c r="P50" s="36">
        <f>_xll.DBRW($E$12,$F$16,$F$17,$F$18,$E50,$F$20,P$22,$H50,$F$19)</f>
        <v>0</v>
      </c>
      <c r="Q50" s="36">
        <f>_xll.DBRW($E$12,$F$16,$F$17,$F$18,$E50,$F$20,Q$22,$H50,$F$19)</f>
        <v>0</v>
      </c>
      <c r="R50" s="36">
        <f>_xll.DBRW($E$12,$F$16,$F$17,$F$18,$E50,$F$20,R$22,$H50,$F$19)</f>
        <v>0</v>
      </c>
      <c r="S50" s="36">
        <f>_xll.DBRW($E$12,$F$16,$F$17,$F$18,$E50,$F$20,S$22,$H50,$F$19)</f>
        <v>0</v>
      </c>
      <c r="T50" s="36">
        <f>_xll.DBRW($E$12,$F$16,$F$17,$F$18,$E50,$F$20,T$22,$H50,$F$19)</f>
        <v>0</v>
      </c>
      <c r="U50" s="36">
        <f>_xll.DBRW($E$12,$F$16,$F$17,$F$18,$E50,$F$20,U$22,$H50,$F$19)</f>
        <v>2226.11</v>
      </c>
    </row>
    <row r="51" spans="4:21" s="37" customFormat="1" ht="15" outlineLevel="1" thickBot="1" x14ac:dyDescent="0.35">
      <c r="D51" s="33" t="str">
        <f>IF(_xll.TM1RPTELISCONSOLIDATED($H$34,$H51),IF(_xll.TM1RPTELLEV($H$34,$H51)&lt;=5,_xll.TM1RPTELLEV($H$34,$H51),"Default"),"Leaf")</f>
        <v>Leaf</v>
      </c>
      <c r="E51" s="42" t="s">
        <v>670</v>
      </c>
      <c r="F51" s="34" t="str">
        <f>_xll.DBR($B$18,$H51,"Account_Type")</f>
        <v>NON LABOR</v>
      </c>
      <c r="G51" s="34" t="str">
        <f>_xll.DBR($B$18,$H51,"Description")</f>
        <v>Business Meals &amp; Entertainment</v>
      </c>
      <c r="H51" s="43" t="s">
        <v>107</v>
      </c>
      <c r="I51" s="36">
        <f>_xll.DBRW($E$12,$F$16,$F$17,$F$18,$E51,$F$20,I$22,$H51,$F$19)</f>
        <v>0</v>
      </c>
      <c r="J51" s="36">
        <f>_xll.DBRW($E$12,$F$16,$F$17,$F$18,$E51,$F$20,J$22,$H51,$F$19)</f>
        <v>0</v>
      </c>
      <c r="K51" s="36">
        <f>_xll.DBRW($E$12,$F$16,$F$17,$F$18,$E51,$F$20,K$22,$H51,$F$19)</f>
        <v>0</v>
      </c>
      <c r="L51" s="36">
        <f>_xll.DBRW($E$12,$F$16,$F$17,$F$18,$E51,$F$20,L$22,$H51,$F$19)</f>
        <v>149.13</v>
      </c>
      <c r="M51" s="36">
        <f>_xll.DBRW($E$12,$F$16,$F$17,$F$18,$E51,$F$20,M$22,$H51,$F$19)</f>
        <v>0</v>
      </c>
      <c r="N51" s="36">
        <f>_xll.DBRW($E$12,$F$16,$F$17,$F$18,$E51,$F$20,N$22,$H51,$F$19)</f>
        <v>0</v>
      </c>
      <c r="O51" s="36">
        <f>_xll.DBRW($E$12,$F$16,$F$17,$F$18,$E51,$F$20,O$22,$H51,$F$19)</f>
        <v>0</v>
      </c>
      <c r="P51" s="36">
        <f>_xll.DBRW($E$12,$F$16,$F$17,$F$18,$E51,$F$20,P$22,$H51,$F$19)</f>
        <v>0</v>
      </c>
      <c r="Q51" s="36">
        <f>_xll.DBRW($E$12,$F$16,$F$17,$F$18,$E51,$F$20,Q$22,$H51,$F$19)</f>
        <v>0</v>
      </c>
      <c r="R51" s="36">
        <f>_xll.DBRW($E$12,$F$16,$F$17,$F$18,$E51,$F$20,R$22,$H51,$F$19)</f>
        <v>0</v>
      </c>
      <c r="S51" s="36">
        <f>_xll.DBRW($E$12,$F$16,$F$17,$F$18,$E51,$F$20,S$22,$H51,$F$19)</f>
        <v>0</v>
      </c>
      <c r="T51" s="36">
        <f>_xll.DBRW($E$12,$F$16,$F$17,$F$18,$E51,$F$20,T$22,$H51,$F$19)</f>
        <v>0</v>
      </c>
      <c r="U51" s="36">
        <f>_xll.DBRW($E$12,$F$16,$F$17,$F$18,$E51,$F$20,U$22,$H51,$F$19)</f>
        <v>149.13</v>
      </c>
    </row>
    <row r="52" spans="4:21" s="37" customFormat="1" ht="15" outlineLevel="1" thickBot="1" x14ac:dyDescent="0.35">
      <c r="D52" s="33" t="str">
        <f>IF(_xll.TM1RPTELISCONSOLIDATED($H$34,$H52),IF(_xll.TM1RPTELLEV($H$34,$H52)&lt;=5,_xll.TM1RPTELLEV($H$34,$H52),"Default"),"Leaf")</f>
        <v>Leaf</v>
      </c>
      <c r="E52" s="42" t="s">
        <v>670</v>
      </c>
      <c r="F52" s="34" t="str">
        <f>_xll.DBR($B$18,$H52,"Account_Type")</f>
        <v>NON LABOR</v>
      </c>
      <c r="G52" s="34" t="str">
        <f>_xll.DBR($B$18,$H52,"Description")</f>
        <v>Business Meals &amp; Entertainment</v>
      </c>
      <c r="H52" s="43" t="s">
        <v>108</v>
      </c>
      <c r="I52" s="36">
        <f>_xll.DBRW($E$12,$F$16,$F$17,$F$18,$E52,$F$20,I$22,$H52,$F$19)</f>
        <v>0</v>
      </c>
      <c r="J52" s="36">
        <f>_xll.DBRW($E$12,$F$16,$F$17,$F$18,$E52,$F$20,J$22,$H52,$F$19)</f>
        <v>0</v>
      </c>
      <c r="K52" s="36">
        <f>_xll.DBRW($E$12,$F$16,$F$17,$F$18,$E52,$F$20,K$22,$H52,$F$19)</f>
        <v>359.44</v>
      </c>
      <c r="L52" s="36">
        <f>_xll.DBRW($E$12,$F$16,$F$17,$F$18,$E52,$F$20,L$22,$H52,$F$19)</f>
        <v>118.19</v>
      </c>
      <c r="M52" s="36">
        <f>_xll.DBRW($E$12,$F$16,$F$17,$F$18,$E52,$F$20,M$22,$H52,$F$19)</f>
        <v>0</v>
      </c>
      <c r="N52" s="36">
        <f>_xll.DBRW($E$12,$F$16,$F$17,$F$18,$E52,$F$20,N$22,$H52,$F$19)</f>
        <v>0</v>
      </c>
      <c r="O52" s="36">
        <f>_xll.DBRW($E$12,$F$16,$F$17,$F$18,$E52,$F$20,O$22,$H52,$F$19)</f>
        <v>0</v>
      </c>
      <c r="P52" s="36">
        <f>_xll.DBRW($E$12,$F$16,$F$17,$F$18,$E52,$F$20,P$22,$H52,$F$19)</f>
        <v>0</v>
      </c>
      <c r="Q52" s="36">
        <f>_xll.DBRW($E$12,$F$16,$F$17,$F$18,$E52,$F$20,Q$22,$H52,$F$19)</f>
        <v>0</v>
      </c>
      <c r="R52" s="36">
        <f>_xll.DBRW($E$12,$F$16,$F$17,$F$18,$E52,$F$20,R$22,$H52,$F$19)</f>
        <v>0</v>
      </c>
      <c r="S52" s="36">
        <f>_xll.DBRW($E$12,$F$16,$F$17,$F$18,$E52,$F$20,S$22,$H52,$F$19)</f>
        <v>0</v>
      </c>
      <c r="T52" s="36">
        <f>_xll.DBRW($E$12,$F$16,$F$17,$F$18,$E52,$F$20,T$22,$H52,$F$19)</f>
        <v>0</v>
      </c>
      <c r="U52" s="36">
        <f>_xll.DBRW($E$12,$F$16,$F$17,$F$18,$E52,$F$20,U$22,$H52,$F$19)</f>
        <v>477.63</v>
      </c>
    </row>
    <row r="53" spans="4:21" s="37" customFormat="1" ht="15" outlineLevel="1" thickBot="1" x14ac:dyDescent="0.35">
      <c r="D53" s="33" t="str">
        <f>IF(_xll.TM1RPTELISCONSOLIDATED($H$34,$H53),IF(_xll.TM1RPTELLEV($H$34,$H53)&lt;=5,_xll.TM1RPTELLEV($H$34,$H53),"Default"),"Leaf")</f>
        <v>Leaf</v>
      </c>
      <c r="E53" s="42" t="s">
        <v>670</v>
      </c>
      <c r="F53" s="34" t="str">
        <f>_xll.DBR($B$18,$H53,"Account_Type")</f>
        <v>NON LABOR</v>
      </c>
      <c r="G53" s="34" t="str">
        <f>_xll.DBR($B$18,$H53,"Description")</f>
        <v>Telecommunications / Internet</v>
      </c>
      <c r="H53" s="43" t="s">
        <v>123</v>
      </c>
      <c r="I53" s="36">
        <f>_xll.DBRW($E$12,$F$16,$F$17,$F$18,$E53,$F$20,I$22,$H53,$F$19)</f>
        <v>1818.99</v>
      </c>
      <c r="J53" s="36">
        <f>_xll.DBRW($E$12,$F$16,$F$17,$F$18,$E53,$F$20,J$22,$H53,$F$19)</f>
        <v>2747.19</v>
      </c>
      <c r="K53" s="36">
        <f>_xll.DBRW($E$12,$F$16,$F$17,$F$18,$E53,$F$20,K$22,$H53,$F$19)</f>
        <v>4081.62</v>
      </c>
      <c r="L53" s="36">
        <f>_xll.DBRW($E$12,$F$16,$F$17,$F$18,$E53,$F$20,L$22,$H53,$F$19)</f>
        <v>3949.73</v>
      </c>
      <c r="M53" s="36">
        <f>_xll.DBRW($E$12,$F$16,$F$17,$F$18,$E53,$F$20,M$22,$H53,$F$19)</f>
        <v>3254.2</v>
      </c>
      <c r="N53" s="36">
        <f>_xll.DBRW($E$12,$F$16,$F$17,$F$18,$E53,$F$20,N$22,$H53,$F$19)</f>
        <v>6911.55</v>
      </c>
      <c r="O53" s="36">
        <f>_xll.DBRW($E$12,$F$16,$F$17,$F$18,$E53,$F$20,O$22,$H53,$F$19)</f>
        <v>-923.62</v>
      </c>
      <c r="P53" s="36">
        <f>_xll.DBRW($E$12,$F$16,$F$17,$F$18,$E53,$F$20,P$22,$H53,$F$19)</f>
        <v>0</v>
      </c>
      <c r="Q53" s="36">
        <f>_xll.DBRW($E$12,$F$16,$F$17,$F$18,$E53,$F$20,Q$22,$H53,$F$19)</f>
        <v>0</v>
      </c>
      <c r="R53" s="36">
        <f>_xll.DBRW($E$12,$F$16,$F$17,$F$18,$E53,$F$20,R$22,$H53,$F$19)</f>
        <v>0</v>
      </c>
      <c r="S53" s="36">
        <f>_xll.DBRW($E$12,$F$16,$F$17,$F$18,$E53,$F$20,S$22,$H53,$F$19)</f>
        <v>0</v>
      </c>
      <c r="T53" s="36">
        <f>_xll.DBRW($E$12,$F$16,$F$17,$F$18,$E53,$F$20,T$22,$H53,$F$19)</f>
        <v>0</v>
      </c>
      <c r="U53" s="36">
        <f>_xll.DBRW($E$12,$F$16,$F$17,$F$18,$E53,$F$20,U$22,$H53,$F$19)</f>
        <v>21839.66</v>
      </c>
    </row>
    <row r="54" spans="4:21" s="37" customFormat="1" ht="15" outlineLevel="1" thickBot="1" x14ac:dyDescent="0.35">
      <c r="D54" s="33" t="str">
        <f>IF(_xll.TM1RPTELISCONSOLIDATED($H$34,$H54),IF(_xll.TM1RPTELLEV($H$34,$H54)&lt;=5,_xll.TM1RPTELLEV($H$34,$H54),"Default"),"Leaf")</f>
        <v>Leaf</v>
      </c>
      <c r="E54" s="42" t="s">
        <v>670</v>
      </c>
      <c r="F54" s="34" t="str">
        <f>_xll.DBR($B$18,$H54,"Account_Type")</f>
        <v>NON LABOR</v>
      </c>
      <c r="G54" s="34" t="str">
        <f>_xll.DBR($B$18,$H54,"Description")</f>
        <v>Telecommunications / Internet</v>
      </c>
      <c r="H54" s="43" t="s">
        <v>124</v>
      </c>
      <c r="I54" s="36">
        <f>_xll.DBRW($E$12,$F$16,$F$17,$F$18,$E54,$F$20,I$22,$H54,$F$19)</f>
        <v>1835.24</v>
      </c>
      <c r="J54" s="36">
        <f>_xll.DBRW($E$12,$F$16,$F$17,$F$18,$E54,$F$20,J$22,$H54,$F$19)</f>
        <v>1464.78</v>
      </c>
      <c r="K54" s="36">
        <f>_xll.DBRW($E$12,$F$16,$F$17,$F$18,$E54,$F$20,K$22,$H54,$F$19)</f>
        <v>1023.22</v>
      </c>
      <c r="L54" s="36">
        <f>_xll.DBRW($E$12,$F$16,$F$17,$F$18,$E54,$F$20,L$22,$H54,$F$19)</f>
        <v>1401.33</v>
      </c>
      <c r="M54" s="36">
        <f>_xll.DBRW($E$12,$F$16,$F$17,$F$18,$E54,$F$20,M$22,$H54,$F$19)</f>
        <v>1285.46</v>
      </c>
      <c r="N54" s="36">
        <f>_xll.DBRW($E$12,$F$16,$F$17,$F$18,$E54,$F$20,N$22,$H54,$F$19)</f>
        <v>1181.8800000000001</v>
      </c>
      <c r="O54" s="36">
        <f>_xll.DBRW($E$12,$F$16,$F$17,$F$18,$E54,$F$20,O$22,$H54,$F$19)</f>
        <v>766.66</v>
      </c>
      <c r="P54" s="36">
        <f>_xll.DBRW($E$12,$F$16,$F$17,$F$18,$E54,$F$20,P$22,$H54,$F$19)</f>
        <v>0</v>
      </c>
      <c r="Q54" s="36">
        <f>_xll.DBRW($E$12,$F$16,$F$17,$F$18,$E54,$F$20,Q$22,$H54,$F$19)</f>
        <v>0</v>
      </c>
      <c r="R54" s="36">
        <f>_xll.DBRW($E$12,$F$16,$F$17,$F$18,$E54,$F$20,R$22,$H54,$F$19)</f>
        <v>0</v>
      </c>
      <c r="S54" s="36">
        <f>_xll.DBRW($E$12,$F$16,$F$17,$F$18,$E54,$F$20,S$22,$H54,$F$19)</f>
        <v>0</v>
      </c>
      <c r="T54" s="36">
        <f>_xll.DBRW($E$12,$F$16,$F$17,$F$18,$E54,$F$20,T$22,$H54,$F$19)</f>
        <v>0</v>
      </c>
      <c r="U54" s="36">
        <f>_xll.DBRW($E$12,$F$16,$F$17,$F$18,$E54,$F$20,U$22,$H54,$F$19)</f>
        <v>8958.57</v>
      </c>
    </row>
    <row r="55" spans="4:21" s="37" customFormat="1" ht="15" outlineLevel="1" thickBot="1" x14ac:dyDescent="0.35">
      <c r="D55" s="33" t="str">
        <f>IF(_xll.TM1RPTELISCONSOLIDATED($H$34,$H55),IF(_xll.TM1RPTELLEV($H$34,$H55)&lt;=5,_xll.TM1RPTELLEV($H$34,$H55),"Default"),"Leaf")</f>
        <v>Leaf</v>
      </c>
      <c r="E55" s="42" t="s">
        <v>670</v>
      </c>
      <c r="F55" s="34" t="str">
        <f>_xll.DBR($B$18,$H55,"Account_Type")</f>
        <v>NON LABOR</v>
      </c>
      <c r="G55" s="34" t="str">
        <f>_xll.DBR($B$18,$H55,"Description")</f>
        <v>Telecommunications / Internet</v>
      </c>
      <c r="H55" s="43" t="s">
        <v>125</v>
      </c>
      <c r="I55" s="36">
        <f>_xll.DBRW($E$12,$F$16,$F$17,$F$18,$E55,$F$20,I$22,$H55,$F$19)</f>
        <v>2439.0100000000002</v>
      </c>
      <c r="J55" s="36">
        <f>_xll.DBRW($E$12,$F$16,$F$17,$F$18,$E55,$F$20,J$22,$H55,$F$19)</f>
        <v>2309.98</v>
      </c>
      <c r="K55" s="36">
        <f>_xll.DBRW($E$12,$F$16,$F$17,$F$18,$E55,$F$20,K$22,$H55,$F$19)</f>
        <v>2439.0100000000002</v>
      </c>
      <c r="L55" s="36">
        <f>_xll.DBRW($E$12,$F$16,$F$17,$F$18,$E55,$F$20,L$22,$H55,$F$19)</f>
        <v>2566.4699999999998</v>
      </c>
      <c r="M55" s="36">
        <f>_xll.DBRW($E$12,$F$16,$F$17,$F$18,$E55,$F$20,M$22,$H55,$F$19)</f>
        <v>2986.48</v>
      </c>
      <c r="N55" s="36">
        <f>_xll.DBRW($E$12,$F$16,$F$17,$F$18,$E55,$F$20,N$22,$H55,$F$19)</f>
        <v>1490.63</v>
      </c>
      <c r="O55" s="36">
        <f>_xll.DBRW($E$12,$F$16,$F$17,$F$18,$E55,$F$20,O$22,$H55,$F$19)</f>
        <v>25</v>
      </c>
      <c r="P55" s="36">
        <f>_xll.DBRW($E$12,$F$16,$F$17,$F$18,$E55,$F$20,P$22,$H55,$F$19)</f>
        <v>0</v>
      </c>
      <c r="Q55" s="36">
        <f>_xll.DBRW($E$12,$F$16,$F$17,$F$18,$E55,$F$20,Q$22,$H55,$F$19)</f>
        <v>0</v>
      </c>
      <c r="R55" s="36">
        <f>_xll.DBRW($E$12,$F$16,$F$17,$F$18,$E55,$F$20,R$22,$H55,$F$19)</f>
        <v>0</v>
      </c>
      <c r="S55" s="36">
        <f>_xll.DBRW($E$12,$F$16,$F$17,$F$18,$E55,$F$20,S$22,$H55,$F$19)</f>
        <v>0</v>
      </c>
      <c r="T55" s="36">
        <f>_xll.DBRW($E$12,$F$16,$F$17,$F$18,$E55,$F$20,T$22,$H55,$F$19)</f>
        <v>0</v>
      </c>
      <c r="U55" s="36">
        <f>_xll.DBRW($E$12,$F$16,$F$17,$F$18,$E55,$F$20,U$22,$H55,$F$19)</f>
        <v>14256.579999999998</v>
      </c>
    </row>
    <row r="56" spans="4:21" s="37" customFormat="1" ht="15" outlineLevel="1" thickBot="1" x14ac:dyDescent="0.35">
      <c r="D56" s="33" t="str">
        <f>IF(_xll.TM1RPTELISCONSOLIDATED($H$34,$H56),IF(_xll.TM1RPTELLEV($H$34,$H56)&lt;=5,_xll.TM1RPTELLEV($H$34,$H56),"Default"),"Leaf")</f>
        <v>Leaf</v>
      </c>
      <c r="E56" s="42" t="s">
        <v>670</v>
      </c>
      <c r="F56" s="34" t="str">
        <f>_xll.DBR($B$18,$H56,"Account_Type")</f>
        <v>NON LABOR</v>
      </c>
      <c r="G56" s="34" t="str">
        <f>_xll.DBR($B$18,$H56,"Description")</f>
        <v>Telecommunications / Internet</v>
      </c>
      <c r="H56" s="43" t="s">
        <v>126</v>
      </c>
      <c r="I56" s="36">
        <f>_xll.DBRW($E$12,$F$16,$F$17,$F$18,$E56,$F$20,I$22,$H56,$F$19)</f>
        <v>411.03</v>
      </c>
      <c r="J56" s="36">
        <f>_xll.DBRW($E$12,$F$16,$F$17,$F$18,$E56,$F$20,J$22,$H56,$F$19)</f>
        <v>203.98</v>
      </c>
      <c r="K56" s="36">
        <f>_xll.DBRW($E$12,$F$16,$F$17,$F$18,$E56,$F$20,K$22,$H56,$F$19)</f>
        <v>31.94</v>
      </c>
      <c r="L56" s="36">
        <f>_xll.DBRW($E$12,$F$16,$F$17,$F$18,$E56,$F$20,L$22,$H56,$F$19)</f>
        <v>203.98</v>
      </c>
      <c r="M56" s="36">
        <f>_xll.DBRW($E$12,$F$16,$F$17,$F$18,$E56,$F$20,M$22,$H56,$F$19)</f>
        <v>31.92</v>
      </c>
      <c r="N56" s="36">
        <f>_xll.DBRW($E$12,$F$16,$F$17,$F$18,$E56,$F$20,N$22,$H56,$F$19)</f>
        <v>213.95</v>
      </c>
      <c r="O56" s="36">
        <f>_xll.DBRW($E$12,$F$16,$F$17,$F$18,$E56,$F$20,O$22,$H56,$F$19)</f>
        <v>0</v>
      </c>
      <c r="P56" s="36">
        <f>_xll.DBRW($E$12,$F$16,$F$17,$F$18,$E56,$F$20,P$22,$H56,$F$19)</f>
        <v>0</v>
      </c>
      <c r="Q56" s="36">
        <f>_xll.DBRW($E$12,$F$16,$F$17,$F$18,$E56,$F$20,Q$22,$H56,$F$19)</f>
        <v>0</v>
      </c>
      <c r="R56" s="36">
        <f>_xll.DBRW($E$12,$F$16,$F$17,$F$18,$E56,$F$20,R$22,$H56,$F$19)</f>
        <v>0</v>
      </c>
      <c r="S56" s="36">
        <f>_xll.DBRW($E$12,$F$16,$F$17,$F$18,$E56,$F$20,S$22,$H56,$F$19)</f>
        <v>0</v>
      </c>
      <c r="T56" s="36">
        <f>_xll.DBRW($E$12,$F$16,$F$17,$F$18,$E56,$F$20,T$22,$H56,$F$19)</f>
        <v>0</v>
      </c>
      <c r="U56" s="36">
        <f>_xll.DBRW($E$12,$F$16,$F$17,$F$18,$E56,$F$20,U$22,$H56,$F$19)</f>
        <v>1096.8</v>
      </c>
    </row>
    <row r="57" spans="4:21" s="37" customFormat="1" ht="15" outlineLevel="1" thickBot="1" x14ac:dyDescent="0.35">
      <c r="D57" s="33" t="str">
        <f>IF(_xll.TM1RPTELISCONSOLIDATED($H$34,$H57),IF(_xll.TM1RPTELLEV($H$34,$H57)&lt;=5,_xll.TM1RPTELLEV($H$34,$H57),"Default"),"Leaf")</f>
        <v>Leaf</v>
      </c>
      <c r="E57" s="42" t="s">
        <v>670</v>
      </c>
      <c r="F57" s="34" t="str">
        <f>_xll.DBR($B$18,$H57,"Account_Type")</f>
        <v>NON LABOR</v>
      </c>
      <c r="G57" s="34" t="str">
        <f>_xll.DBR($B$18,$H57,"Description")</f>
        <v>Office/Computer Supplies &amp; Eqpt</v>
      </c>
      <c r="H57" s="43" t="s">
        <v>142</v>
      </c>
      <c r="I57" s="36">
        <f>_xll.DBRW($E$12,$F$16,$F$17,$F$18,$E57,$F$20,I$22,$H57,$F$19)</f>
        <v>3318.66</v>
      </c>
      <c r="J57" s="36">
        <f>_xll.DBRW($E$12,$F$16,$F$17,$F$18,$E57,$F$20,J$22,$H57,$F$19)</f>
        <v>5117.58</v>
      </c>
      <c r="K57" s="36">
        <f>_xll.DBRW($E$12,$F$16,$F$17,$F$18,$E57,$F$20,K$22,$H57,$F$19)</f>
        <v>5058.01</v>
      </c>
      <c r="L57" s="36">
        <f>_xll.DBRW($E$12,$F$16,$F$17,$F$18,$E57,$F$20,L$22,$H57,$F$19)</f>
        <v>4818.51</v>
      </c>
      <c r="M57" s="36">
        <f>_xll.DBRW($E$12,$F$16,$F$17,$F$18,$E57,$F$20,M$22,$H57,$F$19)</f>
        <v>6861.04</v>
      </c>
      <c r="N57" s="36">
        <f>_xll.DBRW($E$12,$F$16,$F$17,$F$18,$E57,$F$20,N$22,$H57,$F$19)</f>
        <v>3699.17</v>
      </c>
      <c r="O57" s="36">
        <f>_xll.DBRW($E$12,$F$16,$F$17,$F$18,$E57,$F$20,O$22,$H57,$F$19)</f>
        <v>-926.96</v>
      </c>
      <c r="P57" s="36">
        <f>_xll.DBRW($E$12,$F$16,$F$17,$F$18,$E57,$F$20,P$22,$H57,$F$19)</f>
        <v>0</v>
      </c>
      <c r="Q57" s="36">
        <f>_xll.DBRW($E$12,$F$16,$F$17,$F$18,$E57,$F$20,Q$22,$H57,$F$19)</f>
        <v>0</v>
      </c>
      <c r="R57" s="36">
        <f>_xll.DBRW($E$12,$F$16,$F$17,$F$18,$E57,$F$20,R$22,$H57,$F$19)</f>
        <v>0</v>
      </c>
      <c r="S57" s="36">
        <f>_xll.DBRW($E$12,$F$16,$F$17,$F$18,$E57,$F$20,S$22,$H57,$F$19)</f>
        <v>0</v>
      </c>
      <c r="T57" s="36">
        <f>_xll.DBRW($E$12,$F$16,$F$17,$F$18,$E57,$F$20,T$22,$H57,$F$19)</f>
        <v>0</v>
      </c>
      <c r="U57" s="36">
        <f>_xll.DBRW($E$12,$F$16,$F$17,$F$18,$E57,$F$20,U$22,$H57,$F$19)</f>
        <v>27946.010000000002</v>
      </c>
    </row>
    <row r="58" spans="4:21" s="37" customFormat="1" ht="15" outlineLevel="1" thickBot="1" x14ac:dyDescent="0.35">
      <c r="D58" s="33" t="str">
        <f>IF(_xll.TM1RPTELISCONSOLIDATED($H$34,$H58),IF(_xll.TM1RPTELLEV($H$34,$H58)&lt;=5,_xll.TM1RPTELLEV($H$34,$H58),"Default"),"Leaf")</f>
        <v>Leaf</v>
      </c>
      <c r="E58" s="42" t="s">
        <v>670</v>
      </c>
      <c r="F58" s="34" t="str">
        <f>_xll.DBR($B$18,$H58,"Account_Type")</f>
        <v>NON LABOR</v>
      </c>
      <c r="G58" s="34" t="str">
        <f>_xll.DBR($B$18,$H58,"Description")</f>
        <v>Office/Computer Supplies &amp; Eqpt</v>
      </c>
      <c r="H58" s="43" t="s">
        <v>143</v>
      </c>
      <c r="I58" s="36">
        <f>_xll.DBRW($E$12,$F$16,$F$17,$F$18,$E58,$F$20,I$22,$H58,$F$19)</f>
        <v>1032.28</v>
      </c>
      <c r="J58" s="36">
        <f>_xll.DBRW($E$12,$F$16,$F$17,$F$18,$E58,$F$20,J$22,$H58,$F$19)</f>
        <v>1387.93</v>
      </c>
      <c r="K58" s="36">
        <f>_xll.DBRW($E$12,$F$16,$F$17,$F$18,$E58,$F$20,K$22,$H58,$F$19)</f>
        <v>1178.67</v>
      </c>
      <c r="L58" s="36">
        <f>_xll.DBRW($E$12,$F$16,$F$17,$F$18,$E58,$F$20,L$22,$H58,$F$19)</f>
        <v>1541.56</v>
      </c>
      <c r="M58" s="36">
        <f>_xll.DBRW($E$12,$F$16,$F$17,$F$18,$E58,$F$20,M$22,$H58,$F$19)</f>
        <v>905.14</v>
      </c>
      <c r="N58" s="36">
        <f>_xll.DBRW($E$12,$F$16,$F$17,$F$18,$E58,$F$20,N$22,$H58,$F$19)</f>
        <v>922.34</v>
      </c>
      <c r="O58" s="36">
        <f>_xll.DBRW($E$12,$F$16,$F$17,$F$18,$E58,$F$20,O$22,$H58,$F$19)</f>
        <v>0</v>
      </c>
      <c r="P58" s="36">
        <f>_xll.DBRW($E$12,$F$16,$F$17,$F$18,$E58,$F$20,P$22,$H58,$F$19)</f>
        <v>0</v>
      </c>
      <c r="Q58" s="36">
        <f>_xll.DBRW($E$12,$F$16,$F$17,$F$18,$E58,$F$20,Q$22,$H58,$F$19)</f>
        <v>0</v>
      </c>
      <c r="R58" s="36">
        <f>_xll.DBRW($E$12,$F$16,$F$17,$F$18,$E58,$F$20,R$22,$H58,$F$19)</f>
        <v>0</v>
      </c>
      <c r="S58" s="36">
        <f>_xll.DBRW($E$12,$F$16,$F$17,$F$18,$E58,$F$20,S$22,$H58,$F$19)</f>
        <v>0</v>
      </c>
      <c r="T58" s="36">
        <f>_xll.DBRW($E$12,$F$16,$F$17,$F$18,$E58,$F$20,T$22,$H58,$F$19)</f>
        <v>0</v>
      </c>
      <c r="U58" s="36">
        <f>_xll.DBRW($E$12,$F$16,$F$17,$F$18,$E58,$F$20,U$22,$H58,$F$19)</f>
        <v>6967.920000000001</v>
      </c>
    </row>
    <row r="59" spans="4:21" s="37" customFormat="1" ht="15" outlineLevel="1" thickBot="1" x14ac:dyDescent="0.35">
      <c r="D59" s="33" t="str">
        <f>IF(_xll.TM1RPTELISCONSOLIDATED($H$34,$H59),IF(_xll.TM1RPTELLEV($H$34,$H59)&lt;=5,_xll.TM1RPTELLEV($H$34,$H59),"Default"),"Leaf")</f>
        <v>Leaf</v>
      </c>
      <c r="E59" s="42" t="s">
        <v>670</v>
      </c>
      <c r="F59" s="34" t="str">
        <f>_xll.DBR($B$18,$H59,"Account_Type")</f>
        <v>NON LABOR</v>
      </c>
      <c r="G59" s="34" t="str">
        <f>_xll.DBR($B$18,$H59,"Description")</f>
        <v>Office/Computer Supplies &amp; Eqpt</v>
      </c>
      <c r="H59" s="43" t="s">
        <v>144</v>
      </c>
      <c r="I59" s="36">
        <f>_xll.DBRW($E$12,$F$16,$F$17,$F$18,$E59,$F$20,I$22,$H59,$F$19)</f>
        <v>72.010000000000005</v>
      </c>
      <c r="J59" s="36">
        <f>_xll.DBRW($E$12,$F$16,$F$17,$F$18,$E59,$F$20,J$22,$H59,$F$19)</f>
        <v>1148.6600000000001</v>
      </c>
      <c r="K59" s="36">
        <f>_xll.DBRW($E$12,$F$16,$F$17,$F$18,$E59,$F$20,K$22,$H59,$F$19)</f>
        <v>191.29</v>
      </c>
      <c r="L59" s="36">
        <f>_xll.DBRW($E$12,$F$16,$F$17,$F$18,$E59,$F$20,L$22,$H59,$F$19)</f>
        <v>0</v>
      </c>
      <c r="M59" s="36">
        <f>_xll.DBRW($E$12,$F$16,$F$17,$F$18,$E59,$F$20,M$22,$H59,$F$19)</f>
        <v>654.30999999999995</v>
      </c>
      <c r="N59" s="36">
        <f>_xll.DBRW($E$12,$F$16,$F$17,$F$18,$E59,$F$20,N$22,$H59,$F$19)</f>
        <v>0</v>
      </c>
      <c r="O59" s="36">
        <f>_xll.DBRW($E$12,$F$16,$F$17,$F$18,$E59,$F$20,O$22,$H59,$F$19)</f>
        <v>0</v>
      </c>
      <c r="P59" s="36">
        <f>_xll.DBRW($E$12,$F$16,$F$17,$F$18,$E59,$F$20,P$22,$H59,$F$19)</f>
        <v>0</v>
      </c>
      <c r="Q59" s="36">
        <f>_xll.DBRW($E$12,$F$16,$F$17,$F$18,$E59,$F$20,Q$22,$H59,$F$19)</f>
        <v>0</v>
      </c>
      <c r="R59" s="36">
        <f>_xll.DBRW($E$12,$F$16,$F$17,$F$18,$E59,$F$20,R$22,$H59,$F$19)</f>
        <v>0</v>
      </c>
      <c r="S59" s="36">
        <f>_xll.DBRW($E$12,$F$16,$F$17,$F$18,$E59,$F$20,S$22,$H59,$F$19)</f>
        <v>0</v>
      </c>
      <c r="T59" s="36">
        <f>_xll.DBRW($E$12,$F$16,$F$17,$F$18,$E59,$F$20,T$22,$H59,$F$19)</f>
        <v>0</v>
      </c>
      <c r="U59" s="36">
        <f>_xll.DBRW($E$12,$F$16,$F$17,$F$18,$E59,$F$20,U$22,$H59,$F$19)</f>
        <v>2066.27</v>
      </c>
    </row>
    <row r="60" spans="4:21" s="37" customFormat="1" ht="15" outlineLevel="1" thickBot="1" x14ac:dyDescent="0.35">
      <c r="D60" s="33" t="str">
        <f>IF(_xll.TM1RPTELISCONSOLIDATED($H$34,$H60),IF(_xll.TM1RPTELLEV($H$34,$H60)&lt;=5,_xll.TM1RPTELLEV($H$34,$H60),"Default"),"Leaf")</f>
        <v>Leaf</v>
      </c>
      <c r="E60" s="42" t="s">
        <v>670</v>
      </c>
      <c r="F60" s="34" t="str">
        <f>_xll.DBR($B$18,$H60,"Account_Type")</f>
        <v>NON LABOR</v>
      </c>
      <c r="G60" s="34" t="str">
        <f>_xll.DBR($B$18,$H60,"Description")</f>
        <v>Office/Computer Supplies &amp; Eqpt</v>
      </c>
      <c r="H60" s="43" t="s">
        <v>145</v>
      </c>
      <c r="I60" s="36">
        <f>_xll.DBRW($E$12,$F$16,$F$17,$F$18,$E60,$F$20,I$22,$H60,$F$19)</f>
        <v>377.14</v>
      </c>
      <c r="J60" s="36">
        <f>_xll.DBRW($E$12,$F$16,$F$17,$F$18,$E60,$F$20,J$22,$H60,$F$19)</f>
        <v>617.16</v>
      </c>
      <c r="K60" s="36">
        <f>_xll.DBRW($E$12,$F$16,$F$17,$F$18,$E60,$F$20,K$22,$H60,$F$19)</f>
        <v>335.06</v>
      </c>
      <c r="L60" s="36">
        <f>_xll.DBRW($E$12,$F$16,$F$17,$F$18,$E60,$F$20,L$22,$H60,$F$19)</f>
        <v>335.06</v>
      </c>
      <c r="M60" s="36">
        <f>_xll.DBRW($E$12,$F$16,$F$17,$F$18,$E60,$F$20,M$22,$H60,$F$19)</f>
        <v>1477.67</v>
      </c>
      <c r="N60" s="36">
        <f>_xll.DBRW($E$12,$F$16,$F$17,$F$18,$E60,$F$20,N$22,$H60,$F$19)</f>
        <v>430.59</v>
      </c>
      <c r="O60" s="36">
        <f>_xll.DBRW($E$12,$F$16,$F$17,$F$18,$E60,$F$20,O$22,$H60,$F$19)</f>
        <v>-384.21</v>
      </c>
      <c r="P60" s="36">
        <f>_xll.DBRW($E$12,$F$16,$F$17,$F$18,$E60,$F$20,P$22,$H60,$F$19)</f>
        <v>0</v>
      </c>
      <c r="Q60" s="36">
        <f>_xll.DBRW($E$12,$F$16,$F$17,$F$18,$E60,$F$20,Q$22,$H60,$F$19)</f>
        <v>0</v>
      </c>
      <c r="R60" s="36">
        <f>_xll.DBRW($E$12,$F$16,$F$17,$F$18,$E60,$F$20,R$22,$H60,$F$19)</f>
        <v>0</v>
      </c>
      <c r="S60" s="36">
        <f>_xll.DBRW($E$12,$F$16,$F$17,$F$18,$E60,$F$20,S$22,$H60,$F$19)</f>
        <v>0</v>
      </c>
      <c r="T60" s="36">
        <f>_xll.DBRW($E$12,$F$16,$F$17,$F$18,$E60,$F$20,T$22,$H60,$F$19)</f>
        <v>0</v>
      </c>
      <c r="U60" s="36">
        <f>_xll.DBRW($E$12,$F$16,$F$17,$F$18,$E60,$F$20,U$22,$H60,$F$19)</f>
        <v>3188.4700000000003</v>
      </c>
    </row>
    <row r="61" spans="4:21" s="37" customFormat="1" ht="15" outlineLevel="1" thickBot="1" x14ac:dyDescent="0.35">
      <c r="D61" s="33" t="str">
        <f>IF(_xll.TM1RPTELISCONSOLIDATED($H$34,$H61),IF(_xll.TM1RPTELLEV($H$34,$H61)&lt;=5,_xll.TM1RPTELLEV($H$34,$H61),"Default"),"Leaf")</f>
        <v>Leaf</v>
      </c>
      <c r="E61" s="42" t="s">
        <v>670</v>
      </c>
      <c r="F61" s="34" t="str">
        <f>_xll.DBR($B$18,$H61,"Account_Type")</f>
        <v>NON LABOR</v>
      </c>
      <c r="G61" s="34" t="str">
        <f>_xll.DBR($B$18,$H61,"Description")</f>
        <v>Postage &amp; Courier Fees</v>
      </c>
      <c r="H61" s="43" t="s">
        <v>158</v>
      </c>
      <c r="I61" s="36">
        <f>_xll.DBRW($E$12,$F$16,$F$17,$F$18,$E61,$F$20,I$22,$H61,$F$19)</f>
        <v>335.87</v>
      </c>
      <c r="J61" s="36">
        <f>_xll.DBRW($E$12,$F$16,$F$17,$F$18,$E61,$F$20,J$22,$H61,$F$19)</f>
        <v>83.86</v>
      </c>
      <c r="K61" s="36">
        <f>_xll.DBRW($E$12,$F$16,$F$17,$F$18,$E61,$F$20,K$22,$H61,$F$19)</f>
        <v>0</v>
      </c>
      <c r="L61" s="36">
        <f>_xll.DBRW($E$12,$F$16,$F$17,$F$18,$E61,$F$20,L$22,$H61,$F$19)</f>
        <v>1994.1</v>
      </c>
      <c r="M61" s="36">
        <f>_xll.DBRW($E$12,$F$16,$F$17,$F$18,$E61,$F$20,M$22,$H61,$F$19)</f>
        <v>48.86</v>
      </c>
      <c r="N61" s="36">
        <f>_xll.DBRW($E$12,$F$16,$F$17,$F$18,$E61,$F$20,N$22,$H61,$F$19)</f>
        <v>453.06</v>
      </c>
      <c r="O61" s="36">
        <f>_xll.DBRW($E$12,$F$16,$F$17,$F$18,$E61,$F$20,O$22,$H61,$F$19)</f>
        <v>0</v>
      </c>
      <c r="P61" s="36">
        <f>_xll.DBRW($E$12,$F$16,$F$17,$F$18,$E61,$F$20,P$22,$H61,$F$19)</f>
        <v>0</v>
      </c>
      <c r="Q61" s="36">
        <f>_xll.DBRW($E$12,$F$16,$F$17,$F$18,$E61,$F$20,Q$22,$H61,$F$19)</f>
        <v>0</v>
      </c>
      <c r="R61" s="36">
        <f>_xll.DBRW($E$12,$F$16,$F$17,$F$18,$E61,$F$20,R$22,$H61,$F$19)</f>
        <v>0</v>
      </c>
      <c r="S61" s="36">
        <f>_xll.DBRW($E$12,$F$16,$F$17,$F$18,$E61,$F$20,S$22,$H61,$F$19)</f>
        <v>0</v>
      </c>
      <c r="T61" s="36">
        <f>_xll.DBRW($E$12,$F$16,$F$17,$F$18,$E61,$F$20,T$22,$H61,$F$19)</f>
        <v>0</v>
      </c>
      <c r="U61" s="36">
        <f>_xll.DBRW($E$12,$F$16,$F$17,$F$18,$E61,$F$20,U$22,$H61,$F$19)</f>
        <v>2915.75</v>
      </c>
    </row>
    <row r="62" spans="4:21" s="37" customFormat="1" ht="15" outlineLevel="1" thickBot="1" x14ac:dyDescent="0.35">
      <c r="D62" s="33" t="str">
        <f>IF(_xll.TM1RPTELISCONSOLIDATED($H$34,$H62),IF(_xll.TM1RPTELLEV($H$34,$H62)&lt;=5,_xll.TM1RPTELLEV($H$34,$H62),"Default"),"Leaf")</f>
        <v>Leaf</v>
      </c>
      <c r="E62" s="42" t="s">
        <v>670</v>
      </c>
      <c r="F62" s="34" t="str">
        <f>_xll.DBR($B$18,$H62,"Account_Type")</f>
        <v>NON LABOR</v>
      </c>
      <c r="G62" s="34" t="str">
        <f>_xll.DBR($B$18,$H62,"Description")</f>
        <v>Postage &amp; Courier Fees</v>
      </c>
      <c r="H62" s="43" t="s">
        <v>159</v>
      </c>
      <c r="I62" s="36">
        <f>_xll.DBRW($E$12,$F$16,$F$17,$F$18,$E62,$F$20,I$22,$H62,$F$19)</f>
        <v>0</v>
      </c>
      <c r="J62" s="36">
        <f>_xll.DBRW($E$12,$F$16,$F$17,$F$18,$E62,$F$20,J$22,$H62,$F$19)</f>
        <v>14.48</v>
      </c>
      <c r="K62" s="36">
        <f>_xll.DBRW($E$12,$F$16,$F$17,$F$18,$E62,$F$20,K$22,$H62,$F$19)</f>
        <v>0</v>
      </c>
      <c r="L62" s="36">
        <f>_xll.DBRW($E$12,$F$16,$F$17,$F$18,$E62,$F$20,L$22,$H62,$F$19)</f>
        <v>29.26</v>
      </c>
      <c r="M62" s="36">
        <f>_xll.DBRW($E$12,$F$16,$F$17,$F$18,$E62,$F$20,M$22,$H62,$F$19)</f>
        <v>30.43</v>
      </c>
      <c r="N62" s="36">
        <f>_xll.DBRW($E$12,$F$16,$F$17,$F$18,$E62,$F$20,N$22,$H62,$F$19)</f>
        <v>26.98</v>
      </c>
      <c r="O62" s="36">
        <f>_xll.DBRW($E$12,$F$16,$F$17,$F$18,$E62,$F$20,O$22,$H62,$F$19)</f>
        <v>0</v>
      </c>
      <c r="P62" s="36">
        <f>_xll.DBRW($E$12,$F$16,$F$17,$F$18,$E62,$F$20,P$22,$H62,$F$19)</f>
        <v>0</v>
      </c>
      <c r="Q62" s="36">
        <f>_xll.DBRW($E$12,$F$16,$F$17,$F$18,$E62,$F$20,Q$22,$H62,$F$19)</f>
        <v>0</v>
      </c>
      <c r="R62" s="36">
        <f>_xll.DBRW($E$12,$F$16,$F$17,$F$18,$E62,$F$20,R$22,$H62,$F$19)</f>
        <v>0</v>
      </c>
      <c r="S62" s="36">
        <f>_xll.DBRW($E$12,$F$16,$F$17,$F$18,$E62,$F$20,S$22,$H62,$F$19)</f>
        <v>0</v>
      </c>
      <c r="T62" s="36">
        <f>_xll.DBRW($E$12,$F$16,$F$17,$F$18,$E62,$F$20,T$22,$H62,$F$19)</f>
        <v>0</v>
      </c>
      <c r="U62" s="36">
        <f>_xll.DBRW($E$12,$F$16,$F$17,$F$18,$E62,$F$20,U$22,$H62,$F$19)</f>
        <v>101.15</v>
      </c>
    </row>
    <row r="63" spans="4:21" s="37" customFormat="1" ht="15" outlineLevel="1" thickBot="1" x14ac:dyDescent="0.35">
      <c r="D63" s="33" t="str">
        <f>IF(_xll.TM1RPTELISCONSOLIDATED($H$34,$H63),IF(_xll.TM1RPTELLEV($H$34,$H63)&lt;=5,_xll.TM1RPTELLEV($H$34,$H63),"Default"),"Leaf")</f>
        <v>Leaf</v>
      </c>
      <c r="E63" s="42" t="s">
        <v>670</v>
      </c>
      <c r="F63" s="34" t="str">
        <f>_xll.DBR($B$18,$H63,"Account_Type")</f>
        <v>NON LABOR</v>
      </c>
      <c r="G63" s="34" t="str">
        <f>_xll.DBR($B$18,$H63,"Description")</f>
        <v>Postage &amp; Courier Fees</v>
      </c>
      <c r="H63" s="43" t="s">
        <v>160</v>
      </c>
      <c r="I63" s="36">
        <f>_xll.DBRW($E$12,$F$16,$F$17,$F$18,$E63,$F$20,I$22,$H63,$F$19)</f>
        <v>149.34</v>
      </c>
      <c r="J63" s="36">
        <f>_xll.DBRW($E$12,$F$16,$F$17,$F$18,$E63,$F$20,J$22,$H63,$F$19)</f>
        <v>71.92</v>
      </c>
      <c r="K63" s="36">
        <f>_xll.DBRW($E$12,$F$16,$F$17,$F$18,$E63,$F$20,K$22,$H63,$F$19)</f>
        <v>136.25</v>
      </c>
      <c r="L63" s="36">
        <f>_xll.DBRW($E$12,$F$16,$F$17,$F$18,$E63,$F$20,L$22,$H63,$F$19)</f>
        <v>140.09</v>
      </c>
      <c r="M63" s="36">
        <f>_xll.DBRW($E$12,$F$16,$F$17,$F$18,$E63,$F$20,M$22,$H63,$F$19)</f>
        <v>81.48</v>
      </c>
      <c r="N63" s="36">
        <f>_xll.DBRW($E$12,$F$16,$F$17,$F$18,$E63,$F$20,N$22,$H63,$F$19)</f>
        <v>113.11</v>
      </c>
      <c r="O63" s="36">
        <f>_xll.DBRW($E$12,$F$16,$F$17,$F$18,$E63,$F$20,O$22,$H63,$F$19)</f>
        <v>0</v>
      </c>
      <c r="P63" s="36">
        <f>_xll.DBRW($E$12,$F$16,$F$17,$F$18,$E63,$F$20,P$22,$H63,$F$19)</f>
        <v>0</v>
      </c>
      <c r="Q63" s="36">
        <f>_xll.DBRW($E$12,$F$16,$F$17,$F$18,$E63,$F$20,Q$22,$H63,$F$19)</f>
        <v>0</v>
      </c>
      <c r="R63" s="36">
        <f>_xll.DBRW($E$12,$F$16,$F$17,$F$18,$E63,$F$20,R$22,$H63,$F$19)</f>
        <v>0</v>
      </c>
      <c r="S63" s="36">
        <f>_xll.DBRW($E$12,$F$16,$F$17,$F$18,$E63,$F$20,S$22,$H63,$F$19)</f>
        <v>0</v>
      </c>
      <c r="T63" s="36">
        <f>_xll.DBRW($E$12,$F$16,$F$17,$F$18,$E63,$F$20,T$22,$H63,$F$19)</f>
        <v>0</v>
      </c>
      <c r="U63" s="36">
        <f>_xll.DBRW($E$12,$F$16,$F$17,$F$18,$E63,$F$20,U$22,$H63,$F$19)</f>
        <v>692.19</v>
      </c>
    </row>
    <row r="64" spans="4:21" s="37" customFormat="1" ht="15" outlineLevel="1" thickBot="1" x14ac:dyDescent="0.35">
      <c r="D64" s="33" t="str">
        <f>IF(_xll.TM1RPTELISCONSOLIDATED($H$34,$H64),IF(_xll.TM1RPTELLEV($H$34,$H64)&lt;=5,_xll.TM1RPTELLEV($H$34,$H64),"Default"),"Leaf")</f>
        <v>Leaf</v>
      </c>
      <c r="E64" s="42" t="s">
        <v>670</v>
      </c>
      <c r="F64" s="34" t="str">
        <f>_xll.DBR($B$18,$H64,"Account_Type")</f>
        <v>NON LABOR</v>
      </c>
      <c r="G64" s="34" t="str">
        <f>_xll.DBR($B$18,$H64,"Description")</f>
        <v>Postage &amp; Courier Fees</v>
      </c>
      <c r="H64" s="43" t="s">
        <v>161</v>
      </c>
      <c r="I64" s="36">
        <f>_xll.DBRW($E$12,$F$16,$F$17,$F$18,$E64,$F$20,I$22,$H64,$F$19)</f>
        <v>172.42</v>
      </c>
      <c r="J64" s="36">
        <f>_xll.DBRW($E$12,$F$16,$F$17,$F$18,$E64,$F$20,J$22,$H64,$F$19)</f>
        <v>85.2</v>
      </c>
      <c r="K64" s="36">
        <f>_xll.DBRW($E$12,$F$16,$F$17,$F$18,$E64,$F$20,K$22,$H64,$F$19)</f>
        <v>18.45</v>
      </c>
      <c r="L64" s="36">
        <f>_xll.DBRW($E$12,$F$16,$F$17,$F$18,$E64,$F$20,L$22,$H64,$F$19)</f>
        <v>57.02</v>
      </c>
      <c r="M64" s="36">
        <f>_xll.DBRW($E$12,$F$16,$F$17,$F$18,$E64,$F$20,M$22,$H64,$F$19)</f>
        <v>128.74</v>
      </c>
      <c r="N64" s="36">
        <f>_xll.DBRW($E$12,$F$16,$F$17,$F$18,$E64,$F$20,N$22,$H64,$F$19)</f>
        <v>139.91</v>
      </c>
      <c r="O64" s="36">
        <f>_xll.DBRW($E$12,$F$16,$F$17,$F$18,$E64,$F$20,O$22,$H64,$F$19)</f>
        <v>0</v>
      </c>
      <c r="P64" s="36">
        <f>_xll.DBRW($E$12,$F$16,$F$17,$F$18,$E64,$F$20,P$22,$H64,$F$19)</f>
        <v>0</v>
      </c>
      <c r="Q64" s="36">
        <f>_xll.DBRW($E$12,$F$16,$F$17,$F$18,$E64,$F$20,Q$22,$H64,$F$19)</f>
        <v>0</v>
      </c>
      <c r="R64" s="36">
        <f>_xll.DBRW($E$12,$F$16,$F$17,$F$18,$E64,$F$20,R$22,$H64,$F$19)</f>
        <v>0</v>
      </c>
      <c r="S64" s="36">
        <f>_xll.DBRW($E$12,$F$16,$F$17,$F$18,$E64,$F$20,S$22,$H64,$F$19)</f>
        <v>0</v>
      </c>
      <c r="T64" s="36">
        <f>_xll.DBRW($E$12,$F$16,$F$17,$F$18,$E64,$F$20,T$22,$H64,$F$19)</f>
        <v>0</v>
      </c>
      <c r="U64" s="36">
        <f>_xll.DBRW($E$12,$F$16,$F$17,$F$18,$E64,$F$20,U$22,$H64,$F$19)</f>
        <v>601.74</v>
      </c>
    </row>
    <row r="65" spans="4:21" s="37" customFormat="1" ht="15" outlineLevel="1" thickBot="1" x14ac:dyDescent="0.35">
      <c r="D65" s="33" t="str">
        <f>IF(_xll.TM1RPTELISCONSOLIDATED($H$34,$H65),IF(_xll.TM1RPTELLEV($H$34,$H65)&lt;=5,_xll.TM1RPTELLEV($H$34,$H65),"Default"),"Leaf")</f>
        <v>Leaf</v>
      </c>
      <c r="E65" s="42" t="s">
        <v>670</v>
      </c>
      <c r="F65" s="34" t="str">
        <f>_xll.DBR($B$18,$H65,"Account_Type")</f>
        <v>NON LABOR</v>
      </c>
      <c r="G65" s="34" t="str">
        <f>_xll.DBR($B$18,$H65,"Description")</f>
        <v>Postage &amp; Courier Fees</v>
      </c>
      <c r="H65" s="43" t="s">
        <v>162</v>
      </c>
      <c r="I65" s="36">
        <f>_xll.DBRW($E$12,$F$16,$F$17,$F$18,$E65,$F$20,I$22,$H65,$F$19)</f>
        <v>0</v>
      </c>
      <c r="J65" s="36">
        <f>_xll.DBRW($E$12,$F$16,$F$17,$F$18,$E65,$F$20,J$22,$H65,$F$19)</f>
        <v>0</v>
      </c>
      <c r="K65" s="36">
        <f>_xll.DBRW($E$12,$F$16,$F$17,$F$18,$E65,$F$20,K$22,$H65,$F$19)</f>
        <v>0</v>
      </c>
      <c r="L65" s="36">
        <f>_xll.DBRW($E$12,$F$16,$F$17,$F$18,$E65,$F$20,L$22,$H65,$F$19)</f>
        <v>0</v>
      </c>
      <c r="M65" s="36">
        <f>_xll.DBRW($E$12,$F$16,$F$17,$F$18,$E65,$F$20,M$22,$H65,$F$19)</f>
        <v>274.55</v>
      </c>
      <c r="N65" s="36">
        <f>_xll.DBRW($E$12,$F$16,$F$17,$F$18,$E65,$F$20,N$22,$H65,$F$19)</f>
        <v>6.85</v>
      </c>
      <c r="O65" s="36">
        <f>_xll.DBRW($E$12,$F$16,$F$17,$F$18,$E65,$F$20,O$22,$H65,$F$19)</f>
        <v>0</v>
      </c>
      <c r="P65" s="36">
        <f>_xll.DBRW($E$12,$F$16,$F$17,$F$18,$E65,$F$20,P$22,$H65,$F$19)</f>
        <v>0</v>
      </c>
      <c r="Q65" s="36">
        <f>_xll.DBRW($E$12,$F$16,$F$17,$F$18,$E65,$F$20,Q$22,$H65,$F$19)</f>
        <v>0</v>
      </c>
      <c r="R65" s="36">
        <f>_xll.DBRW($E$12,$F$16,$F$17,$F$18,$E65,$F$20,R$22,$H65,$F$19)</f>
        <v>0</v>
      </c>
      <c r="S65" s="36">
        <f>_xll.DBRW($E$12,$F$16,$F$17,$F$18,$E65,$F$20,S$22,$H65,$F$19)</f>
        <v>0</v>
      </c>
      <c r="T65" s="36">
        <f>_xll.DBRW($E$12,$F$16,$F$17,$F$18,$E65,$F$20,T$22,$H65,$F$19)</f>
        <v>0</v>
      </c>
      <c r="U65" s="36">
        <f>_xll.DBRW($E$12,$F$16,$F$17,$F$18,$E65,$F$20,U$22,$H65,$F$19)</f>
        <v>281.40000000000003</v>
      </c>
    </row>
    <row r="66" spans="4:21" s="37" customFormat="1" ht="15" outlineLevel="1" thickBot="1" x14ac:dyDescent="0.35">
      <c r="D66" s="33" t="str">
        <f>IF(_xll.TM1RPTELISCONSOLIDATED($H$34,$H66),IF(_xll.TM1RPTELLEV($H$34,$H66)&lt;=5,_xll.TM1RPTELLEV($H$34,$H66),"Default"),"Leaf")</f>
        <v>Leaf</v>
      </c>
      <c r="E66" s="42" t="s">
        <v>670</v>
      </c>
      <c r="F66" s="34" t="str">
        <f>_xll.DBR($B$18,$H66,"Account_Type")</f>
        <v>NON LABOR</v>
      </c>
      <c r="G66" s="34" t="str">
        <f>_xll.DBR($B$18,$H66,"Description")</f>
        <v>Printing &amp; Reproduction</v>
      </c>
      <c r="H66" s="43" t="s">
        <v>168</v>
      </c>
      <c r="I66" s="36">
        <f>_xll.DBRW($E$12,$F$16,$F$17,$F$18,$E66,$F$20,I$22,$H66,$F$19)</f>
        <v>0</v>
      </c>
      <c r="J66" s="36">
        <f>_xll.DBRW($E$12,$F$16,$F$17,$F$18,$E66,$F$20,J$22,$H66,$F$19)</f>
        <v>6968</v>
      </c>
      <c r="K66" s="36">
        <f>_xll.DBRW($E$12,$F$16,$F$17,$F$18,$E66,$F$20,K$22,$H66,$F$19)</f>
        <v>0</v>
      </c>
      <c r="L66" s="36">
        <f>_xll.DBRW($E$12,$F$16,$F$17,$F$18,$E66,$F$20,L$22,$H66,$F$19)</f>
        <v>1189.02</v>
      </c>
      <c r="M66" s="36">
        <f>_xll.DBRW($E$12,$F$16,$F$17,$F$18,$E66,$F$20,M$22,$H66,$F$19)</f>
        <v>0</v>
      </c>
      <c r="N66" s="36">
        <f>_xll.DBRW($E$12,$F$16,$F$17,$F$18,$E66,$F$20,N$22,$H66,$F$19)</f>
        <v>0</v>
      </c>
      <c r="O66" s="36">
        <f>_xll.DBRW($E$12,$F$16,$F$17,$F$18,$E66,$F$20,O$22,$H66,$F$19)</f>
        <v>0</v>
      </c>
      <c r="P66" s="36">
        <f>_xll.DBRW($E$12,$F$16,$F$17,$F$18,$E66,$F$20,P$22,$H66,$F$19)</f>
        <v>0</v>
      </c>
      <c r="Q66" s="36">
        <f>_xll.DBRW($E$12,$F$16,$F$17,$F$18,$E66,$F$20,Q$22,$H66,$F$19)</f>
        <v>0</v>
      </c>
      <c r="R66" s="36">
        <f>_xll.DBRW($E$12,$F$16,$F$17,$F$18,$E66,$F$20,R$22,$H66,$F$19)</f>
        <v>0</v>
      </c>
      <c r="S66" s="36">
        <f>_xll.DBRW($E$12,$F$16,$F$17,$F$18,$E66,$F$20,S$22,$H66,$F$19)</f>
        <v>0</v>
      </c>
      <c r="T66" s="36">
        <f>_xll.DBRW($E$12,$F$16,$F$17,$F$18,$E66,$F$20,T$22,$H66,$F$19)</f>
        <v>0</v>
      </c>
      <c r="U66" s="36">
        <f>_xll.DBRW($E$12,$F$16,$F$17,$F$18,$E66,$F$20,U$22,$H66,$F$19)</f>
        <v>8157.02</v>
      </c>
    </row>
    <row r="67" spans="4:21" s="37" customFormat="1" ht="15" outlineLevel="1" thickBot="1" x14ac:dyDescent="0.35">
      <c r="D67" s="33" t="str">
        <f>IF(_xll.TM1RPTELISCONSOLIDATED($H$34,$H67),IF(_xll.TM1RPTELLEV($H$34,$H67)&lt;=5,_xll.TM1RPTELLEV($H$34,$H67),"Default"),"Leaf")</f>
        <v>Leaf</v>
      </c>
      <c r="E67" s="42" t="s">
        <v>670</v>
      </c>
      <c r="F67" s="34" t="str">
        <f>_xll.DBR($B$18,$H67,"Account_Type")</f>
        <v>NON LABOR</v>
      </c>
      <c r="G67" s="34" t="str">
        <f>_xll.DBR($B$18,$H67,"Description")</f>
        <v>Printing &amp; Reproduction</v>
      </c>
      <c r="H67" s="43" t="s">
        <v>169</v>
      </c>
      <c r="I67" s="36">
        <f>_xll.DBRW($E$12,$F$16,$F$17,$F$18,$E67,$F$20,I$22,$H67,$F$19)</f>
        <v>0</v>
      </c>
      <c r="J67" s="36">
        <f>_xll.DBRW($E$12,$F$16,$F$17,$F$18,$E67,$F$20,J$22,$H67,$F$19)</f>
        <v>462.03</v>
      </c>
      <c r="K67" s="36">
        <f>_xll.DBRW($E$12,$F$16,$F$17,$F$18,$E67,$F$20,K$22,$H67,$F$19)</f>
        <v>0</v>
      </c>
      <c r="L67" s="36">
        <f>_xll.DBRW($E$12,$F$16,$F$17,$F$18,$E67,$F$20,L$22,$H67,$F$19)</f>
        <v>0</v>
      </c>
      <c r="M67" s="36">
        <f>_xll.DBRW($E$12,$F$16,$F$17,$F$18,$E67,$F$20,M$22,$H67,$F$19)</f>
        <v>0</v>
      </c>
      <c r="N67" s="36">
        <f>_xll.DBRW($E$12,$F$16,$F$17,$F$18,$E67,$F$20,N$22,$H67,$F$19)</f>
        <v>748.29</v>
      </c>
      <c r="O67" s="36">
        <f>_xll.DBRW($E$12,$F$16,$F$17,$F$18,$E67,$F$20,O$22,$H67,$F$19)</f>
        <v>0</v>
      </c>
      <c r="P67" s="36">
        <f>_xll.DBRW($E$12,$F$16,$F$17,$F$18,$E67,$F$20,P$22,$H67,$F$19)</f>
        <v>0</v>
      </c>
      <c r="Q67" s="36">
        <f>_xll.DBRW($E$12,$F$16,$F$17,$F$18,$E67,$F$20,Q$22,$H67,$F$19)</f>
        <v>0</v>
      </c>
      <c r="R67" s="36">
        <f>_xll.DBRW($E$12,$F$16,$F$17,$F$18,$E67,$F$20,R$22,$H67,$F$19)</f>
        <v>0</v>
      </c>
      <c r="S67" s="36">
        <f>_xll.DBRW($E$12,$F$16,$F$17,$F$18,$E67,$F$20,S$22,$H67,$F$19)</f>
        <v>0</v>
      </c>
      <c r="T67" s="36">
        <f>_xll.DBRW($E$12,$F$16,$F$17,$F$18,$E67,$F$20,T$22,$H67,$F$19)</f>
        <v>0</v>
      </c>
      <c r="U67" s="36">
        <f>_xll.DBRW($E$12,$F$16,$F$17,$F$18,$E67,$F$20,U$22,$H67,$F$19)</f>
        <v>1210.32</v>
      </c>
    </row>
    <row r="68" spans="4:21" s="37" customFormat="1" ht="15" outlineLevel="1" thickBot="1" x14ac:dyDescent="0.35">
      <c r="D68" s="33" t="str">
        <f>IF(_xll.TM1RPTELISCONSOLIDATED($H$34,$H68),IF(_xll.TM1RPTELLEV($H$34,$H68)&lt;=5,_xll.TM1RPTELLEV($H$34,$H68),"Default"),"Leaf")</f>
        <v>Leaf</v>
      </c>
      <c r="E68" s="42" t="s">
        <v>670</v>
      </c>
      <c r="F68" s="34" t="str">
        <f>_xll.DBR($B$18,$H68,"Account_Type")</f>
        <v>NON LABOR</v>
      </c>
      <c r="G68" s="34" t="str">
        <f>_xll.DBR($B$18,$H68,"Description")</f>
        <v>Printing &amp; Reproduction</v>
      </c>
      <c r="H68" s="43" t="s">
        <v>170</v>
      </c>
      <c r="I68" s="36">
        <f>_xll.DBRW($E$12,$F$16,$F$17,$F$18,$E68,$F$20,I$22,$H68,$F$19)</f>
        <v>293.73</v>
      </c>
      <c r="J68" s="36">
        <f>_xll.DBRW($E$12,$F$16,$F$17,$F$18,$E68,$F$20,J$22,$H68,$F$19)</f>
        <v>0</v>
      </c>
      <c r="K68" s="36">
        <f>_xll.DBRW($E$12,$F$16,$F$17,$F$18,$E68,$F$20,K$22,$H68,$F$19)</f>
        <v>7031.51</v>
      </c>
      <c r="L68" s="36">
        <f>_xll.DBRW($E$12,$F$16,$F$17,$F$18,$E68,$F$20,L$22,$H68,$F$19)</f>
        <v>0</v>
      </c>
      <c r="M68" s="36">
        <f>_xll.DBRW($E$12,$F$16,$F$17,$F$18,$E68,$F$20,M$22,$H68,$F$19)</f>
        <v>0</v>
      </c>
      <c r="N68" s="36">
        <f>_xll.DBRW($E$12,$F$16,$F$17,$F$18,$E68,$F$20,N$22,$H68,$F$19)</f>
        <v>0</v>
      </c>
      <c r="O68" s="36">
        <f>_xll.DBRW($E$12,$F$16,$F$17,$F$18,$E68,$F$20,O$22,$H68,$F$19)</f>
        <v>0</v>
      </c>
      <c r="P68" s="36">
        <f>_xll.DBRW($E$12,$F$16,$F$17,$F$18,$E68,$F$20,P$22,$H68,$F$19)</f>
        <v>0</v>
      </c>
      <c r="Q68" s="36">
        <f>_xll.DBRW($E$12,$F$16,$F$17,$F$18,$E68,$F$20,Q$22,$H68,$F$19)</f>
        <v>0</v>
      </c>
      <c r="R68" s="36">
        <f>_xll.DBRW($E$12,$F$16,$F$17,$F$18,$E68,$F$20,R$22,$H68,$F$19)</f>
        <v>0</v>
      </c>
      <c r="S68" s="36">
        <f>_xll.DBRW($E$12,$F$16,$F$17,$F$18,$E68,$F$20,S$22,$H68,$F$19)</f>
        <v>0</v>
      </c>
      <c r="T68" s="36">
        <f>_xll.DBRW($E$12,$F$16,$F$17,$F$18,$E68,$F$20,T$22,$H68,$F$19)</f>
        <v>0</v>
      </c>
      <c r="U68" s="36">
        <f>_xll.DBRW($E$12,$F$16,$F$17,$F$18,$E68,$F$20,U$22,$H68,$F$19)</f>
        <v>7325.24</v>
      </c>
    </row>
    <row r="69" spans="4:21" s="37" customFormat="1" ht="15" outlineLevel="1" thickBot="1" x14ac:dyDescent="0.35">
      <c r="D69" s="33" t="str">
        <f>IF(_xll.TM1RPTELISCONSOLIDATED($H$34,$H69),IF(_xll.TM1RPTELLEV($H$34,$H69)&lt;=5,_xll.TM1RPTELLEV($H$34,$H69),"Default"),"Leaf")</f>
        <v>Leaf</v>
      </c>
      <c r="E69" s="42" t="s">
        <v>670</v>
      </c>
      <c r="F69" s="34" t="str">
        <f>_xll.DBR($B$18,$H69,"Account_Type")</f>
        <v>NON LABOR</v>
      </c>
      <c r="G69" s="34" t="str">
        <f>_xll.DBR($B$18,$H69,"Description")</f>
        <v>Education/Training/Dues/Subscriptions</v>
      </c>
      <c r="H69" s="43" t="s">
        <v>178</v>
      </c>
      <c r="I69" s="36">
        <f>_xll.DBRW($E$12,$F$16,$F$17,$F$18,$E69,$F$20,I$22,$H69,$F$19)</f>
        <v>1526.96</v>
      </c>
      <c r="J69" s="36">
        <f>_xll.DBRW($E$12,$F$16,$F$17,$F$18,$E69,$F$20,J$22,$H69,$F$19)</f>
        <v>9972.7000000000007</v>
      </c>
      <c r="K69" s="36">
        <f>_xll.DBRW($E$12,$F$16,$F$17,$F$18,$E69,$F$20,K$22,$H69,$F$19)</f>
        <v>8478.31</v>
      </c>
      <c r="L69" s="36">
        <f>_xll.DBRW($E$12,$F$16,$F$17,$F$18,$E69,$F$20,L$22,$H69,$F$19)</f>
        <v>1380.1</v>
      </c>
      <c r="M69" s="36">
        <f>_xll.DBRW($E$12,$F$16,$F$17,$F$18,$E69,$F$20,M$22,$H69,$F$19)</f>
        <v>3057.96</v>
      </c>
      <c r="N69" s="36">
        <f>_xll.DBRW($E$12,$F$16,$F$17,$F$18,$E69,$F$20,N$22,$H69,$F$19)</f>
        <v>8705.74</v>
      </c>
      <c r="O69" s="36">
        <f>_xll.DBRW($E$12,$F$16,$F$17,$F$18,$E69,$F$20,O$22,$H69,$F$19)</f>
        <v>0</v>
      </c>
      <c r="P69" s="36">
        <f>_xll.DBRW($E$12,$F$16,$F$17,$F$18,$E69,$F$20,P$22,$H69,$F$19)</f>
        <v>0</v>
      </c>
      <c r="Q69" s="36">
        <f>_xll.DBRW($E$12,$F$16,$F$17,$F$18,$E69,$F$20,Q$22,$H69,$F$19)</f>
        <v>0</v>
      </c>
      <c r="R69" s="36">
        <f>_xll.DBRW($E$12,$F$16,$F$17,$F$18,$E69,$F$20,R$22,$H69,$F$19)</f>
        <v>0</v>
      </c>
      <c r="S69" s="36">
        <f>_xll.DBRW($E$12,$F$16,$F$17,$F$18,$E69,$F$20,S$22,$H69,$F$19)</f>
        <v>0</v>
      </c>
      <c r="T69" s="36">
        <f>_xll.DBRW($E$12,$F$16,$F$17,$F$18,$E69,$F$20,T$22,$H69,$F$19)</f>
        <v>0</v>
      </c>
      <c r="U69" s="36">
        <f>_xll.DBRW($E$12,$F$16,$F$17,$F$18,$E69,$F$20,U$22,$H69,$F$19)</f>
        <v>33121.769999999997</v>
      </c>
    </row>
    <row r="70" spans="4:21" s="37" customFormat="1" ht="15" outlineLevel="1" thickBot="1" x14ac:dyDescent="0.35">
      <c r="D70" s="33" t="str">
        <f>IF(_xll.TM1RPTELISCONSOLIDATED($H$34,$H70),IF(_xll.TM1RPTELLEV($H$34,$H70)&lt;=5,_xll.TM1RPTELLEV($H$34,$H70),"Default"),"Leaf")</f>
        <v>Leaf</v>
      </c>
      <c r="E70" s="42" t="s">
        <v>670</v>
      </c>
      <c r="F70" s="34" t="str">
        <f>_xll.DBR($B$18,$H70,"Account_Type")</f>
        <v>NON LABOR</v>
      </c>
      <c r="G70" s="34" t="str">
        <f>_xll.DBR($B$18,$H70,"Description")</f>
        <v>Education/Training/Dues/Subscriptions</v>
      </c>
      <c r="H70" s="43" t="s">
        <v>179</v>
      </c>
      <c r="I70" s="36">
        <f>_xll.DBRW($E$12,$F$16,$F$17,$F$18,$E70,$F$20,I$22,$H70,$F$19)</f>
        <v>19.78</v>
      </c>
      <c r="J70" s="36">
        <f>_xll.DBRW($E$12,$F$16,$F$17,$F$18,$E70,$F$20,J$22,$H70,$F$19)</f>
        <v>0</v>
      </c>
      <c r="K70" s="36">
        <f>_xll.DBRW($E$12,$F$16,$F$17,$F$18,$E70,$F$20,K$22,$H70,$F$19)</f>
        <v>0</v>
      </c>
      <c r="L70" s="36">
        <f>_xll.DBRW($E$12,$F$16,$F$17,$F$18,$E70,$F$20,L$22,$H70,$F$19)</f>
        <v>233.26</v>
      </c>
      <c r="M70" s="36">
        <f>_xll.DBRW($E$12,$F$16,$F$17,$F$18,$E70,$F$20,M$22,$H70,$F$19)</f>
        <v>0</v>
      </c>
      <c r="N70" s="36">
        <f>_xll.DBRW($E$12,$F$16,$F$17,$F$18,$E70,$F$20,N$22,$H70,$F$19)</f>
        <v>0</v>
      </c>
      <c r="O70" s="36">
        <f>_xll.DBRW($E$12,$F$16,$F$17,$F$18,$E70,$F$20,O$22,$H70,$F$19)</f>
        <v>0</v>
      </c>
      <c r="P70" s="36">
        <f>_xll.DBRW($E$12,$F$16,$F$17,$F$18,$E70,$F$20,P$22,$H70,$F$19)</f>
        <v>0</v>
      </c>
      <c r="Q70" s="36">
        <f>_xll.DBRW($E$12,$F$16,$F$17,$F$18,$E70,$F$20,Q$22,$H70,$F$19)</f>
        <v>0</v>
      </c>
      <c r="R70" s="36">
        <f>_xll.DBRW($E$12,$F$16,$F$17,$F$18,$E70,$F$20,R$22,$H70,$F$19)</f>
        <v>0</v>
      </c>
      <c r="S70" s="36">
        <f>_xll.DBRW($E$12,$F$16,$F$17,$F$18,$E70,$F$20,S$22,$H70,$F$19)</f>
        <v>0</v>
      </c>
      <c r="T70" s="36">
        <f>_xll.DBRW($E$12,$F$16,$F$17,$F$18,$E70,$F$20,T$22,$H70,$F$19)</f>
        <v>0</v>
      </c>
      <c r="U70" s="36">
        <f>_xll.DBRW($E$12,$F$16,$F$17,$F$18,$E70,$F$20,U$22,$H70,$F$19)</f>
        <v>253.04</v>
      </c>
    </row>
    <row r="71" spans="4:21" s="37" customFormat="1" ht="15" outlineLevel="1" thickBot="1" x14ac:dyDescent="0.35">
      <c r="D71" s="33" t="str">
        <f>IF(_xll.TM1RPTELISCONSOLIDATED($H$34,$H71),IF(_xll.TM1RPTELLEV($H$34,$H71)&lt;=5,_xll.TM1RPTELLEV($H$34,$H71),"Default"),"Leaf")</f>
        <v>Leaf</v>
      </c>
      <c r="E71" s="42" t="s">
        <v>670</v>
      </c>
      <c r="F71" s="34" t="str">
        <f>_xll.DBR($B$18,$H71,"Account_Type")</f>
        <v>NON LABOR</v>
      </c>
      <c r="G71" s="34" t="str">
        <f>_xll.DBR($B$18,$H71,"Description")</f>
        <v>Education/Training/Dues/Subscriptions</v>
      </c>
      <c r="H71" s="43" t="s">
        <v>180</v>
      </c>
      <c r="I71" s="36">
        <f>_xll.DBRW($E$12,$F$16,$F$17,$F$18,$E71,$F$20,I$22,$H71,$F$19)</f>
        <v>39.56</v>
      </c>
      <c r="J71" s="36">
        <f>_xll.DBRW($E$12,$F$16,$F$17,$F$18,$E71,$F$20,J$22,$H71,$F$19)</f>
        <v>2258.11</v>
      </c>
      <c r="K71" s="36">
        <f>_xll.DBRW($E$12,$F$16,$F$17,$F$18,$E71,$F$20,K$22,$H71,$F$19)</f>
        <v>1454.37</v>
      </c>
      <c r="L71" s="36">
        <f>_xll.DBRW($E$12,$F$16,$F$17,$F$18,$E71,$F$20,L$22,$H71,$F$19)</f>
        <v>4463.4799999999996</v>
      </c>
      <c r="M71" s="36">
        <f>_xll.DBRW($E$12,$F$16,$F$17,$F$18,$E71,$F$20,M$22,$H71,$F$19)</f>
        <v>5639.85</v>
      </c>
      <c r="N71" s="36">
        <f>_xll.DBRW($E$12,$F$16,$F$17,$F$18,$E71,$F$20,N$22,$H71,$F$19)</f>
        <v>4460</v>
      </c>
      <c r="O71" s="36">
        <f>_xll.DBRW($E$12,$F$16,$F$17,$F$18,$E71,$F$20,O$22,$H71,$F$19)</f>
        <v>0</v>
      </c>
      <c r="P71" s="36">
        <f>_xll.DBRW($E$12,$F$16,$F$17,$F$18,$E71,$F$20,P$22,$H71,$F$19)</f>
        <v>0</v>
      </c>
      <c r="Q71" s="36">
        <f>_xll.DBRW($E$12,$F$16,$F$17,$F$18,$E71,$F$20,Q$22,$H71,$F$19)</f>
        <v>0</v>
      </c>
      <c r="R71" s="36">
        <f>_xll.DBRW($E$12,$F$16,$F$17,$F$18,$E71,$F$20,R$22,$H71,$F$19)</f>
        <v>0</v>
      </c>
      <c r="S71" s="36">
        <f>_xll.DBRW($E$12,$F$16,$F$17,$F$18,$E71,$F$20,S$22,$H71,$F$19)</f>
        <v>0</v>
      </c>
      <c r="T71" s="36">
        <f>_xll.DBRW($E$12,$F$16,$F$17,$F$18,$E71,$F$20,T$22,$H71,$F$19)</f>
        <v>0</v>
      </c>
      <c r="U71" s="36">
        <f>_xll.DBRW($E$12,$F$16,$F$17,$F$18,$E71,$F$20,U$22,$H71,$F$19)</f>
        <v>18315.370000000003</v>
      </c>
    </row>
    <row r="72" spans="4:21" s="37" customFormat="1" ht="15" outlineLevel="1" thickBot="1" x14ac:dyDescent="0.35">
      <c r="D72" s="33" t="str">
        <f>IF(_xll.TM1RPTELISCONSOLIDATED($H$34,$H72),IF(_xll.TM1RPTELLEV($H$34,$H72)&lt;=5,_xll.TM1RPTELLEV($H$34,$H72),"Default"),"Leaf")</f>
        <v>Leaf</v>
      </c>
      <c r="E72" s="42" t="s">
        <v>670</v>
      </c>
      <c r="F72" s="34" t="str">
        <f>_xll.DBR($B$18,$H72,"Account_Type")</f>
        <v>NON LABOR</v>
      </c>
      <c r="G72" s="34" t="str">
        <f>_xll.DBR($B$18,$H72,"Description")</f>
        <v>Education/Training/Dues/Subscriptions</v>
      </c>
      <c r="H72" s="43" t="s">
        <v>181</v>
      </c>
      <c r="I72" s="36">
        <f>_xll.DBRW($E$12,$F$16,$F$17,$F$18,$E72,$F$20,I$22,$H72,$F$19)</f>
        <v>105</v>
      </c>
      <c r="J72" s="36">
        <f>_xll.DBRW($E$12,$F$16,$F$17,$F$18,$E72,$F$20,J$22,$H72,$F$19)</f>
        <v>0</v>
      </c>
      <c r="K72" s="36">
        <f>_xll.DBRW($E$12,$F$16,$F$17,$F$18,$E72,$F$20,K$22,$H72,$F$19)</f>
        <v>212</v>
      </c>
      <c r="L72" s="36">
        <f>_xll.DBRW($E$12,$F$16,$F$17,$F$18,$E72,$F$20,L$22,$H72,$F$19)</f>
        <v>90.31</v>
      </c>
      <c r="M72" s="36">
        <f>_xll.DBRW($E$12,$F$16,$F$17,$F$18,$E72,$F$20,M$22,$H72,$F$19)</f>
        <v>-43.57</v>
      </c>
      <c r="N72" s="36">
        <f>_xll.DBRW($E$12,$F$16,$F$17,$F$18,$E72,$F$20,N$22,$H72,$F$19)</f>
        <v>0</v>
      </c>
      <c r="O72" s="36">
        <f>_xll.DBRW($E$12,$F$16,$F$17,$F$18,$E72,$F$20,O$22,$H72,$F$19)</f>
        <v>0</v>
      </c>
      <c r="P72" s="36">
        <f>_xll.DBRW($E$12,$F$16,$F$17,$F$18,$E72,$F$20,P$22,$H72,$F$19)</f>
        <v>0</v>
      </c>
      <c r="Q72" s="36">
        <f>_xll.DBRW($E$12,$F$16,$F$17,$F$18,$E72,$F$20,Q$22,$H72,$F$19)</f>
        <v>0</v>
      </c>
      <c r="R72" s="36">
        <f>_xll.DBRW($E$12,$F$16,$F$17,$F$18,$E72,$F$20,R$22,$H72,$F$19)</f>
        <v>0</v>
      </c>
      <c r="S72" s="36">
        <f>_xll.DBRW($E$12,$F$16,$F$17,$F$18,$E72,$F$20,S$22,$H72,$F$19)</f>
        <v>0</v>
      </c>
      <c r="T72" s="36">
        <f>_xll.DBRW($E$12,$F$16,$F$17,$F$18,$E72,$F$20,T$22,$H72,$F$19)</f>
        <v>0</v>
      </c>
      <c r="U72" s="36">
        <f>_xll.DBRW($E$12,$F$16,$F$17,$F$18,$E72,$F$20,U$22,$H72,$F$19)</f>
        <v>363.74</v>
      </c>
    </row>
    <row r="73" spans="4:21" s="37" customFormat="1" ht="15" outlineLevel="1" thickBot="1" x14ac:dyDescent="0.35">
      <c r="D73" s="33" t="str">
        <f>IF(_xll.TM1RPTELISCONSOLIDATED($H$34,$H73),IF(_xll.TM1RPTELLEV($H$34,$H73)&lt;=5,_xll.TM1RPTELLEV($H$34,$H73),"Default"),"Leaf")</f>
        <v>Leaf</v>
      </c>
      <c r="E73" s="42" t="s">
        <v>670</v>
      </c>
      <c r="F73" s="34" t="str">
        <f>_xll.DBR($B$18,$H73,"Account_Type")</f>
        <v>NON LABOR</v>
      </c>
      <c r="G73" s="34" t="str">
        <f>_xll.DBR($B$18,$H73,"Description")</f>
        <v>Certificates/Licenses/Permits</v>
      </c>
      <c r="H73" s="43" t="s">
        <v>191</v>
      </c>
      <c r="I73" s="36">
        <f>_xll.DBRW($E$12,$F$16,$F$17,$F$18,$E73,$F$20,I$22,$H73,$F$19)</f>
        <v>26</v>
      </c>
      <c r="J73" s="36">
        <f>_xll.DBRW($E$12,$F$16,$F$17,$F$18,$E73,$F$20,J$22,$H73,$F$19)</f>
        <v>168.5</v>
      </c>
      <c r="K73" s="36">
        <f>_xll.DBRW($E$12,$F$16,$F$17,$F$18,$E73,$F$20,K$22,$H73,$F$19)</f>
        <v>0</v>
      </c>
      <c r="L73" s="36">
        <f>_xll.DBRW($E$12,$F$16,$F$17,$F$18,$E73,$F$20,L$22,$H73,$F$19)</f>
        <v>128.97</v>
      </c>
      <c r="M73" s="36">
        <f>_xll.DBRW($E$12,$F$16,$F$17,$F$18,$E73,$F$20,M$22,$H73,$F$19)</f>
        <v>329</v>
      </c>
      <c r="N73" s="36">
        <f>_xll.DBRW($E$12,$F$16,$F$17,$F$18,$E73,$F$20,N$22,$H73,$F$19)</f>
        <v>7089.3</v>
      </c>
      <c r="O73" s="36">
        <f>_xll.DBRW($E$12,$F$16,$F$17,$F$18,$E73,$F$20,O$22,$H73,$F$19)</f>
        <v>0</v>
      </c>
      <c r="P73" s="36">
        <f>_xll.DBRW($E$12,$F$16,$F$17,$F$18,$E73,$F$20,P$22,$H73,$F$19)</f>
        <v>0</v>
      </c>
      <c r="Q73" s="36">
        <f>_xll.DBRW($E$12,$F$16,$F$17,$F$18,$E73,$F$20,Q$22,$H73,$F$19)</f>
        <v>0</v>
      </c>
      <c r="R73" s="36">
        <f>_xll.DBRW($E$12,$F$16,$F$17,$F$18,$E73,$F$20,R$22,$H73,$F$19)</f>
        <v>0</v>
      </c>
      <c r="S73" s="36">
        <f>_xll.DBRW($E$12,$F$16,$F$17,$F$18,$E73,$F$20,S$22,$H73,$F$19)</f>
        <v>0</v>
      </c>
      <c r="T73" s="36">
        <f>_xll.DBRW($E$12,$F$16,$F$17,$F$18,$E73,$F$20,T$22,$H73,$F$19)</f>
        <v>0</v>
      </c>
      <c r="U73" s="36">
        <f>_xll.DBRW($E$12,$F$16,$F$17,$F$18,$E73,$F$20,U$22,$H73,$F$19)</f>
        <v>7741.77</v>
      </c>
    </row>
    <row r="74" spans="4:21" s="37" customFormat="1" ht="15" outlineLevel="1" thickBot="1" x14ac:dyDescent="0.35">
      <c r="D74" s="33" t="str">
        <f>IF(_xll.TM1RPTELISCONSOLIDATED($H$34,$H74),IF(_xll.TM1RPTELLEV($H$34,$H74)&lt;=5,_xll.TM1RPTELLEV($H$34,$H74),"Default"),"Leaf")</f>
        <v>Leaf</v>
      </c>
      <c r="E74" s="42" t="s">
        <v>670</v>
      </c>
      <c r="F74" s="34" t="str">
        <f>_xll.DBR($B$18,$H74,"Account_Type")</f>
        <v>NON LABOR</v>
      </c>
      <c r="G74" s="34" t="str">
        <f>_xll.DBR($B$18,$H74,"Description")</f>
        <v>Certificates/Licenses/Permits</v>
      </c>
      <c r="H74" s="43" t="s">
        <v>192</v>
      </c>
      <c r="I74" s="36">
        <f>_xll.DBRW($E$12,$F$16,$F$17,$F$18,$E74,$F$20,I$22,$H74,$F$19)</f>
        <v>3491.59</v>
      </c>
      <c r="J74" s="36">
        <f>_xll.DBRW($E$12,$F$16,$F$17,$F$18,$E74,$F$20,J$22,$H74,$F$19)</f>
        <v>5176.3999999999996</v>
      </c>
      <c r="K74" s="36">
        <f>_xll.DBRW($E$12,$F$16,$F$17,$F$18,$E74,$F$20,K$22,$H74,$F$19)</f>
        <v>172.34</v>
      </c>
      <c r="L74" s="36">
        <f>_xll.DBRW($E$12,$F$16,$F$17,$F$18,$E74,$F$20,L$22,$H74,$F$19)</f>
        <v>0</v>
      </c>
      <c r="M74" s="36">
        <f>_xll.DBRW($E$12,$F$16,$F$17,$F$18,$E74,$F$20,M$22,$H74,$F$19)</f>
        <v>0</v>
      </c>
      <c r="N74" s="36">
        <f>_xll.DBRW($E$12,$F$16,$F$17,$F$18,$E74,$F$20,N$22,$H74,$F$19)</f>
        <v>0</v>
      </c>
      <c r="O74" s="36">
        <f>_xll.DBRW($E$12,$F$16,$F$17,$F$18,$E74,$F$20,O$22,$H74,$F$19)</f>
        <v>0</v>
      </c>
      <c r="P74" s="36">
        <f>_xll.DBRW($E$12,$F$16,$F$17,$F$18,$E74,$F$20,P$22,$H74,$F$19)</f>
        <v>0</v>
      </c>
      <c r="Q74" s="36">
        <f>_xll.DBRW($E$12,$F$16,$F$17,$F$18,$E74,$F$20,Q$22,$H74,$F$19)</f>
        <v>0</v>
      </c>
      <c r="R74" s="36">
        <f>_xll.DBRW($E$12,$F$16,$F$17,$F$18,$E74,$F$20,R$22,$H74,$F$19)</f>
        <v>0</v>
      </c>
      <c r="S74" s="36">
        <f>_xll.DBRW($E$12,$F$16,$F$17,$F$18,$E74,$F$20,S$22,$H74,$F$19)</f>
        <v>0</v>
      </c>
      <c r="T74" s="36">
        <f>_xll.DBRW($E$12,$F$16,$F$17,$F$18,$E74,$F$20,T$22,$H74,$F$19)</f>
        <v>0</v>
      </c>
      <c r="U74" s="36">
        <f>_xll.DBRW($E$12,$F$16,$F$17,$F$18,$E74,$F$20,U$22,$H74,$F$19)</f>
        <v>8840.33</v>
      </c>
    </row>
    <row r="75" spans="4:21" s="37" customFormat="1" ht="15" outlineLevel="1" thickBot="1" x14ac:dyDescent="0.35">
      <c r="D75" s="33" t="str">
        <f>IF(_xll.TM1RPTELISCONSOLIDATED($H$34,$H75),IF(_xll.TM1RPTELLEV($H$34,$H75)&lt;=5,_xll.TM1RPTELLEV($H$34,$H75),"Default"),"Leaf")</f>
        <v>Leaf</v>
      </c>
      <c r="E75" s="42" t="s">
        <v>670</v>
      </c>
      <c r="F75" s="34" t="str">
        <f>_xll.DBR($B$18,$H75,"Account_Type")</f>
        <v>NON LABOR</v>
      </c>
      <c r="G75" s="34" t="str">
        <f>_xll.DBR($B$18,$H75,"Description")</f>
        <v>Temporary Service/Recruiting/Relocation</v>
      </c>
      <c r="H75" s="43" t="s">
        <v>197</v>
      </c>
      <c r="I75" s="36">
        <f>_xll.DBRW($E$12,$F$16,$F$17,$F$18,$E75,$F$20,I$22,$H75,$F$19)</f>
        <v>0</v>
      </c>
      <c r="J75" s="36">
        <f>_xll.DBRW($E$12,$F$16,$F$17,$F$18,$E75,$F$20,J$22,$H75,$F$19)</f>
        <v>660.86</v>
      </c>
      <c r="K75" s="36">
        <f>_xll.DBRW($E$12,$F$16,$F$17,$F$18,$E75,$F$20,K$22,$H75,$F$19)</f>
        <v>0</v>
      </c>
      <c r="L75" s="36">
        <f>_xll.DBRW($E$12,$F$16,$F$17,$F$18,$E75,$F$20,L$22,$H75,$F$19)</f>
        <v>1396.31</v>
      </c>
      <c r="M75" s="36">
        <f>_xll.DBRW($E$12,$F$16,$F$17,$F$18,$E75,$F$20,M$22,$H75,$F$19)</f>
        <v>0</v>
      </c>
      <c r="N75" s="36">
        <f>_xll.DBRW($E$12,$F$16,$F$17,$F$18,$E75,$F$20,N$22,$H75,$F$19)</f>
        <v>2046.37</v>
      </c>
      <c r="O75" s="36">
        <f>_xll.DBRW($E$12,$F$16,$F$17,$F$18,$E75,$F$20,O$22,$H75,$F$19)</f>
        <v>0</v>
      </c>
      <c r="P75" s="36">
        <f>_xll.DBRW($E$12,$F$16,$F$17,$F$18,$E75,$F$20,P$22,$H75,$F$19)</f>
        <v>0</v>
      </c>
      <c r="Q75" s="36">
        <f>_xll.DBRW($E$12,$F$16,$F$17,$F$18,$E75,$F$20,Q$22,$H75,$F$19)</f>
        <v>0</v>
      </c>
      <c r="R75" s="36">
        <f>_xll.DBRW($E$12,$F$16,$F$17,$F$18,$E75,$F$20,R$22,$H75,$F$19)</f>
        <v>0</v>
      </c>
      <c r="S75" s="36">
        <f>_xll.DBRW($E$12,$F$16,$F$17,$F$18,$E75,$F$20,S$22,$H75,$F$19)</f>
        <v>0</v>
      </c>
      <c r="T75" s="36">
        <f>_xll.DBRW($E$12,$F$16,$F$17,$F$18,$E75,$F$20,T$22,$H75,$F$19)</f>
        <v>0</v>
      </c>
      <c r="U75" s="36">
        <f>_xll.DBRW($E$12,$F$16,$F$17,$F$18,$E75,$F$20,U$22,$H75,$F$19)</f>
        <v>4103.54</v>
      </c>
    </row>
    <row r="76" spans="4:21" s="37" customFormat="1" ht="15" outlineLevel="1" thickBot="1" x14ac:dyDescent="0.35">
      <c r="D76" s="33" t="str">
        <f>IF(_xll.TM1RPTELISCONSOLIDATED($H$34,$H76),IF(_xll.TM1RPTELLEV($H$34,$H76)&lt;=5,_xll.TM1RPTELLEV($H$34,$H76),"Default"),"Leaf")</f>
        <v>Leaf</v>
      </c>
      <c r="E76" s="42" t="s">
        <v>670</v>
      </c>
      <c r="F76" s="34" t="str">
        <f>_xll.DBR($B$18,$H76,"Account_Type")</f>
        <v>NON LABOR</v>
      </c>
      <c r="G76" s="34" t="str">
        <f>_xll.DBR($B$18,$H76,"Description")</f>
        <v>Office Rent</v>
      </c>
      <c r="H76" s="43" t="s">
        <v>204</v>
      </c>
      <c r="I76" s="36">
        <f>_xll.DBRW($E$12,$F$16,$F$17,$F$18,$E76,$F$20,I$22,$H76,$F$19)</f>
        <v>0</v>
      </c>
      <c r="J76" s="36">
        <f>_xll.DBRW($E$12,$F$16,$F$17,$F$18,$E76,$F$20,J$22,$H76,$F$19)</f>
        <v>-532.70000000000005</v>
      </c>
      <c r="K76" s="36">
        <f>_xll.DBRW($E$12,$F$16,$F$17,$F$18,$E76,$F$20,K$22,$H76,$F$19)</f>
        <v>0</v>
      </c>
      <c r="L76" s="36">
        <f>_xll.DBRW($E$12,$F$16,$F$17,$F$18,$E76,$F$20,L$22,$H76,$F$19)</f>
        <v>0</v>
      </c>
      <c r="M76" s="36">
        <f>_xll.DBRW($E$12,$F$16,$F$17,$F$18,$E76,$F$20,M$22,$H76,$F$19)</f>
        <v>0</v>
      </c>
      <c r="N76" s="36">
        <f>_xll.DBRW($E$12,$F$16,$F$17,$F$18,$E76,$F$20,N$22,$H76,$F$19)</f>
        <v>1053.8399999999999</v>
      </c>
      <c r="O76" s="36">
        <f>_xll.DBRW($E$12,$F$16,$F$17,$F$18,$E76,$F$20,O$22,$H76,$F$19)</f>
        <v>0</v>
      </c>
      <c r="P76" s="36">
        <f>_xll.DBRW($E$12,$F$16,$F$17,$F$18,$E76,$F$20,P$22,$H76,$F$19)</f>
        <v>0</v>
      </c>
      <c r="Q76" s="36">
        <f>_xll.DBRW($E$12,$F$16,$F$17,$F$18,$E76,$F$20,Q$22,$H76,$F$19)</f>
        <v>0</v>
      </c>
      <c r="R76" s="36">
        <f>_xll.DBRW($E$12,$F$16,$F$17,$F$18,$E76,$F$20,R$22,$H76,$F$19)</f>
        <v>0</v>
      </c>
      <c r="S76" s="36">
        <f>_xll.DBRW($E$12,$F$16,$F$17,$F$18,$E76,$F$20,S$22,$H76,$F$19)</f>
        <v>0</v>
      </c>
      <c r="T76" s="36">
        <f>_xll.DBRW($E$12,$F$16,$F$17,$F$18,$E76,$F$20,T$22,$H76,$F$19)</f>
        <v>0</v>
      </c>
      <c r="U76" s="36">
        <f>_xll.DBRW($E$12,$F$16,$F$17,$F$18,$E76,$F$20,U$22,$H76,$F$19)</f>
        <v>521.13999999999987</v>
      </c>
    </row>
    <row r="77" spans="4:21" s="37" customFormat="1" ht="15" outlineLevel="1" thickBot="1" x14ac:dyDescent="0.35">
      <c r="D77" s="33" t="str">
        <f>IF(_xll.TM1RPTELISCONSOLIDATED($H$34,$H77),IF(_xll.TM1RPTELLEV($H$34,$H77)&lt;=5,_xll.TM1RPTELLEV($H$34,$H77),"Default"),"Leaf")</f>
        <v>Leaf</v>
      </c>
      <c r="E77" s="42" t="s">
        <v>670</v>
      </c>
      <c r="F77" s="34" t="str">
        <f>_xll.DBR($B$18,$H77,"Account_Type")</f>
        <v>NON LABOR</v>
      </c>
      <c r="G77" s="34" t="str">
        <f>_xll.DBR($B$18,$H77,"Description")</f>
        <v>Office Rent</v>
      </c>
      <c r="H77" s="43" t="s">
        <v>205</v>
      </c>
      <c r="I77" s="36">
        <f>_xll.DBRW($E$12,$F$16,$F$17,$F$18,$E77,$F$20,I$22,$H77,$F$19)</f>
        <v>44083.8</v>
      </c>
      <c r="J77" s="36">
        <f>_xll.DBRW($E$12,$F$16,$F$17,$F$18,$E77,$F$20,J$22,$H77,$F$19)</f>
        <v>15125.82</v>
      </c>
      <c r="K77" s="36">
        <f>_xll.DBRW($E$12,$F$16,$F$17,$F$18,$E77,$F$20,K$22,$H77,$F$19)</f>
        <v>15125.82</v>
      </c>
      <c r="L77" s="36">
        <f>_xll.DBRW($E$12,$F$16,$F$17,$F$18,$E77,$F$20,L$22,$H77,$F$19)</f>
        <v>15125.82</v>
      </c>
      <c r="M77" s="36">
        <f>_xll.DBRW($E$12,$F$16,$F$17,$F$18,$E77,$F$20,M$22,$H77,$F$19)</f>
        <v>15125.82</v>
      </c>
      <c r="N77" s="36">
        <f>_xll.DBRW($E$12,$F$16,$F$17,$F$18,$E77,$F$20,N$22,$H77,$F$19)</f>
        <v>15125.82</v>
      </c>
      <c r="O77" s="36">
        <f>_xll.DBRW($E$12,$F$16,$F$17,$F$18,$E77,$F$20,O$22,$H77,$F$19)</f>
        <v>0</v>
      </c>
      <c r="P77" s="36">
        <f>_xll.DBRW($E$12,$F$16,$F$17,$F$18,$E77,$F$20,P$22,$H77,$F$19)</f>
        <v>0</v>
      </c>
      <c r="Q77" s="36">
        <f>_xll.DBRW($E$12,$F$16,$F$17,$F$18,$E77,$F$20,Q$22,$H77,$F$19)</f>
        <v>0</v>
      </c>
      <c r="R77" s="36">
        <f>_xll.DBRW($E$12,$F$16,$F$17,$F$18,$E77,$F$20,R$22,$H77,$F$19)</f>
        <v>0</v>
      </c>
      <c r="S77" s="36">
        <f>_xll.DBRW($E$12,$F$16,$F$17,$F$18,$E77,$F$20,S$22,$H77,$F$19)</f>
        <v>0</v>
      </c>
      <c r="T77" s="36">
        <f>_xll.DBRW($E$12,$F$16,$F$17,$F$18,$E77,$F$20,T$22,$H77,$F$19)</f>
        <v>0</v>
      </c>
      <c r="U77" s="36">
        <f>_xll.DBRW($E$12,$F$16,$F$17,$F$18,$E77,$F$20,U$22,$H77,$F$19)</f>
        <v>119712.90000000002</v>
      </c>
    </row>
    <row r="78" spans="4:21" s="37" customFormat="1" ht="15" outlineLevel="1" thickBot="1" x14ac:dyDescent="0.35">
      <c r="D78" s="33" t="str">
        <f>IF(_xll.TM1RPTELISCONSOLIDATED($H$34,$H78),IF(_xll.TM1RPTELLEV($H$34,$H78)&lt;=5,_xll.TM1RPTELLEV($H$34,$H78),"Default"),"Leaf")</f>
        <v>Leaf</v>
      </c>
      <c r="E78" s="42" t="s">
        <v>670</v>
      </c>
      <c r="F78" s="34" t="str">
        <f>_xll.DBR($B$18,$H78,"Account_Type")</f>
        <v>NON LABOR</v>
      </c>
      <c r="G78" s="34" t="str">
        <f>_xll.DBR($B$18,$H78,"Description")</f>
        <v>Office Rent</v>
      </c>
      <c r="H78" s="43" t="s">
        <v>206</v>
      </c>
      <c r="I78" s="36">
        <f>_xll.DBRW($E$12,$F$16,$F$17,$F$18,$E78,$F$20,I$22,$H78,$F$19)</f>
        <v>12600</v>
      </c>
      <c r="J78" s="36">
        <f>_xll.DBRW($E$12,$F$16,$F$17,$F$18,$E78,$F$20,J$22,$H78,$F$19)</f>
        <v>13319.85</v>
      </c>
      <c r="K78" s="36">
        <f>_xll.DBRW($E$12,$F$16,$F$17,$F$18,$E78,$F$20,K$22,$H78,$F$19)</f>
        <v>13319.85</v>
      </c>
      <c r="L78" s="36">
        <f>_xll.DBRW($E$12,$F$16,$F$17,$F$18,$E78,$F$20,L$22,$H78,$F$19)</f>
        <v>13319.85</v>
      </c>
      <c r="M78" s="36">
        <f>_xll.DBRW($E$12,$F$16,$F$17,$F$18,$E78,$F$20,M$22,$H78,$F$19)</f>
        <v>13319.85</v>
      </c>
      <c r="N78" s="36">
        <f>_xll.DBRW($E$12,$F$16,$F$17,$F$18,$E78,$F$20,N$22,$H78,$F$19)</f>
        <v>13319.85</v>
      </c>
      <c r="O78" s="36">
        <f>_xll.DBRW($E$12,$F$16,$F$17,$F$18,$E78,$F$20,O$22,$H78,$F$19)</f>
        <v>819.85</v>
      </c>
      <c r="P78" s="36">
        <f>_xll.DBRW($E$12,$F$16,$F$17,$F$18,$E78,$F$20,P$22,$H78,$F$19)</f>
        <v>819.85</v>
      </c>
      <c r="Q78" s="36">
        <f>_xll.DBRW($E$12,$F$16,$F$17,$F$18,$E78,$F$20,Q$22,$H78,$F$19)</f>
        <v>0</v>
      </c>
      <c r="R78" s="36">
        <f>_xll.DBRW($E$12,$F$16,$F$17,$F$18,$E78,$F$20,R$22,$H78,$F$19)</f>
        <v>0</v>
      </c>
      <c r="S78" s="36">
        <f>_xll.DBRW($E$12,$F$16,$F$17,$F$18,$E78,$F$20,S$22,$H78,$F$19)</f>
        <v>0</v>
      </c>
      <c r="T78" s="36">
        <f>_xll.DBRW($E$12,$F$16,$F$17,$F$18,$E78,$F$20,T$22,$H78,$F$19)</f>
        <v>0</v>
      </c>
      <c r="U78" s="36">
        <f>_xll.DBRW($E$12,$F$16,$F$17,$F$18,$E78,$F$20,U$22,$H78,$F$19)</f>
        <v>80838.950000000012</v>
      </c>
    </row>
    <row r="79" spans="4:21" s="37" customFormat="1" ht="15" outlineLevel="1" thickBot="1" x14ac:dyDescent="0.35">
      <c r="D79" s="33" t="str">
        <f>IF(_xll.TM1RPTELISCONSOLIDATED($H$34,$H79),IF(_xll.TM1RPTELLEV($H$34,$H79)&lt;=5,_xll.TM1RPTELLEV($H$34,$H79),"Default"),"Leaf")</f>
        <v>Leaf</v>
      </c>
      <c r="E79" s="42" t="s">
        <v>670</v>
      </c>
      <c r="F79" s="34" t="str">
        <f>_xll.DBR($B$18,$H79,"Account_Type")</f>
        <v>NON LABOR</v>
      </c>
      <c r="G79" s="34" t="str">
        <f>_xll.DBR($B$18,$H79,"Description")</f>
        <v>Office Rent</v>
      </c>
      <c r="H79" s="43" t="s">
        <v>207</v>
      </c>
      <c r="I79" s="36">
        <f>_xll.DBRW($E$12,$F$16,$F$17,$F$18,$E79,$F$20,I$22,$H79,$F$19)</f>
        <v>15870.8</v>
      </c>
      <c r="J79" s="36">
        <f>_xll.DBRW($E$12,$F$16,$F$17,$F$18,$E79,$F$20,J$22,$H79,$F$19)</f>
        <v>15870.8</v>
      </c>
      <c r="K79" s="36">
        <f>_xll.DBRW($E$12,$F$16,$F$17,$F$18,$E79,$F$20,K$22,$H79,$F$19)</f>
        <v>15870.8</v>
      </c>
      <c r="L79" s="36">
        <f>_xll.DBRW($E$12,$F$16,$F$17,$F$18,$E79,$F$20,L$22,$H79,$F$19)</f>
        <v>15870.8</v>
      </c>
      <c r="M79" s="36">
        <f>_xll.DBRW($E$12,$F$16,$F$17,$F$18,$E79,$F$20,M$22,$H79,$F$19)</f>
        <v>15870.8</v>
      </c>
      <c r="N79" s="36">
        <f>_xll.DBRW($E$12,$F$16,$F$17,$F$18,$E79,$F$20,N$22,$H79,$F$19)</f>
        <v>15870.8</v>
      </c>
      <c r="O79" s="36">
        <f>_xll.DBRW($E$12,$F$16,$F$17,$F$18,$E79,$F$20,O$22,$H79,$F$19)</f>
        <v>0</v>
      </c>
      <c r="P79" s="36">
        <f>_xll.DBRW($E$12,$F$16,$F$17,$F$18,$E79,$F$20,P$22,$H79,$F$19)</f>
        <v>0</v>
      </c>
      <c r="Q79" s="36">
        <f>_xll.DBRW($E$12,$F$16,$F$17,$F$18,$E79,$F$20,Q$22,$H79,$F$19)</f>
        <v>0</v>
      </c>
      <c r="R79" s="36">
        <f>_xll.DBRW($E$12,$F$16,$F$17,$F$18,$E79,$F$20,R$22,$H79,$F$19)</f>
        <v>0</v>
      </c>
      <c r="S79" s="36">
        <f>_xll.DBRW($E$12,$F$16,$F$17,$F$18,$E79,$F$20,S$22,$H79,$F$19)</f>
        <v>0</v>
      </c>
      <c r="T79" s="36">
        <f>_xll.DBRW($E$12,$F$16,$F$17,$F$18,$E79,$F$20,T$22,$H79,$F$19)</f>
        <v>0</v>
      </c>
      <c r="U79" s="36">
        <f>_xll.DBRW($E$12,$F$16,$F$17,$F$18,$E79,$F$20,U$22,$H79,$F$19)</f>
        <v>95224.8</v>
      </c>
    </row>
    <row r="80" spans="4:21" s="37" customFormat="1" ht="15" outlineLevel="1" thickBot="1" x14ac:dyDescent="0.35">
      <c r="D80" s="33" t="str">
        <f>IF(_xll.TM1RPTELISCONSOLIDATED($H$34,$H80),IF(_xll.TM1RPTELLEV($H$34,$H80)&lt;=5,_xll.TM1RPTELLEV($H$34,$H80),"Default"),"Leaf")</f>
        <v>Leaf</v>
      </c>
      <c r="E80" s="42" t="s">
        <v>670</v>
      </c>
      <c r="F80" s="34" t="str">
        <f>_xll.DBR($B$18,$H80,"Account_Type")</f>
        <v>NON LABOR</v>
      </c>
      <c r="G80" s="34" t="str">
        <f>_xll.DBR($B$18,$H80,"Description")</f>
        <v>Office Rent</v>
      </c>
      <c r="H80" s="43" t="s">
        <v>208</v>
      </c>
      <c r="I80" s="36">
        <f>_xll.DBRW($E$12,$F$16,$F$17,$F$18,$E80,$F$20,I$22,$H80,$F$19)</f>
        <v>9155.7900000000009</v>
      </c>
      <c r="J80" s="36">
        <f>_xll.DBRW($E$12,$F$16,$F$17,$F$18,$E80,$F$20,J$22,$H80,$F$19)</f>
        <v>9155.7900000000009</v>
      </c>
      <c r="K80" s="36">
        <f>_xll.DBRW($E$12,$F$16,$F$17,$F$18,$E80,$F$20,K$22,$H80,$F$19)</f>
        <v>9155.7900000000009</v>
      </c>
      <c r="L80" s="36">
        <f>_xll.DBRW($E$12,$F$16,$F$17,$F$18,$E80,$F$20,L$22,$H80,$F$19)</f>
        <v>9155.7900000000009</v>
      </c>
      <c r="M80" s="36">
        <f>_xll.DBRW($E$12,$F$16,$F$17,$F$18,$E80,$F$20,M$22,$H80,$F$19)</f>
        <v>9155.7900000000009</v>
      </c>
      <c r="N80" s="36">
        <f>_xll.DBRW($E$12,$F$16,$F$17,$F$18,$E80,$F$20,N$22,$H80,$F$19)</f>
        <v>9155.7900000000009</v>
      </c>
      <c r="O80" s="36">
        <f>_xll.DBRW($E$12,$F$16,$F$17,$F$18,$E80,$F$20,O$22,$H80,$F$19)</f>
        <v>0</v>
      </c>
      <c r="P80" s="36">
        <f>_xll.DBRW($E$12,$F$16,$F$17,$F$18,$E80,$F$20,P$22,$H80,$F$19)</f>
        <v>0</v>
      </c>
      <c r="Q80" s="36">
        <f>_xll.DBRW($E$12,$F$16,$F$17,$F$18,$E80,$F$20,Q$22,$H80,$F$19)</f>
        <v>0</v>
      </c>
      <c r="R80" s="36">
        <f>_xll.DBRW($E$12,$F$16,$F$17,$F$18,$E80,$F$20,R$22,$H80,$F$19)</f>
        <v>0</v>
      </c>
      <c r="S80" s="36">
        <f>_xll.DBRW($E$12,$F$16,$F$17,$F$18,$E80,$F$20,S$22,$H80,$F$19)</f>
        <v>0</v>
      </c>
      <c r="T80" s="36">
        <f>_xll.DBRW($E$12,$F$16,$F$17,$F$18,$E80,$F$20,T$22,$H80,$F$19)</f>
        <v>0</v>
      </c>
      <c r="U80" s="36">
        <f>_xll.DBRW($E$12,$F$16,$F$17,$F$18,$E80,$F$20,U$22,$H80,$F$19)</f>
        <v>54934.740000000005</v>
      </c>
    </row>
    <row r="81" spans="4:21" s="37" customFormat="1" ht="15" outlineLevel="1" thickBot="1" x14ac:dyDescent="0.35">
      <c r="D81" s="33" t="str">
        <f>IF(_xll.TM1RPTELISCONSOLIDATED($H$34,$H81),IF(_xll.TM1RPTELLEV($H$34,$H81)&lt;=5,_xll.TM1RPTELLEV($H$34,$H81),"Default"),"Leaf")</f>
        <v>Leaf</v>
      </c>
      <c r="E81" s="42" t="s">
        <v>670</v>
      </c>
      <c r="F81" s="34" t="str">
        <f>_xll.DBR($B$18,$H81,"Account_Type")</f>
        <v>NON LABOR</v>
      </c>
      <c r="G81" s="34" t="str">
        <f>_xll.DBR($B$18,$H81,"Description")</f>
        <v>Utilities</v>
      </c>
      <c r="H81" s="43" t="s">
        <v>217</v>
      </c>
      <c r="I81" s="36">
        <f>_xll.DBRW($E$12,$F$16,$F$17,$F$18,$E81,$F$20,I$22,$H81,$F$19)</f>
        <v>2040.58</v>
      </c>
      <c r="J81" s="36">
        <f>_xll.DBRW($E$12,$F$16,$F$17,$F$18,$E81,$F$20,J$22,$H81,$F$19)</f>
        <v>629.30999999999995</v>
      </c>
      <c r="K81" s="36">
        <f>_xll.DBRW($E$12,$F$16,$F$17,$F$18,$E81,$F$20,K$22,$H81,$F$19)</f>
        <v>2528.2199999999998</v>
      </c>
      <c r="L81" s="36">
        <f>_xll.DBRW($E$12,$F$16,$F$17,$F$18,$E81,$F$20,L$22,$H81,$F$19)</f>
        <v>2511.0700000000002</v>
      </c>
      <c r="M81" s="36">
        <f>_xll.DBRW($E$12,$F$16,$F$17,$F$18,$E81,$F$20,M$22,$H81,$F$19)</f>
        <v>3217.8</v>
      </c>
      <c r="N81" s="36">
        <f>_xll.DBRW($E$12,$F$16,$F$17,$F$18,$E81,$F$20,N$22,$H81,$F$19)</f>
        <v>1801.62</v>
      </c>
      <c r="O81" s="36">
        <f>_xll.DBRW($E$12,$F$16,$F$17,$F$18,$E81,$F$20,O$22,$H81,$F$19)</f>
        <v>0</v>
      </c>
      <c r="P81" s="36">
        <f>_xll.DBRW($E$12,$F$16,$F$17,$F$18,$E81,$F$20,P$22,$H81,$F$19)</f>
        <v>0</v>
      </c>
      <c r="Q81" s="36">
        <f>_xll.DBRW($E$12,$F$16,$F$17,$F$18,$E81,$F$20,Q$22,$H81,$F$19)</f>
        <v>0</v>
      </c>
      <c r="R81" s="36">
        <f>_xll.DBRW($E$12,$F$16,$F$17,$F$18,$E81,$F$20,R$22,$H81,$F$19)</f>
        <v>0</v>
      </c>
      <c r="S81" s="36">
        <f>_xll.DBRW($E$12,$F$16,$F$17,$F$18,$E81,$F$20,S$22,$H81,$F$19)</f>
        <v>0</v>
      </c>
      <c r="T81" s="36">
        <f>_xll.DBRW($E$12,$F$16,$F$17,$F$18,$E81,$F$20,T$22,$H81,$F$19)</f>
        <v>0</v>
      </c>
      <c r="U81" s="36">
        <f>_xll.DBRW($E$12,$F$16,$F$17,$F$18,$E81,$F$20,U$22,$H81,$F$19)</f>
        <v>12728.599999999999</v>
      </c>
    </row>
    <row r="82" spans="4:21" s="37" customFormat="1" ht="15" outlineLevel="1" thickBot="1" x14ac:dyDescent="0.35">
      <c r="D82" s="33" t="str">
        <f>IF(_xll.TM1RPTELISCONSOLIDATED($H$34,$H82),IF(_xll.TM1RPTELLEV($H$34,$H82)&lt;=5,_xll.TM1RPTELLEV($H$34,$H82),"Default"),"Leaf")</f>
        <v>Leaf</v>
      </c>
      <c r="E82" s="42" t="s">
        <v>670</v>
      </c>
      <c r="F82" s="34" t="str">
        <f>_xll.DBR($B$18,$H82,"Account_Type")</f>
        <v>NON LABOR</v>
      </c>
      <c r="G82" s="34" t="str">
        <f>_xll.DBR($B$18,$H82,"Description")</f>
        <v>Utilities</v>
      </c>
      <c r="H82" s="43" t="s">
        <v>218</v>
      </c>
      <c r="I82" s="36">
        <f>_xll.DBRW($E$12,$F$16,$F$17,$F$18,$E82,$F$20,I$22,$H82,$F$19)</f>
        <v>2103.3200000000002</v>
      </c>
      <c r="J82" s="36">
        <f>_xll.DBRW($E$12,$F$16,$F$17,$F$18,$E82,$F$20,J$22,$H82,$F$19)</f>
        <v>1229.6099999999999</v>
      </c>
      <c r="K82" s="36">
        <f>_xll.DBRW($E$12,$F$16,$F$17,$F$18,$E82,$F$20,K$22,$H82,$F$19)</f>
        <v>1826.49</v>
      </c>
      <c r="L82" s="36">
        <f>_xll.DBRW($E$12,$F$16,$F$17,$F$18,$E82,$F$20,L$22,$H82,$F$19)</f>
        <v>1375.3</v>
      </c>
      <c r="M82" s="36">
        <f>_xll.DBRW($E$12,$F$16,$F$17,$F$18,$E82,$F$20,M$22,$H82,$F$19)</f>
        <v>1008.48</v>
      </c>
      <c r="N82" s="36">
        <f>_xll.DBRW($E$12,$F$16,$F$17,$F$18,$E82,$F$20,N$22,$H82,$F$19)</f>
        <v>1140.3699999999999</v>
      </c>
      <c r="O82" s="36">
        <f>_xll.DBRW($E$12,$F$16,$F$17,$F$18,$E82,$F$20,O$22,$H82,$F$19)</f>
        <v>50.52</v>
      </c>
      <c r="P82" s="36">
        <f>_xll.DBRW($E$12,$F$16,$F$17,$F$18,$E82,$F$20,P$22,$H82,$F$19)</f>
        <v>0</v>
      </c>
      <c r="Q82" s="36">
        <f>_xll.DBRW($E$12,$F$16,$F$17,$F$18,$E82,$F$20,Q$22,$H82,$F$19)</f>
        <v>0</v>
      </c>
      <c r="R82" s="36">
        <f>_xll.DBRW($E$12,$F$16,$F$17,$F$18,$E82,$F$20,R$22,$H82,$F$19)</f>
        <v>0</v>
      </c>
      <c r="S82" s="36">
        <f>_xll.DBRW($E$12,$F$16,$F$17,$F$18,$E82,$F$20,S$22,$H82,$F$19)</f>
        <v>0</v>
      </c>
      <c r="T82" s="36">
        <f>_xll.DBRW($E$12,$F$16,$F$17,$F$18,$E82,$F$20,T$22,$H82,$F$19)</f>
        <v>0</v>
      </c>
      <c r="U82" s="36">
        <f>_xll.DBRW($E$12,$F$16,$F$17,$F$18,$E82,$F$20,U$22,$H82,$F$19)</f>
        <v>8734.09</v>
      </c>
    </row>
    <row r="83" spans="4:21" s="37" customFormat="1" ht="15" outlineLevel="1" thickBot="1" x14ac:dyDescent="0.35">
      <c r="D83" s="33" t="str">
        <f>IF(_xll.TM1RPTELISCONSOLIDATED($H$34,$H83),IF(_xll.TM1RPTELLEV($H$34,$H83)&lt;=5,_xll.TM1RPTELLEV($H$34,$H83),"Default"),"Leaf")</f>
        <v>Leaf</v>
      </c>
      <c r="E83" s="42" t="s">
        <v>670</v>
      </c>
      <c r="F83" s="34" t="str">
        <f>_xll.DBR($B$18,$H83,"Account_Type")</f>
        <v>NON LABOR</v>
      </c>
      <c r="G83" s="34" t="str">
        <f>_xll.DBR($B$18,$H83,"Description")</f>
        <v>Utilities</v>
      </c>
      <c r="H83" s="43" t="s">
        <v>219</v>
      </c>
      <c r="I83" s="36">
        <f>_xll.DBRW($E$12,$F$16,$F$17,$F$18,$E83,$F$20,I$22,$H83,$F$19)</f>
        <v>2450.44</v>
      </c>
      <c r="J83" s="36">
        <f>_xll.DBRW($E$12,$F$16,$F$17,$F$18,$E83,$F$20,J$22,$H83,$F$19)</f>
        <v>0</v>
      </c>
      <c r="K83" s="36">
        <f>_xll.DBRW($E$12,$F$16,$F$17,$F$18,$E83,$F$20,K$22,$H83,$F$19)</f>
        <v>959.67</v>
      </c>
      <c r="L83" s="36">
        <f>_xll.DBRW($E$12,$F$16,$F$17,$F$18,$E83,$F$20,L$22,$H83,$F$19)</f>
        <v>1017.29</v>
      </c>
      <c r="M83" s="36">
        <f>_xll.DBRW($E$12,$F$16,$F$17,$F$18,$E83,$F$20,M$22,$H83,$F$19)</f>
        <v>977.69</v>
      </c>
      <c r="N83" s="36">
        <f>_xll.DBRW($E$12,$F$16,$F$17,$F$18,$E83,$F$20,N$22,$H83,$F$19)</f>
        <v>4050.25</v>
      </c>
      <c r="O83" s="36">
        <f>_xll.DBRW($E$12,$F$16,$F$17,$F$18,$E83,$F$20,O$22,$H83,$F$19)</f>
        <v>0</v>
      </c>
      <c r="P83" s="36">
        <f>_xll.DBRW($E$12,$F$16,$F$17,$F$18,$E83,$F$20,P$22,$H83,$F$19)</f>
        <v>0</v>
      </c>
      <c r="Q83" s="36">
        <f>_xll.DBRW($E$12,$F$16,$F$17,$F$18,$E83,$F$20,Q$22,$H83,$F$19)</f>
        <v>0</v>
      </c>
      <c r="R83" s="36">
        <f>_xll.DBRW($E$12,$F$16,$F$17,$F$18,$E83,$F$20,R$22,$H83,$F$19)</f>
        <v>0</v>
      </c>
      <c r="S83" s="36">
        <f>_xll.DBRW($E$12,$F$16,$F$17,$F$18,$E83,$F$20,S$22,$H83,$F$19)</f>
        <v>0</v>
      </c>
      <c r="T83" s="36">
        <f>_xll.DBRW($E$12,$F$16,$F$17,$F$18,$E83,$F$20,T$22,$H83,$F$19)</f>
        <v>0</v>
      </c>
      <c r="U83" s="36">
        <f>_xll.DBRW($E$12,$F$16,$F$17,$F$18,$E83,$F$20,U$22,$H83,$F$19)</f>
        <v>9455.34</v>
      </c>
    </row>
    <row r="84" spans="4:21" s="37" customFormat="1" ht="15" outlineLevel="1" thickBot="1" x14ac:dyDescent="0.35">
      <c r="D84" s="33" t="str">
        <f>IF(_xll.TM1RPTELISCONSOLIDATED($H$34,$H84),IF(_xll.TM1RPTELLEV($H$34,$H84)&lt;=5,_xll.TM1RPTELLEV($H$34,$H84),"Default"),"Leaf")</f>
        <v>Leaf</v>
      </c>
      <c r="E84" s="42" t="s">
        <v>670</v>
      </c>
      <c r="F84" s="34" t="str">
        <f>_xll.DBR($B$18,$H84,"Account_Type")</f>
        <v>NON LABOR</v>
      </c>
      <c r="G84" s="34" t="str">
        <f>_xll.DBR($B$18,$H84,"Description")</f>
        <v>Utilities</v>
      </c>
      <c r="H84" s="43" t="s">
        <v>220</v>
      </c>
      <c r="I84" s="36">
        <f>_xll.DBRW($E$12,$F$16,$F$17,$F$18,$E84,$F$20,I$22,$H84,$F$19)</f>
        <v>1120.07</v>
      </c>
      <c r="J84" s="36">
        <f>_xll.DBRW($E$12,$F$16,$F$17,$F$18,$E84,$F$20,J$22,$H84,$F$19)</f>
        <v>0</v>
      </c>
      <c r="K84" s="36">
        <f>_xll.DBRW($E$12,$F$16,$F$17,$F$18,$E84,$F$20,K$22,$H84,$F$19)</f>
        <v>1478.57</v>
      </c>
      <c r="L84" s="36">
        <f>_xll.DBRW($E$12,$F$16,$F$17,$F$18,$E84,$F$20,L$22,$H84,$F$19)</f>
        <v>1590.44</v>
      </c>
      <c r="M84" s="36">
        <f>_xll.DBRW($E$12,$F$16,$F$17,$F$18,$E84,$F$20,M$22,$H84,$F$19)</f>
        <v>0</v>
      </c>
      <c r="N84" s="36">
        <f>_xll.DBRW($E$12,$F$16,$F$17,$F$18,$E84,$F$20,N$22,$H84,$F$19)</f>
        <v>804.98</v>
      </c>
      <c r="O84" s="36">
        <f>_xll.DBRW($E$12,$F$16,$F$17,$F$18,$E84,$F$20,O$22,$H84,$F$19)</f>
        <v>0</v>
      </c>
      <c r="P84" s="36">
        <f>_xll.DBRW($E$12,$F$16,$F$17,$F$18,$E84,$F$20,P$22,$H84,$F$19)</f>
        <v>0</v>
      </c>
      <c r="Q84" s="36">
        <f>_xll.DBRW($E$12,$F$16,$F$17,$F$18,$E84,$F$20,Q$22,$H84,$F$19)</f>
        <v>0</v>
      </c>
      <c r="R84" s="36">
        <f>_xll.DBRW($E$12,$F$16,$F$17,$F$18,$E84,$F$20,R$22,$H84,$F$19)</f>
        <v>0</v>
      </c>
      <c r="S84" s="36">
        <f>_xll.DBRW($E$12,$F$16,$F$17,$F$18,$E84,$F$20,S$22,$H84,$F$19)</f>
        <v>0</v>
      </c>
      <c r="T84" s="36">
        <f>_xll.DBRW($E$12,$F$16,$F$17,$F$18,$E84,$F$20,T$22,$H84,$F$19)</f>
        <v>0</v>
      </c>
      <c r="U84" s="36">
        <f>_xll.DBRW($E$12,$F$16,$F$17,$F$18,$E84,$F$20,U$22,$H84,$F$19)</f>
        <v>4994.0599999999995</v>
      </c>
    </row>
    <row r="85" spans="4:21" s="37" customFormat="1" ht="15" outlineLevel="1" thickBot="1" x14ac:dyDescent="0.35">
      <c r="D85" s="33" t="str">
        <f>IF(_xll.TM1RPTELISCONSOLIDATED($H$34,$H85),IF(_xll.TM1RPTELLEV($H$34,$H85)&lt;=5,_xll.TM1RPTELLEV($H$34,$H85),"Default"),"Leaf")</f>
        <v>Leaf</v>
      </c>
      <c r="E85" s="42" t="s">
        <v>670</v>
      </c>
      <c r="F85" s="34" t="str">
        <f>_xll.DBR($B$18,$H85,"Account_Type")</f>
        <v>NON LABOR</v>
      </c>
      <c r="G85" s="34" t="str">
        <f>_xll.DBR($B$18,$H85,"Description")</f>
        <v>Security / Janitorial Charges</v>
      </c>
      <c r="H85" s="43" t="s">
        <v>227</v>
      </c>
      <c r="I85" s="36">
        <f>_xll.DBRW($E$12,$F$16,$F$17,$F$18,$E85,$F$20,I$22,$H85,$F$19)</f>
        <v>159.74</v>
      </c>
      <c r="J85" s="36">
        <f>_xll.DBRW($E$12,$F$16,$F$17,$F$18,$E85,$F$20,J$22,$H85,$F$19)</f>
        <v>135.56</v>
      </c>
      <c r="K85" s="36">
        <f>_xll.DBRW($E$12,$F$16,$F$17,$F$18,$E85,$F$20,K$22,$H85,$F$19)</f>
        <v>186.6</v>
      </c>
      <c r="L85" s="36">
        <f>_xll.DBRW($E$12,$F$16,$F$17,$F$18,$E85,$F$20,L$22,$H85,$F$19)</f>
        <v>481.65</v>
      </c>
      <c r="M85" s="36">
        <f>_xll.DBRW($E$12,$F$16,$F$17,$F$18,$E85,$F$20,M$22,$H85,$F$19)</f>
        <v>0</v>
      </c>
      <c r="N85" s="36">
        <f>_xll.DBRW($E$12,$F$16,$F$17,$F$18,$E85,$F$20,N$22,$H85,$F$19)</f>
        <v>237</v>
      </c>
      <c r="O85" s="36">
        <f>_xll.DBRW($E$12,$F$16,$F$17,$F$18,$E85,$F$20,O$22,$H85,$F$19)</f>
        <v>37.32</v>
      </c>
      <c r="P85" s="36">
        <f>_xll.DBRW($E$12,$F$16,$F$17,$F$18,$E85,$F$20,P$22,$H85,$F$19)</f>
        <v>0</v>
      </c>
      <c r="Q85" s="36">
        <f>_xll.DBRW($E$12,$F$16,$F$17,$F$18,$E85,$F$20,Q$22,$H85,$F$19)</f>
        <v>0</v>
      </c>
      <c r="R85" s="36">
        <f>_xll.DBRW($E$12,$F$16,$F$17,$F$18,$E85,$F$20,R$22,$H85,$F$19)</f>
        <v>0</v>
      </c>
      <c r="S85" s="36">
        <f>_xll.DBRW($E$12,$F$16,$F$17,$F$18,$E85,$F$20,S$22,$H85,$F$19)</f>
        <v>0</v>
      </c>
      <c r="T85" s="36">
        <f>_xll.DBRW($E$12,$F$16,$F$17,$F$18,$E85,$F$20,T$22,$H85,$F$19)</f>
        <v>0</v>
      </c>
      <c r="U85" s="36">
        <f>_xll.DBRW($E$12,$F$16,$F$17,$F$18,$E85,$F$20,U$22,$H85,$F$19)</f>
        <v>1237.8699999999999</v>
      </c>
    </row>
    <row r="86" spans="4:21" s="37" customFormat="1" ht="15" outlineLevel="1" thickBot="1" x14ac:dyDescent="0.35">
      <c r="D86" s="33" t="str">
        <f>IF(_xll.TM1RPTELISCONSOLIDATED($H$34,$H86),IF(_xll.TM1RPTELLEV($H$34,$H86)&lt;=5,_xll.TM1RPTELLEV($H$34,$H86),"Default"),"Leaf")</f>
        <v>Leaf</v>
      </c>
      <c r="E86" s="42" t="s">
        <v>670</v>
      </c>
      <c r="F86" s="34" t="str">
        <f>_xll.DBR($B$18,$H86,"Account_Type")</f>
        <v>NON LABOR</v>
      </c>
      <c r="G86" s="34" t="str">
        <f>_xll.DBR($B$18,$H86,"Description")</f>
        <v>Security / Janitorial Charges</v>
      </c>
      <c r="H86" s="43" t="s">
        <v>228</v>
      </c>
      <c r="I86" s="36">
        <f>_xll.DBRW($E$12,$F$16,$F$17,$F$18,$E86,$F$20,I$22,$H86,$F$19)</f>
        <v>2009.08</v>
      </c>
      <c r="J86" s="36">
        <f>_xll.DBRW($E$12,$F$16,$F$17,$F$18,$E86,$F$20,J$22,$H86,$F$19)</f>
        <v>2783.64</v>
      </c>
      <c r="K86" s="36">
        <f>_xll.DBRW($E$12,$F$16,$F$17,$F$18,$E86,$F$20,K$22,$H86,$F$19)</f>
        <v>2464.9499999999998</v>
      </c>
      <c r="L86" s="36">
        <f>_xll.DBRW($E$12,$F$16,$F$17,$F$18,$E86,$F$20,L$22,$H86,$F$19)</f>
        <v>2874.46</v>
      </c>
      <c r="M86" s="36">
        <f>_xll.DBRW($E$12,$F$16,$F$17,$F$18,$E86,$F$20,M$22,$H86,$F$19)</f>
        <v>1907.21</v>
      </c>
      <c r="N86" s="36">
        <f>_xll.DBRW($E$12,$F$16,$F$17,$F$18,$E86,$F$20,N$22,$H86,$F$19)</f>
        <v>2180.91</v>
      </c>
      <c r="O86" s="36">
        <f>_xll.DBRW($E$12,$F$16,$F$17,$F$18,$E86,$F$20,O$22,$H86,$F$19)</f>
        <v>0</v>
      </c>
      <c r="P86" s="36">
        <f>_xll.DBRW($E$12,$F$16,$F$17,$F$18,$E86,$F$20,P$22,$H86,$F$19)</f>
        <v>0</v>
      </c>
      <c r="Q86" s="36">
        <f>_xll.DBRW($E$12,$F$16,$F$17,$F$18,$E86,$F$20,Q$22,$H86,$F$19)</f>
        <v>0</v>
      </c>
      <c r="R86" s="36">
        <f>_xll.DBRW($E$12,$F$16,$F$17,$F$18,$E86,$F$20,R$22,$H86,$F$19)</f>
        <v>0</v>
      </c>
      <c r="S86" s="36">
        <f>_xll.DBRW($E$12,$F$16,$F$17,$F$18,$E86,$F$20,S$22,$H86,$F$19)</f>
        <v>0</v>
      </c>
      <c r="T86" s="36">
        <f>_xll.DBRW($E$12,$F$16,$F$17,$F$18,$E86,$F$20,T$22,$H86,$F$19)</f>
        <v>0</v>
      </c>
      <c r="U86" s="36">
        <f>_xll.DBRW($E$12,$F$16,$F$17,$F$18,$E86,$F$20,U$22,$H86,$F$19)</f>
        <v>14220.25</v>
      </c>
    </row>
    <row r="87" spans="4:21" s="37" customFormat="1" ht="15" outlineLevel="1" thickBot="1" x14ac:dyDescent="0.35">
      <c r="D87" s="33" t="str">
        <f>IF(_xll.TM1RPTELISCONSOLIDATED($H$34,$H87),IF(_xll.TM1RPTELLEV($H$34,$H87)&lt;=5,_xll.TM1RPTELLEV($H$34,$H87),"Default"),"Leaf")</f>
        <v>Leaf</v>
      </c>
      <c r="E87" s="42" t="s">
        <v>670</v>
      </c>
      <c r="F87" s="34" t="str">
        <f>_xll.DBR($B$18,$H87,"Account_Type")</f>
        <v>NON LABOR</v>
      </c>
      <c r="G87" s="34" t="str">
        <f>_xll.DBR($B$18,$H87,"Description")</f>
        <v>Security / Janitorial Charges</v>
      </c>
      <c r="H87" s="43" t="s">
        <v>229</v>
      </c>
      <c r="I87" s="36">
        <f>_xll.DBRW($E$12,$F$16,$F$17,$F$18,$E87,$F$20,I$22,$H87,$F$19)</f>
        <v>1951.65</v>
      </c>
      <c r="J87" s="36">
        <f>_xll.DBRW($E$12,$F$16,$F$17,$F$18,$E87,$F$20,J$22,$H87,$F$19)</f>
        <v>1897.41</v>
      </c>
      <c r="K87" s="36">
        <f>_xll.DBRW($E$12,$F$16,$F$17,$F$18,$E87,$F$20,K$22,$H87,$F$19)</f>
        <v>906.56</v>
      </c>
      <c r="L87" s="36">
        <f>_xll.DBRW($E$12,$F$16,$F$17,$F$18,$E87,$F$20,L$22,$H87,$F$19)</f>
        <v>1003.71</v>
      </c>
      <c r="M87" s="36">
        <f>_xll.DBRW($E$12,$F$16,$F$17,$F$18,$E87,$F$20,M$22,$H87,$F$19)</f>
        <v>860.38</v>
      </c>
      <c r="N87" s="36">
        <f>_xll.DBRW($E$12,$F$16,$F$17,$F$18,$E87,$F$20,N$22,$H87,$F$19)</f>
        <v>878.08</v>
      </c>
      <c r="O87" s="36">
        <f>_xll.DBRW($E$12,$F$16,$F$17,$F$18,$E87,$F$20,O$22,$H87,$F$19)</f>
        <v>0</v>
      </c>
      <c r="P87" s="36">
        <f>_xll.DBRW($E$12,$F$16,$F$17,$F$18,$E87,$F$20,P$22,$H87,$F$19)</f>
        <v>0</v>
      </c>
      <c r="Q87" s="36">
        <f>_xll.DBRW($E$12,$F$16,$F$17,$F$18,$E87,$F$20,Q$22,$H87,$F$19)</f>
        <v>0</v>
      </c>
      <c r="R87" s="36">
        <f>_xll.DBRW($E$12,$F$16,$F$17,$F$18,$E87,$F$20,R$22,$H87,$F$19)</f>
        <v>0</v>
      </c>
      <c r="S87" s="36">
        <f>_xll.DBRW($E$12,$F$16,$F$17,$F$18,$E87,$F$20,S$22,$H87,$F$19)</f>
        <v>0</v>
      </c>
      <c r="T87" s="36">
        <f>_xll.DBRW($E$12,$F$16,$F$17,$F$18,$E87,$F$20,T$22,$H87,$F$19)</f>
        <v>0</v>
      </c>
      <c r="U87" s="36">
        <f>_xll.DBRW($E$12,$F$16,$F$17,$F$18,$E87,$F$20,U$22,$H87,$F$19)</f>
        <v>7497.7900000000009</v>
      </c>
    </row>
    <row r="88" spans="4:21" s="37" customFormat="1" ht="15" outlineLevel="1" thickBot="1" x14ac:dyDescent="0.35">
      <c r="D88" s="33" t="str">
        <f>IF(_xll.TM1RPTELISCONSOLIDATED($H$34,$H88),IF(_xll.TM1RPTELLEV($H$34,$H88)&lt;=5,_xll.TM1RPTELLEV($H$34,$H88),"Default"),"Leaf")</f>
        <v>Leaf</v>
      </c>
      <c r="E88" s="42" t="s">
        <v>670</v>
      </c>
      <c r="F88" s="34" t="str">
        <f>_xll.DBR($B$18,$H88,"Account_Type")</f>
        <v>NON LABOR</v>
      </c>
      <c r="G88" s="34" t="str">
        <f>_xll.DBR($B$18,$H88,"Description")</f>
        <v>Security / Janitorial Charges</v>
      </c>
      <c r="H88" s="43" t="s">
        <v>230</v>
      </c>
      <c r="I88" s="36">
        <f>_xll.DBRW($E$12,$F$16,$F$17,$F$18,$E88,$F$20,I$22,$H88,$F$19)</f>
        <v>1421.85</v>
      </c>
      <c r="J88" s="36">
        <f>_xll.DBRW($E$12,$F$16,$F$17,$F$18,$E88,$F$20,J$22,$H88,$F$19)</f>
        <v>527.69000000000005</v>
      </c>
      <c r="K88" s="36">
        <f>_xll.DBRW($E$12,$F$16,$F$17,$F$18,$E88,$F$20,K$22,$H88,$F$19)</f>
        <v>648.91</v>
      </c>
      <c r="L88" s="36">
        <f>_xll.DBRW($E$12,$F$16,$F$17,$F$18,$E88,$F$20,L$22,$H88,$F$19)</f>
        <v>299.79000000000002</v>
      </c>
      <c r="M88" s="36">
        <f>_xll.DBRW($E$12,$F$16,$F$17,$F$18,$E88,$F$20,M$22,$H88,$F$19)</f>
        <v>459.9</v>
      </c>
      <c r="N88" s="36">
        <f>_xll.DBRW($E$12,$F$16,$F$17,$F$18,$E88,$F$20,N$22,$H88,$F$19)</f>
        <v>851.22</v>
      </c>
      <c r="O88" s="36">
        <f>_xll.DBRW($E$12,$F$16,$F$17,$F$18,$E88,$F$20,O$22,$H88,$F$19)</f>
        <v>178.93</v>
      </c>
      <c r="P88" s="36">
        <f>_xll.DBRW($E$12,$F$16,$F$17,$F$18,$E88,$F$20,P$22,$H88,$F$19)</f>
        <v>0</v>
      </c>
      <c r="Q88" s="36">
        <f>_xll.DBRW($E$12,$F$16,$F$17,$F$18,$E88,$F$20,Q$22,$H88,$F$19)</f>
        <v>0</v>
      </c>
      <c r="R88" s="36">
        <f>_xll.DBRW($E$12,$F$16,$F$17,$F$18,$E88,$F$20,R$22,$H88,$F$19)</f>
        <v>0</v>
      </c>
      <c r="S88" s="36">
        <f>_xll.DBRW($E$12,$F$16,$F$17,$F$18,$E88,$F$20,S$22,$H88,$F$19)</f>
        <v>0</v>
      </c>
      <c r="T88" s="36">
        <f>_xll.DBRW($E$12,$F$16,$F$17,$F$18,$E88,$F$20,T$22,$H88,$F$19)</f>
        <v>0</v>
      </c>
      <c r="U88" s="36">
        <f>_xll.DBRW($E$12,$F$16,$F$17,$F$18,$E88,$F$20,U$22,$H88,$F$19)</f>
        <v>4388.29</v>
      </c>
    </row>
    <row r="89" spans="4:21" s="37" customFormat="1" ht="15" outlineLevel="1" thickBot="1" x14ac:dyDescent="0.35">
      <c r="D89" s="33" t="str">
        <f>IF(_xll.TM1RPTELISCONSOLIDATED($H$34,$H89),IF(_xll.TM1RPTELLEV($H$34,$H89)&lt;=5,_xll.TM1RPTELLEV($H$34,$H89),"Default"),"Leaf")</f>
        <v>Leaf</v>
      </c>
      <c r="E89" s="42" t="s">
        <v>670</v>
      </c>
      <c r="F89" s="34" t="str">
        <f>_xll.DBR($B$18,$H89,"Account_Type")</f>
        <v>NON LABOR</v>
      </c>
      <c r="G89" s="34" t="str">
        <f>_xll.DBR($B$18,$H89,"Description")</f>
        <v>Facility Maintenance</v>
      </c>
      <c r="H89" s="43" t="s">
        <v>233</v>
      </c>
      <c r="I89" s="36">
        <f>_xll.DBRW($E$12,$F$16,$F$17,$F$18,$E89,$F$20,I$22,$H89,$F$19)</f>
        <v>1675.96</v>
      </c>
      <c r="J89" s="36">
        <f>_xll.DBRW($E$12,$F$16,$F$17,$F$18,$E89,$F$20,J$22,$H89,$F$19)</f>
        <v>5015.1099999999997</v>
      </c>
      <c r="K89" s="36">
        <f>_xll.DBRW($E$12,$F$16,$F$17,$F$18,$E89,$F$20,K$22,$H89,$F$19)</f>
        <v>4769.1499999999996</v>
      </c>
      <c r="L89" s="36">
        <f>_xll.DBRW($E$12,$F$16,$F$17,$F$18,$E89,$F$20,L$22,$H89,$F$19)</f>
        <v>3434.66</v>
      </c>
      <c r="M89" s="36">
        <f>_xll.DBRW($E$12,$F$16,$F$17,$F$18,$E89,$F$20,M$22,$H89,$F$19)</f>
        <v>2663.27</v>
      </c>
      <c r="N89" s="36">
        <f>_xll.DBRW($E$12,$F$16,$F$17,$F$18,$E89,$F$20,N$22,$H89,$F$19)</f>
        <v>7210.56</v>
      </c>
      <c r="O89" s="36">
        <f>_xll.DBRW($E$12,$F$16,$F$17,$F$18,$E89,$F$20,O$22,$H89,$F$19)</f>
        <v>-2115</v>
      </c>
      <c r="P89" s="36">
        <f>_xll.DBRW($E$12,$F$16,$F$17,$F$18,$E89,$F$20,P$22,$H89,$F$19)</f>
        <v>0</v>
      </c>
      <c r="Q89" s="36">
        <f>_xll.DBRW($E$12,$F$16,$F$17,$F$18,$E89,$F$20,Q$22,$H89,$F$19)</f>
        <v>0</v>
      </c>
      <c r="R89" s="36">
        <f>_xll.DBRW($E$12,$F$16,$F$17,$F$18,$E89,$F$20,R$22,$H89,$F$19)</f>
        <v>0</v>
      </c>
      <c r="S89" s="36">
        <f>_xll.DBRW($E$12,$F$16,$F$17,$F$18,$E89,$F$20,S$22,$H89,$F$19)</f>
        <v>0</v>
      </c>
      <c r="T89" s="36">
        <f>_xll.DBRW($E$12,$F$16,$F$17,$F$18,$E89,$F$20,T$22,$H89,$F$19)</f>
        <v>0</v>
      </c>
      <c r="U89" s="36">
        <f>_xll.DBRW($E$12,$F$16,$F$17,$F$18,$E89,$F$20,U$22,$H89,$F$19)</f>
        <v>22653.71</v>
      </c>
    </row>
    <row r="90" spans="4:21" s="37" customFormat="1" ht="15" outlineLevel="1" thickBot="1" x14ac:dyDescent="0.35">
      <c r="D90" s="33" t="str">
        <f>IF(_xll.TM1RPTELISCONSOLIDATED($H$34,$H90),IF(_xll.TM1RPTELLEV($H$34,$H90)&lt;=5,_xll.TM1RPTELLEV($H$34,$H90),"Default"),"Leaf")</f>
        <v>Leaf</v>
      </c>
      <c r="E90" s="42" t="s">
        <v>670</v>
      </c>
      <c r="F90" s="34" t="str">
        <f>_xll.DBR($B$18,$H90,"Account_Type")</f>
        <v>NON LABOR</v>
      </c>
      <c r="G90" s="34" t="str">
        <f>_xll.DBR($B$18,$H90,"Description")</f>
        <v>Facility Maintenance</v>
      </c>
      <c r="H90" s="43" t="s">
        <v>234</v>
      </c>
      <c r="I90" s="36">
        <f>_xll.DBRW($E$12,$F$16,$F$17,$F$18,$E90,$F$20,I$22,$H90,$F$19)</f>
        <v>4929.01</v>
      </c>
      <c r="J90" s="36">
        <f>_xll.DBRW($E$12,$F$16,$F$17,$F$18,$E90,$F$20,J$22,$H90,$F$19)</f>
        <v>1031.05</v>
      </c>
      <c r="K90" s="36">
        <f>_xll.DBRW($E$12,$F$16,$F$17,$F$18,$E90,$F$20,K$22,$H90,$F$19)</f>
        <v>468.27</v>
      </c>
      <c r="L90" s="36">
        <f>_xll.DBRW($E$12,$F$16,$F$17,$F$18,$E90,$F$20,L$22,$H90,$F$19)</f>
        <v>38.19</v>
      </c>
      <c r="M90" s="36">
        <f>_xll.DBRW($E$12,$F$16,$F$17,$F$18,$E90,$F$20,M$22,$H90,$F$19)</f>
        <v>2062.16</v>
      </c>
      <c r="N90" s="36">
        <f>_xll.DBRW($E$12,$F$16,$F$17,$F$18,$E90,$F$20,N$22,$H90,$F$19)</f>
        <v>510.84</v>
      </c>
      <c r="O90" s="36">
        <f>_xll.DBRW($E$12,$F$16,$F$17,$F$18,$E90,$F$20,O$22,$H90,$F$19)</f>
        <v>0</v>
      </c>
      <c r="P90" s="36">
        <f>_xll.DBRW($E$12,$F$16,$F$17,$F$18,$E90,$F$20,P$22,$H90,$F$19)</f>
        <v>0</v>
      </c>
      <c r="Q90" s="36">
        <f>_xll.DBRW($E$12,$F$16,$F$17,$F$18,$E90,$F$20,Q$22,$H90,$F$19)</f>
        <v>0</v>
      </c>
      <c r="R90" s="36">
        <f>_xll.DBRW($E$12,$F$16,$F$17,$F$18,$E90,$F$20,R$22,$H90,$F$19)</f>
        <v>0</v>
      </c>
      <c r="S90" s="36">
        <f>_xll.DBRW($E$12,$F$16,$F$17,$F$18,$E90,$F$20,S$22,$H90,$F$19)</f>
        <v>0</v>
      </c>
      <c r="T90" s="36">
        <f>_xll.DBRW($E$12,$F$16,$F$17,$F$18,$E90,$F$20,T$22,$H90,$F$19)</f>
        <v>0</v>
      </c>
      <c r="U90" s="36">
        <f>_xll.DBRW($E$12,$F$16,$F$17,$F$18,$E90,$F$20,U$22,$H90,$F$19)</f>
        <v>9039.52</v>
      </c>
    </row>
    <row r="91" spans="4:21" s="37" customFormat="1" ht="15" outlineLevel="1" thickBot="1" x14ac:dyDescent="0.35">
      <c r="D91" s="33" t="str">
        <f>IF(_xll.TM1RPTELISCONSOLIDATED($H$34,$H91),IF(_xll.TM1RPTELLEV($H$34,$H91)&lt;=5,_xll.TM1RPTELLEV($H$34,$H91),"Default"),"Leaf")</f>
        <v>Leaf</v>
      </c>
      <c r="E91" s="42" t="s">
        <v>670</v>
      </c>
      <c r="F91" s="34" t="str">
        <f>_xll.DBR($B$18,$H91,"Account_Type")</f>
        <v>NON LABOR</v>
      </c>
      <c r="G91" s="34" t="str">
        <f>_xll.DBR($B$18,$H91,"Description")</f>
        <v>Facility Maintenance</v>
      </c>
      <c r="H91" s="43" t="s">
        <v>235</v>
      </c>
      <c r="I91" s="36">
        <f>_xll.DBRW($E$12,$F$16,$F$17,$F$18,$E91,$F$20,I$22,$H91,$F$19)</f>
        <v>0</v>
      </c>
      <c r="J91" s="36">
        <f>_xll.DBRW($E$12,$F$16,$F$17,$F$18,$E91,$F$20,J$22,$H91,$F$19)</f>
        <v>57.11</v>
      </c>
      <c r="K91" s="36">
        <f>_xll.DBRW($E$12,$F$16,$F$17,$F$18,$E91,$F$20,K$22,$H91,$F$19)</f>
        <v>893.06</v>
      </c>
      <c r="L91" s="36">
        <f>_xll.DBRW($E$12,$F$16,$F$17,$F$18,$E91,$F$20,L$22,$H91,$F$19)</f>
        <v>492.69</v>
      </c>
      <c r="M91" s="36">
        <f>_xll.DBRW($E$12,$F$16,$F$17,$F$18,$E91,$F$20,M$22,$H91,$F$19)</f>
        <v>0</v>
      </c>
      <c r="N91" s="36">
        <f>_xll.DBRW($E$12,$F$16,$F$17,$F$18,$E91,$F$20,N$22,$H91,$F$19)</f>
        <v>2859.39</v>
      </c>
      <c r="O91" s="36">
        <f>_xll.DBRW($E$12,$F$16,$F$17,$F$18,$E91,$F$20,O$22,$H91,$F$19)</f>
        <v>0</v>
      </c>
      <c r="P91" s="36">
        <f>_xll.DBRW($E$12,$F$16,$F$17,$F$18,$E91,$F$20,P$22,$H91,$F$19)</f>
        <v>0</v>
      </c>
      <c r="Q91" s="36">
        <f>_xll.DBRW($E$12,$F$16,$F$17,$F$18,$E91,$F$20,Q$22,$H91,$F$19)</f>
        <v>0</v>
      </c>
      <c r="R91" s="36">
        <f>_xll.DBRW($E$12,$F$16,$F$17,$F$18,$E91,$F$20,R$22,$H91,$F$19)</f>
        <v>0</v>
      </c>
      <c r="S91" s="36">
        <f>_xll.DBRW($E$12,$F$16,$F$17,$F$18,$E91,$F$20,S$22,$H91,$F$19)</f>
        <v>0</v>
      </c>
      <c r="T91" s="36">
        <f>_xll.DBRW($E$12,$F$16,$F$17,$F$18,$E91,$F$20,T$22,$H91,$F$19)</f>
        <v>0</v>
      </c>
      <c r="U91" s="36">
        <f>_xll.DBRW($E$12,$F$16,$F$17,$F$18,$E91,$F$20,U$22,$H91,$F$19)</f>
        <v>4302.25</v>
      </c>
    </row>
    <row r="92" spans="4:21" s="37" customFormat="1" ht="15" outlineLevel="1" thickBot="1" x14ac:dyDescent="0.35">
      <c r="D92" s="33" t="str">
        <f>IF(_xll.TM1RPTELISCONSOLIDATED($H$34,$H92),IF(_xll.TM1RPTELLEV($H$34,$H92)&lt;=5,_xll.TM1RPTELLEV($H$34,$H92),"Default"),"Leaf")</f>
        <v>Leaf</v>
      </c>
      <c r="E92" s="42" t="s">
        <v>670</v>
      </c>
      <c r="F92" s="34" t="str">
        <f>_xll.DBR($B$18,$H92,"Account_Type")</f>
        <v>NON LABOR</v>
      </c>
      <c r="G92" s="34" t="str">
        <f>_xll.DBR($B$18,$H92,"Description")</f>
        <v>Facility Maintenance</v>
      </c>
      <c r="H92" s="43" t="s">
        <v>236</v>
      </c>
      <c r="I92" s="36">
        <f>_xll.DBRW($E$12,$F$16,$F$17,$F$18,$E92,$F$20,I$22,$H92,$F$19)</f>
        <v>128.35</v>
      </c>
      <c r="J92" s="36">
        <f>_xll.DBRW($E$12,$F$16,$F$17,$F$18,$E92,$F$20,J$22,$H92,$F$19)</f>
        <v>54.11</v>
      </c>
      <c r="K92" s="36">
        <f>_xll.DBRW($E$12,$F$16,$F$17,$F$18,$E92,$F$20,K$22,$H92,$F$19)</f>
        <v>55.01</v>
      </c>
      <c r="L92" s="36">
        <f>_xll.DBRW($E$12,$F$16,$F$17,$F$18,$E92,$F$20,L$22,$H92,$F$19)</f>
        <v>0</v>
      </c>
      <c r="M92" s="36">
        <f>_xll.DBRW($E$12,$F$16,$F$17,$F$18,$E92,$F$20,M$22,$H92,$F$19)</f>
        <v>0</v>
      </c>
      <c r="N92" s="36">
        <f>_xll.DBRW($E$12,$F$16,$F$17,$F$18,$E92,$F$20,N$22,$H92,$F$19)</f>
        <v>194.95</v>
      </c>
      <c r="O92" s="36">
        <f>_xll.DBRW($E$12,$F$16,$F$17,$F$18,$E92,$F$20,O$22,$H92,$F$19)</f>
        <v>0</v>
      </c>
      <c r="P92" s="36">
        <f>_xll.DBRW($E$12,$F$16,$F$17,$F$18,$E92,$F$20,P$22,$H92,$F$19)</f>
        <v>0</v>
      </c>
      <c r="Q92" s="36">
        <f>_xll.DBRW($E$12,$F$16,$F$17,$F$18,$E92,$F$20,Q$22,$H92,$F$19)</f>
        <v>0</v>
      </c>
      <c r="R92" s="36">
        <f>_xll.DBRW($E$12,$F$16,$F$17,$F$18,$E92,$F$20,R$22,$H92,$F$19)</f>
        <v>0</v>
      </c>
      <c r="S92" s="36">
        <f>_xll.DBRW($E$12,$F$16,$F$17,$F$18,$E92,$F$20,S$22,$H92,$F$19)</f>
        <v>0</v>
      </c>
      <c r="T92" s="36">
        <f>_xll.DBRW($E$12,$F$16,$F$17,$F$18,$E92,$F$20,T$22,$H92,$F$19)</f>
        <v>0</v>
      </c>
      <c r="U92" s="36">
        <f>_xll.DBRW($E$12,$F$16,$F$17,$F$18,$E92,$F$20,U$22,$H92,$F$19)</f>
        <v>432.41999999999996</v>
      </c>
    </row>
    <row r="93" spans="4:21" s="37" customFormat="1" ht="15" outlineLevel="1" thickBot="1" x14ac:dyDescent="0.35">
      <c r="D93" s="33" t="str">
        <f>IF(_xll.TM1RPTELISCONSOLIDATED($H$34,$H93),IF(_xll.TM1RPTELLEV($H$34,$H93)&lt;=5,_xll.TM1RPTELLEV($H$34,$H93),"Default"),"Leaf")</f>
        <v>Leaf</v>
      </c>
      <c r="E93" s="42" t="s">
        <v>670</v>
      </c>
      <c r="F93" s="34" t="str">
        <f>_xll.DBR($B$18,$H93,"Account_Type")</f>
        <v>NON LABOR</v>
      </c>
      <c r="G93" s="34" t="str">
        <f>_xll.DBR($B$18,$H93,"Description")</f>
        <v>Professional Services / Consultants</v>
      </c>
      <c r="H93" s="43" t="s">
        <v>242</v>
      </c>
      <c r="I93" s="36">
        <f>_xll.DBRW($E$12,$F$16,$F$17,$F$18,$E93,$F$20,I$22,$H93,$F$19)</f>
        <v>11799.41</v>
      </c>
      <c r="J93" s="36">
        <f>_xll.DBRW($E$12,$F$16,$F$17,$F$18,$E93,$F$20,J$22,$H93,$F$19)</f>
        <v>750</v>
      </c>
      <c r="K93" s="36">
        <f>_xll.DBRW($E$12,$F$16,$F$17,$F$18,$E93,$F$20,K$22,$H93,$F$19)</f>
        <v>-1299.6600000000001</v>
      </c>
      <c r="L93" s="36">
        <f>_xll.DBRW($E$12,$F$16,$F$17,$F$18,$E93,$F$20,L$22,$H93,$F$19)</f>
        <v>6618.52</v>
      </c>
      <c r="M93" s="36">
        <f>_xll.DBRW($E$12,$F$16,$F$17,$F$18,$E93,$F$20,M$22,$H93,$F$19)</f>
        <v>0</v>
      </c>
      <c r="N93" s="36">
        <f>_xll.DBRW($E$12,$F$16,$F$17,$F$18,$E93,$F$20,N$22,$H93,$F$19)</f>
        <v>0</v>
      </c>
      <c r="O93" s="36">
        <f>_xll.DBRW($E$12,$F$16,$F$17,$F$18,$E93,$F$20,O$22,$H93,$F$19)</f>
        <v>0</v>
      </c>
      <c r="P93" s="36">
        <f>_xll.DBRW($E$12,$F$16,$F$17,$F$18,$E93,$F$20,P$22,$H93,$F$19)</f>
        <v>0</v>
      </c>
      <c r="Q93" s="36">
        <f>_xll.DBRW($E$12,$F$16,$F$17,$F$18,$E93,$F$20,Q$22,$H93,$F$19)</f>
        <v>0</v>
      </c>
      <c r="R93" s="36">
        <f>_xll.DBRW($E$12,$F$16,$F$17,$F$18,$E93,$F$20,R$22,$H93,$F$19)</f>
        <v>0</v>
      </c>
      <c r="S93" s="36">
        <f>_xll.DBRW($E$12,$F$16,$F$17,$F$18,$E93,$F$20,S$22,$H93,$F$19)</f>
        <v>0</v>
      </c>
      <c r="T93" s="36">
        <f>_xll.DBRW($E$12,$F$16,$F$17,$F$18,$E93,$F$20,T$22,$H93,$F$19)</f>
        <v>0</v>
      </c>
      <c r="U93" s="36">
        <f>_xll.DBRW($E$12,$F$16,$F$17,$F$18,$E93,$F$20,U$22,$H93,$F$19)</f>
        <v>17868.27</v>
      </c>
    </row>
    <row r="94" spans="4:21" s="37" customFormat="1" ht="15" outlineLevel="1" thickBot="1" x14ac:dyDescent="0.35">
      <c r="D94" s="33" t="str">
        <f>IF(_xll.TM1RPTELISCONSOLIDATED($H$34,$H94),IF(_xll.TM1RPTELLEV($H$34,$H94)&lt;=5,_xll.TM1RPTELLEV($H$34,$H94),"Default"),"Leaf")</f>
        <v>Leaf</v>
      </c>
      <c r="E94" s="42" t="s">
        <v>670</v>
      </c>
      <c r="F94" s="34" t="str">
        <f>_xll.DBR($B$18,$H94,"Account_Type")</f>
        <v>NON LABOR</v>
      </c>
      <c r="G94" s="34" t="str">
        <f>_xll.DBR($B$18,$H94,"Description")</f>
        <v>Professional Services / Consultants</v>
      </c>
      <c r="H94" s="43" t="s">
        <v>243</v>
      </c>
      <c r="I94" s="36">
        <f>_xll.DBRW($E$12,$F$16,$F$17,$F$18,$E94,$F$20,I$22,$H94,$F$19)</f>
        <v>0</v>
      </c>
      <c r="J94" s="36">
        <f>_xll.DBRW($E$12,$F$16,$F$17,$F$18,$E94,$F$20,J$22,$H94,$F$19)</f>
        <v>0</v>
      </c>
      <c r="K94" s="36">
        <f>_xll.DBRW($E$12,$F$16,$F$17,$F$18,$E94,$F$20,K$22,$H94,$F$19)</f>
        <v>1505.66</v>
      </c>
      <c r="L94" s="36">
        <f>_xll.DBRW($E$12,$F$16,$F$17,$F$18,$E94,$F$20,L$22,$H94,$F$19)</f>
        <v>1800</v>
      </c>
      <c r="M94" s="36">
        <f>_xll.DBRW($E$12,$F$16,$F$17,$F$18,$E94,$F$20,M$22,$H94,$F$19)</f>
        <v>-839.25</v>
      </c>
      <c r="N94" s="36">
        <f>_xll.DBRW($E$12,$F$16,$F$17,$F$18,$E94,$F$20,N$22,$H94,$F$19)</f>
        <v>-48.74</v>
      </c>
      <c r="O94" s="36">
        <f>_xll.DBRW($E$12,$F$16,$F$17,$F$18,$E94,$F$20,O$22,$H94,$F$19)</f>
        <v>0</v>
      </c>
      <c r="P94" s="36">
        <f>_xll.DBRW($E$12,$F$16,$F$17,$F$18,$E94,$F$20,P$22,$H94,$F$19)</f>
        <v>0</v>
      </c>
      <c r="Q94" s="36">
        <f>_xll.DBRW($E$12,$F$16,$F$17,$F$18,$E94,$F$20,Q$22,$H94,$F$19)</f>
        <v>0</v>
      </c>
      <c r="R94" s="36">
        <f>_xll.DBRW($E$12,$F$16,$F$17,$F$18,$E94,$F$20,R$22,$H94,$F$19)</f>
        <v>0</v>
      </c>
      <c r="S94" s="36">
        <f>_xll.DBRW($E$12,$F$16,$F$17,$F$18,$E94,$F$20,S$22,$H94,$F$19)</f>
        <v>0</v>
      </c>
      <c r="T94" s="36">
        <f>_xll.DBRW($E$12,$F$16,$F$17,$F$18,$E94,$F$20,T$22,$H94,$F$19)</f>
        <v>0</v>
      </c>
      <c r="U94" s="36">
        <f>_xll.DBRW($E$12,$F$16,$F$17,$F$18,$E94,$F$20,U$22,$H94,$F$19)</f>
        <v>2417.67</v>
      </c>
    </row>
    <row r="95" spans="4:21" s="37" customFormat="1" ht="15" outlineLevel="1" thickBot="1" x14ac:dyDescent="0.35">
      <c r="D95" s="33" t="str">
        <f>IF(_xll.TM1RPTELISCONSOLIDATED($H$34,$H95),IF(_xll.TM1RPTELLEV($H$34,$H95)&lt;=5,_xll.TM1RPTELLEV($H$34,$H95),"Default"),"Leaf")</f>
        <v>Leaf</v>
      </c>
      <c r="E95" s="42" t="s">
        <v>670</v>
      </c>
      <c r="F95" s="34" t="str">
        <f>_xll.DBR($B$18,$H95,"Account_Type")</f>
        <v>NON LABOR</v>
      </c>
      <c r="G95" s="34" t="str">
        <f>_xll.DBR($B$18,$H95,"Description")</f>
        <v>Professional Services / Consultants</v>
      </c>
      <c r="H95" s="43" t="s">
        <v>244</v>
      </c>
      <c r="I95" s="36">
        <f>_xll.DBRW($E$12,$F$16,$F$17,$F$18,$E95,$F$20,I$22,$H95,$F$19)</f>
        <v>0</v>
      </c>
      <c r="J95" s="36">
        <f>_xll.DBRW($E$12,$F$16,$F$17,$F$18,$E95,$F$20,J$22,$H95,$F$19)</f>
        <v>1080.8399999999999</v>
      </c>
      <c r="K95" s="36">
        <f>_xll.DBRW($E$12,$F$16,$F$17,$F$18,$E95,$F$20,K$22,$H95,$F$19)</f>
        <v>0</v>
      </c>
      <c r="L95" s="36">
        <f>_xll.DBRW($E$12,$F$16,$F$17,$F$18,$E95,$F$20,L$22,$H95,$F$19)</f>
        <v>2641.36</v>
      </c>
      <c r="M95" s="36">
        <f>_xll.DBRW($E$12,$F$16,$F$17,$F$18,$E95,$F$20,M$22,$H95,$F$19)</f>
        <v>1021.5</v>
      </c>
      <c r="N95" s="36">
        <f>_xll.DBRW($E$12,$F$16,$F$17,$F$18,$E95,$F$20,N$22,$H95,$F$19)</f>
        <v>-191.86</v>
      </c>
      <c r="O95" s="36">
        <f>_xll.DBRW($E$12,$F$16,$F$17,$F$18,$E95,$F$20,O$22,$H95,$F$19)</f>
        <v>0</v>
      </c>
      <c r="P95" s="36">
        <f>_xll.DBRW($E$12,$F$16,$F$17,$F$18,$E95,$F$20,P$22,$H95,$F$19)</f>
        <v>0</v>
      </c>
      <c r="Q95" s="36">
        <f>_xll.DBRW($E$12,$F$16,$F$17,$F$18,$E95,$F$20,Q$22,$H95,$F$19)</f>
        <v>0</v>
      </c>
      <c r="R95" s="36">
        <f>_xll.DBRW($E$12,$F$16,$F$17,$F$18,$E95,$F$20,R$22,$H95,$F$19)</f>
        <v>0</v>
      </c>
      <c r="S95" s="36">
        <f>_xll.DBRW($E$12,$F$16,$F$17,$F$18,$E95,$F$20,S$22,$H95,$F$19)</f>
        <v>0</v>
      </c>
      <c r="T95" s="36">
        <f>_xll.DBRW($E$12,$F$16,$F$17,$F$18,$E95,$F$20,T$22,$H95,$F$19)</f>
        <v>0</v>
      </c>
      <c r="U95" s="36">
        <f>_xll.DBRW($E$12,$F$16,$F$17,$F$18,$E95,$F$20,U$22,$H95,$F$19)</f>
        <v>4551.84</v>
      </c>
    </row>
    <row r="96" spans="4:21" s="37" customFormat="1" ht="15" outlineLevel="1" thickBot="1" x14ac:dyDescent="0.35">
      <c r="D96" s="33" t="str">
        <f>IF(_xll.TM1RPTELISCONSOLIDATED($H$34,$H96),IF(_xll.TM1RPTELLEV($H$34,$H96)&lt;=5,_xll.TM1RPTELLEV($H$34,$H96),"Default"),"Leaf")</f>
        <v>Leaf</v>
      </c>
      <c r="E96" s="42" t="s">
        <v>670</v>
      </c>
      <c r="F96" s="34" t="str">
        <f>_xll.DBR($B$18,$H96,"Account_Type")</f>
        <v>NON LABOR</v>
      </c>
      <c r="G96" s="34" t="str">
        <f>_xll.DBR($B$18,$H96,"Description")</f>
        <v>Environmental / Disposal Fees</v>
      </c>
      <c r="H96" s="43" t="s">
        <v>249</v>
      </c>
      <c r="I96" s="36">
        <f>_xll.DBRW($E$12,$F$16,$F$17,$F$18,$E96,$F$20,I$22,$H96,$F$19)</f>
        <v>1374.09</v>
      </c>
      <c r="J96" s="36">
        <f>_xll.DBRW($E$12,$F$16,$F$17,$F$18,$E96,$F$20,J$22,$H96,$F$19)</f>
        <v>0</v>
      </c>
      <c r="K96" s="36">
        <f>_xll.DBRW($E$12,$F$16,$F$17,$F$18,$E96,$F$20,K$22,$H96,$F$19)</f>
        <v>0</v>
      </c>
      <c r="L96" s="36">
        <f>_xll.DBRW($E$12,$F$16,$F$17,$F$18,$E96,$F$20,L$22,$H96,$F$19)</f>
        <v>2473.58</v>
      </c>
      <c r="M96" s="36">
        <f>_xll.DBRW($E$12,$F$16,$F$17,$F$18,$E96,$F$20,M$22,$H96,$F$19)</f>
        <v>1995</v>
      </c>
      <c r="N96" s="36">
        <f>_xll.DBRW($E$12,$F$16,$F$17,$F$18,$E96,$F$20,N$22,$H96,$F$19)</f>
        <v>-1995</v>
      </c>
      <c r="O96" s="36">
        <f>_xll.DBRW($E$12,$F$16,$F$17,$F$18,$E96,$F$20,O$22,$H96,$F$19)</f>
        <v>0</v>
      </c>
      <c r="P96" s="36">
        <f>_xll.DBRW($E$12,$F$16,$F$17,$F$18,$E96,$F$20,P$22,$H96,$F$19)</f>
        <v>0</v>
      </c>
      <c r="Q96" s="36">
        <f>_xll.DBRW($E$12,$F$16,$F$17,$F$18,$E96,$F$20,Q$22,$H96,$F$19)</f>
        <v>0</v>
      </c>
      <c r="R96" s="36">
        <f>_xll.DBRW($E$12,$F$16,$F$17,$F$18,$E96,$F$20,R$22,$H96,$F$19)</f>
        <v>0</v>
      </c>
      <c r="S96" s="36">
        <f>_xll.DBRW($E$12,$F$16,$F$17,$F$18,$E96,$F$20,S$22,$H96,$F$19)</f>
        <v>0</v>
      </c>
      <c r="T96" s="36">
        <f>_xll.DBRW($E$12,$F$16,$F$17,$F$18,$E96,$F$20,T$22,$H96,$F$19)</f>
        <v>0</v>
      </c>
      <c r="U96" s="36">
        <f>_xll.DBRW($E$12,$F$16,$F$17,$F$18,$E96,$F$20,U$22,$H96,$F$19)</f>
        <v>3847.67</v>
      </c>
    </row>
    <row r="97" spans="4:21" s="37" customFormat="1" ht="15" outlineLevel="1" thickBot="1" x14ac:dyDescent="0.35">
      <c r="D97" s="33" t="str">
        <f>IF(_xll.TM1RPTELISCONSOLIDATED($H$34,$H97),IF(_xll.TM1RPTELLEV($H$34,$H97)&lt;=5,_xll.TM1RPTELLEV($H$34,$H97),"Default"),"Leaf")</f>
        <v>Leaf</v>
      </c>
      <c r="E97" s="42" t="s">
        <v>670</v>
      </c>
      <c r="F97" s="34" t="str">
        <f>_xll.DBR($B$18,$H97,"Account_Type")</f>
        <v>NON LABOR</v>
      </c>
      <c r="G97" s="34" t="str">
        <f>_xll.DBR($B$18,$H97,"Description")</f>
        <v>Environmental / Disposal Fees</v>
      </c>
      <c r="H97" s="43" t="s">
        <v>250</v>
      </c>
      <c r="I97" s="36">
        <f>_xll.DBRW($E$12,$F$16,$F$17,$F$18,$E97,$F$20,I$22,$H97,$F$19)</f>
        <v>656.97</v>
      </c>
      <c r="J97" s="36">
        <f>_xll.DBRW($E$12,$F$16,$F$17,$F$18,$E97,$F$20,J$22,$H97,$F$19)</f>
        <v>0</v>
      </c>
      <c r="K97" s="36">
        <f>_xll.DBRW($E$12,$F$16,$F$17,$F$18,$E97,$F$20,K$22,$H97,$F$19)</f>
        <v>0</v>
      </c>
      <c r="L97" s="36">
        <f>_xll.DBRW($E$12,$F$16,$F$17,$F$18,$E97,$F$20,L$22,$H97,$F$19)</f>
        <v>0</v>
      </c>
      <c r="M97" s="36">
        <f>_xll.DBRW($E$12,$F$16,$F$17,$F$18,$E97,$F$20,M$22,$H97,$F$19)</f>
        <v>0</v>
      </c>
      <c r="N97" s="36">
        <f>_xll.DBRW($E$12,$F$16,$F$17,$F$18,$E97,$F$20,N$22,$H97,$F$19)</f>
        <v>-2116.81</v>
      </c>
      <c r="O97" s="36">
        <f>_xll.DBRW($E$12,$F$16,$F$17,$F$18,$E97,$F$20,O$22,$H97,$F$19)</f>
        <v>0</v>
      </c>
      <c r="P97" s="36">
        <f>_xll.DBRW($E$12,$F$16,$F$17,$F$18,$E97,$F$20,P$22,$H97,$F$19)</f>
        <v>0</v>
      </c>
      <c r="Q97" s="36">
        <f>_xll.DBRW($E$12,$F$16,$F$17,$F$18,$E97,$F$20,Q$22,$H97,$F$19)</f>
        <v>0</v>
      </c>
      <c r="R97" s="36">
        <f>_xll.DBRW($E$12,$F$16,$F$17,$F$18,$E97,$F$20,R$22,$H97,$F$19)</f>
        <v>0</v>
      </c>
      <c r="S97" s="36">
        <f>_xll.DBRW($E$12,$F$16,$F$17,$F$18,$E97,$F$20,S$22,$H97,$F$19)</f>
        <v>0</v>
      </c>
      <c r="T97" s="36">
        <f>_xll.DBRW($E$12,$F$16,$F$17,$F$18,$E97,$F$20,T$22,$H97,$F$19)</f>
        <v>0</v>
      </c>
      <c r="U97" s="36">
        <f>_xll.DBRW($E$12,$F$16,$F$17,$F$18,$E97,$F$20,U$22,$H97,$F$19)</f>
        <v>-1459.84</v>
      </c>
    </row>
    <row r="98" spans="4:21" s="37" customFormat="1" ht="15" outlineLevel="1" thickBot="1" x14ac:dyDescent="0.35">
      <c r="D98" s="33" t="str">
        <f>IF(_xll.TM1RPTELISCONSOLIDATED($H$34,$H98),IF(_xll.TM1RPTELLEV($H$34,$H98)&lt;=5,_xll.TM1RPTELLEV($H$34,$H98),"Default"),"Leaf")</f>
        <v>Leaf</v>
      </c>
      <c r="E98" s="42" t="s">
        <v>670</v>
      </c>
      <c r="F98" s="34" t="str">
        <f>_xll.DBR($B$18,$H98,"Account_Type")</f>
        <v>NON LABOR</v>
      </c>
      <c r="G98" s="34" t="str">
        <f>_xll.DBR($B$18,$H98,"Description")</f>
        <v>Environmental / Disposal Fees</v>
      </c>
      <c r="H98" s="43" t="s">
        <v>251</v>
      </c>
      <c r="I98" s="36">
        <f>_xll.DBRW($E$12,$F$16,$F$17,$F$18,$E98,$F$20,I$22,$H98,$F$19)</f>
        <v>160.5</v>
      </c>
      <c r="J98" s="36">
        <f>_xll.DBRW($E$12,$F$16,$F$17,$F$18,$E98,$F$20,J$22,$H98,$F$19)</f>
        <v>493.91</v>
      </c>
      <c r="K98" s="36">
        <f>_xll.DBRW($E$12,$F$16,$F$17,$F$18,$E98,$F$20,K$22,$H98,$F$19)</f>
        <v>1215.8699999999999</v>
      </c>
      <c r="L98" s="36">
        <f>_xll.DBRW($E$12,$F$16,$F$17,$F$18,$E98,$F$20,L$22,$H98,$F$19)</f>
        <v>487.11</v>
      </c>
      <c r="M98" s="36">
        <f>_xll.DBRW($E$12,$F$16,$F$17,$F$18,$E98,$F$20,M$22,$H98,$F$19)</f>
        <v>160.5</v>
      </c>
      <c r="N98" s="36">
        <f>_xll.DBRW($E$12,$F$16,$F$17,$F$18,$E98,$F$20,N$22,$H98,$F$19)</f>
        <v>493.66</v>
      </c>
      <c r="O98" s="36">
        <f>_xll.DBRW($E$12,$F$16,$F$17,$F$18,$E98,$F$20,O$22,$H98,$F$19)</f>
        <v>0</v>
      </c>
      <c r="P98" s="36">
        <f>_xll.DBRW($E$12,$F$16,$F$17,$F$18,$E98,$F$20,P$22,$H98,$F$19)</f>
        <v>0</v>
      </c>
      <c r="Q98" s="36">
        <f>_xll.DBRW($E$12,$F$16,$F$17,$F$18,$E98,$F$20,Q$22,$H98,$F$19)</f>
        <v>0</v>
      </c>
      <c r="R98" s="36">
        <f>_xll.DBRW($E$12,$F$16,$F$17,$F$18,$E98,$F$20,R$22,$H98,$F$19)</f>
        <v>0</v>
      </c>
      <c r="S98" s="36">
        <f>_xll.DBRW($E$12,$F$16,$F$17,$F$18,$E98,$F$20,S$22,$H98,$F$19)</f>
        <v>0</v>
      </c>
      <c r="T98" s="36">
        <f>_xll.DBRW($E$12,$F$16,$F$17,$F$18,$E98,$F$20,T$22,$H98,$F$19)</f>
        <v>0</v>
      </c>
      <c r="U98" s="36">
        <f>_xll.DBRW($E$12,$F$16,$F$17,$F$18,$E98,$F$20,U$22,$H98,$F$19)</f>
        <v>3011.5499999999997</v>
      </c>
    </row>
    <row r="99" spans="4:21" s="37" customFormat="1" ht="15" outlineLevel="1" thickBot="1" x14ac:dyDescent="0.35">
      <c r="D99" s="33" t="str">
        <f>IF(_xll.TM1RPTELISCONSOLIDATED($H$34,$H99),IF(_xll.TM1RPTELLEV($H$34,$H99)&lt;=5,_xll.TM1RPTELLEV($H$34,$H99),"Default"),"Leaf")</f>
        <v>Leaf</v>
      </c>
      <c r="E99" s="42" t="s">
        <v>670</v>
      </c>
      <c r="F99" s="34" t="str">
        <f>_xll.DBR($B$18,$H99,"Account_Type")</f>
        <v>NON LABOR</v>
      </c>
      <c r="G99" s="34" t="str">
        <f>_xll.DBR($B$18,$H99,"Description")</f>
        <v>Environmental / Disposal Fees</v>
      </c>
      <c r="H99" s="43" t="s">
        <v>252</v>
      </c>
      <c r="I99" s="36">
        <f>_xll.DBRW($E$12,$F$16,$F$17,$F$18,$E99,$F$20,I$22,$H99,$F$19)</f>
        <v>305.06</v>
      </c>
      <c r="J99" s="36">
        <f>_xll.DBRW($E$12,$F$16,$F$17,$F$18,$E99,$F$20,J$22,$H99,$F$19)</f>
        <v>327.26</v>
      </c>
      <c r="K99" s="36">
        <f>_xll.DBRW($E$12,$F$16,$F$17,$F$18,$E99,$F$20,K$22,$H99,$F$19)</f>
        <v>1195.94</v>
      </c>
      <c r="L99" s="36">
        <f>_xll.DBRW($E$12,$F$16,$F$17,$F$18,$E99,$F$20,L$22,$H99,$F$19)</f>
        <v>235.92</v>
      </c>
      <c r="M99" s="36">
        <f>_xll.DBRW($E$12,$F$16,$F$17,$F$18,$E99,$F$20,M$22,$H99,$F$19)</f>
        <v>566.38</v>
      </c>
      <c r="N99" s="36">
        <f>_xll.DBRW($E$12,$F$16,$F$17,$F$18,$E99,$F$20,N$22,$H99,$F$19)</f>
        <v>-99.12</v>
      </c>
      <c r="O99" s="36">
        <f>_xll.DBRW($E$12,$F$16,$F$17,$F$18,$E99,$F$20,O$22,$H99,$F$19)</f>
        <v>0</v>
      </c>
      <c r="P99" s="36">
        <f>_xll.DBRW($E$12,$F$16,$F$17,$F$18,$E99,$F$20,P$22,$H99,$F$19)</f>
        <v>0</v>
      </c>
      <c r="Q99" s="36">
        <f>_xll.DBRW($E$12,$F$16,$F$17,$F$18,$E99,$F$20,Q$22,$H99,$F$19)</f>
        <v>0</v>
      </c>
      <c r="R99" s="36">
        <f>_xll.DBRW($E$12,$F$16,$F$17,$F$18,$E99,$F$20,R$22,$H99,$F$19)</f>
        <v>0</v>
      </c>
      <c r="S99" s="36">
        <f>_xll.DBRW($E$12,$F$16,$F$17,$F$18,$E99,$F$20,S$22,$H99,$F$19)</f>
        <v>0</v>
      </c>
      <c r="T99" s="36">
        <f>_xll.DBRW($E$12,$F$16,$F$17,$F$18,$E99,$F$20,T$22,$H99,$F$19)</f>
        <v>0</v>
      </c>
      <c r="U99" s="36">
        <f>_xll.DBRW($E$12,$F$16,$F$17,$F$18,$E99,$F$20,U$22,$H99,$F$19)</f>
        <v>2531.44</v>
      </c>
    </row>
    <row r="100" spans="4:21" s="37" customFormat="1" ht="15" outlineLevel="1" thickBot="1" x14ac:dyDescent="0.35">
      <c r="D100" s="33" t="str">
        <f>IF(_xll.TM1RPTELISCONSOLIDATED($H$34,$H100),IF(_xll.TM1RPTELLEV($H$34,$H100)&lt;=5,_xll.TM1RPTELLEV($H$34,$H100),"Default"),"Leaf")</f>
        <v>Leaf</v>
      </c>
      <c r="E100" s="42" t="s">
        <v>670</v>
      </c>
      <c r="F100" s="34" t="str">
        <f>_xll.DBR($B$18,$H100,"Account_Type")</f>
        <v>NON LABOR</v>
      </c>
      <c r="G100" s="34" t="str">
        <f>_xll.DBR($B$18,$H100,"Description")</f>
        <v>Legal Fees</v>
      </c>
      <c r="H100" s="43" t="s">
        <v>257</v>
      </c>
      <c r="I100" s="36">
        <f>_xll.DBRW($E$12,$F$16,$F$17,$F$18,$E100,$F$20,I$22,$H100,$F$19)</f>
        <v>0</v>
      </c>
      <c r="J100" s="36">
        <f>_xll.DBRW($E$12,$F$16,$F$17,$F$18,$E100,$F$20,J$22,$H100,$F$19)</f>
        <v>0</v>
      </c>
      <c r="K100" s="36">
        <f>_xll.DBRW($E$12,$F$16,$F$17,$F$18,$E100,$F$20,K$22,$H100,$F$19)</f>
        <v>0</v>
      </c>
      <c r="L100" s="36">
        <f>_xll.DBRW($E$12,$F$16,$F$17,$F$18,$E100,$F$20,L$22,$H100,$F$19)</f>
        <v>31</v>
      </c>
      <c r="M100" s="36">
        <f>_xll.DBRW($E$12,$F$16,$F$17,$F$18,$E100,$F$20,M$22,$H100,$F$19)</f>
        <v>0</v>
      </c>
      <c r="N100" s="36">
        <f>_xll.DBRW($E$12,$F$16,$F$17,$F$18,$E100,$F$20,N$22,$H100,$F$19)</f>
        <v>27</v>
      </c>
      <c r="O100" s="36">
        <f>_xll.DBRW($E$12,$F$16,$F$17,$F$18,$E100,$F$20,O$22,$H100,$F$19)</f>
        <v>0</v>
      </c>
      <c r="P100" s="36">
        <f>_xll.DBRW($E$12,$F$16,$F$17,$F$18,$E100,$F$20,P$22,$H100,$F$19)</f>
        <v>0</v>
      </c>
      <c r="Q100" s="36">
        <f>_xll.DBRW($E$12,$F$16,$F$17,$F$18,$E100,$F$20,Q$22,$H100,$F$19)</f>
        <v>0</v>
      </c>
      <c r="R100" s="36">
        <f>_xll.DBRW($E$12,$F$16,$F$17,$F$18,$E100,$F$20,R$22,$H100,$F$19)</f>
        <v>0</v>
      </c>
      <c r="S100" s="36">
        <f>_xll.DBRW($E$12,$F$16,$F$17,$F$18,$E100,$F$20,S$22,$H100,$F$19)</f>
        <v>0</v>
      </c>
      <c r="T100" s="36">
        <f>_xll.DBRW($E$12,$F$16,$F$17,$F$18,$E100,$F$20,T$22,$H100,$F$19)</f>
        <v>0</v>
      </c>
      <c r="U100" s="36">
        <f>_xll.DBRW($E$12,$F$16,$F$17,$F$18,$E100,$F$20,U$22,$H100,$F$19)</f>
        <v>58</v>
      </c>
    </row>
    <row r="101" spans="4:21" s="37" customFormat="1" ht="15" outlineLevel="1" thickBot="1" x14ac:dyDescent="0.35">
      <c r="D101" s="33" t="str">
        <f>IF(_xll.TM1RPTELISCONSOLIDATED($H$34,$H101),IF(_xll.TM1RPTELLEV($H$34,$H101)&lt;=5,_xll.TM1RPTELLEV($H$34,$H101),"Default"),"Leaf")</f>
        <v>Leaf</v>
      </c>
      <c r="E101" s="42" t="s">
        <v>670</v>
      </c>
      <c r="F101" s="34" t="str">
        <f>_xll.DBR($B$18,$H101,"Account_Type")</f>
        <v>NON LABOR</v>
      </c>
      <c r="G101" s="34" t="str">
        <f>_xll.DBR($B$18,$H101,"Description")</f>
        <v>Fines &amp; Penalties</v>
      </c>
      <c r="H101" s="43" t="s">
        <v>260</v>
      </c>
      <c r="I101" s="36">
        <f>_xll.DBRW($E$12,$F$16,$F$17,$F$18,$E101,$F$20,I$22,$H101,$F$19)</f>
        <v>0</v>
      </c>
      <c r="J101" s="36">
        <f>_xll.DBRW($E$12,$F$16,$F$17,$F$18,$E101,$F$20,J$22,$H101,$F$19)</f>
        <v>350.97</v>
      </c>
      <c r="K101" s="36">
        <f>_xll.DBRW($E$12,$F$16,$F$17,$F$18,$E101,$F$20,K$22,$H101,$F$19)</f>
        <v>0</v>
      </c>
      <c r="L101" s="36">
        <f>_xll.DBRW($E$12,$F$16,$F$17,$F$18,$E101,$F$20,L$22,$H101,$F$19)</f>
        <v>4832.42</v>
      </c>
      <c r="M101" s="36">
        <f>_xll.DBRW($E$12,$F$16,$F$17,$F$18,$E101,$F$20,M$22,$H101,$F$19)</f>
        <v>228.5</v>
      </c>
      <c r="N101" s="36">
        <f>_xll.DBRW($E$12,$F$16,$F$17,$F$18,$E101,$F$20,N$22,$H101,$F$19)</f>
        <v>0</v>
      </c>
      <c r="O101" s="36">
        <f>_xll.DBRW($E$12,$F$16,$F$17,$F$18,$E101,$F$20,O$22,$H101,$F$19)</f>
        <v>0</v>
      </c>
      <c r="P101" s="36">
        <f>_xll.DBRW($E$12,$F$16,$F$17,$F$18,$E101,$F$20,P$22,$H101,$F$19)</f>
        <v>0</v>
      </c>
      <c r="Q101" s="36">
        <f>_xll.DBRW($E$12,$F$16,$F$17,$F$18,$E101,$F$20,Q$22,$H101,$F$19)</f>
        <v>0</v>
      </c>
      <c r="R101" s="36">
        <f>_xll.DBRW($E$12,$F$16,$F$17,$F$18,$E101,$F$20,R$22,$H101,$F$19)</f>
        <v>0</v>
      </c>
      <c r="S101" s="36">
        <f>_xll.DBRW($E$12,$F$16,$F$17,$F$18,$E101,$F$20,S$22,$H101,$F$19)</f>
        <v>0</v>
      </c>
      <c r="T101" s="36">
        <f>_xll.DBRW($E$12,$F$16,$F$17,$F$18,$E101,$F$20,T$22,$H101,$F$19)</f>
        <v>0</v>
      </c>
      <c r="U101" s="36">
        <f>_xll.DBRW($E$12,$F$16,$F$17,$F$18,$E101,$F$20,U$22,$H101,$F$19)</f>
        <v>5411.89</v>
      </c>
    </row>
    <row r="102" spans="4:21" s="37" customFormat="1" ht="15" outlineLevel="1" thickBot="1" x14ac:dyDescent="0.35">
      <c r="D102" s="33" t="str">
        <f>IF(_xll.TM1RPTELISCONSOLIDATED($H$34,$H102),IF(_xll.TM1RPTELLEV($H$34,$H102)&lt;=5,_xll.TM1RPTELLEV($H$34,$H102),"Default"),"Leaf")</f>
        <v>Leaf</v>
      </c>
      <c r="E102" s="42" t="s">
        <v>670</v>
      </c>
      <c r="F102" s="34" t="str">
        <f>_xll.DBR($B$18,$H102,"Account_Type")</f>
        <v>NON LABOR</v>
      </c>
      <c r="G102" s="34" t="str">
        <f>_xll.DBR($B$18,$H102,"Description")</f>
        <v>Fines &amp; Penalties</v>
      </c>
      <c r="H102" s="43" t="s">
        <v>261</v>
      </c>
      <c r="I102" s="36">
        <f>_xll.DBRW($E$12,$F$16,$F$17,$F$18,$E102,$F$20,I$22,$H102,$F$19)</f>
        <v>0</v>
      </c>
      <c r="J102" s="36">
        <f>_xll.DBRW($E$12,$F$16,$F$17,$F$18,$E102,$F$20,J$22,$H102,$F$19)</f>
        <v>0</v>
      </c>
      <c r="K102" s="36">
        <f>_xll.DBRW($E$12,$F$16,$F$17,$F$18,$E102,$F$20,K$22,$H102,$F$19)</f>
        <v>0</v>
      </c>
      <c r="L102" s="36">
        <f>_xll.DBRW($E$12,$F$16,$F$17,$F$18,$E102,$F$20,L$22,$H102,$F$19)</f>
        <v>0</v>
      </c>
      <c r="M102" s="36">
        <f>_xll.DBRW($E$12,$F$16,$F$17,$F$18,$E102,$F$20,M$22,$H102,$F$19)</f>
        <v>0</v>
      </c>
      <c r="N102" s="36">
        <f>_xll.DBRW($E$12,$F$16,$F$17,$F$18,$E102,$F$20,N$22,$H102,$F$19)</f>
        <v>15.72</v>
      </c>
      <c r="O102" s="36">
        <f>_xll.DBRW($E$12,$F$16,$F$17,$F$18,$E102,$F$20,O$22,$H102,$F$19)</f>
        <v>0</v>
      </c>
      <c r="P102" s="36">
        <f>_xll.DBRW($E$12,$F$16,$F$17,$F$18,$E102,$F$20,P$22,$H102,$F$19)</f>
        <v>0</v>
      </c>
      <c r="Q102" s="36">
        <f>_xll.DBRW($E$12,$F$16,$F$17,$F$18,$E102,$F$20,Q$22,$H102,$F$19)</f>
        <v>0</v>
      </c>
      <c r="R102" s="36">
        <f>_xll.DBRW($E$12,$F$16,$F$17,$F$18,$E102,$F$20,R$22,$H102,$F$19)</f>
        <v>0</v>
      </c>
      <c r="S102" s="36">
        <f>_xll.DBRW($E$12,$F$16,$F$17,$F$18,$E102,$F$20,S$22,$H102,$F$19)</f>
        <v>0</v>
      </c>
      <c r="T102" s="36">
        <f>_xll.DBRW($E$12,$F$16,$F$17,$F$18,$E102,$F$20,T$22,$H102,$F$19)</f>
        <v>0</v>
      </c>
      <c r="U102" s="36">
        <f>_xll.DBRW($E$12,$F$16,$F$17,$F$18,$E102,$F$20,U$22,$H102,$F$19)</f>
        <v>15.72</v>
      </c>
    </row>
    <row r="103" spans="4:21" s="37" customFormat="1" ht="15" outlineLevel="1" thickBot="1" x14ac:dyDescent="0.35">
      <c r="D103" s="33" t="str">
        <f>IF(_xll.TM1RPTELISCONSOLIDATED($H$34,$H103),IF(_xll.TM1RPTELLEV($H$34,$H103)&lt;=5,_xll.TM1RPTELLEV($H$34,$H103),"Default"),"Leaf")</f>
        <v>Leaf</v>
      </c>
      <c r="E103" s="42" t="s">
        <v>670</v>
      </c>
      <c r="F103" s="34" t="str">
        <f>_xll.DBR($B$18,$H103,"Account_Type")</f>
        <v>NON LABOR</v>
      </c>
      <c r="G103" s="34" t="str">
        <f>_xll.DBR($B$18,$H103,"Description")</f>
        <v>Drug Testing &amp; Physicals</v>
      </c>
      <c r="H103" s="43" t="s">
        <v>271</v>
      </c>
      <c r="I103" s="36">
        <f>_xll.DBRW($E$12,$F$16,$F$17,$F$18,$E103,$F$20,I$22,$H103,$F$19)</f>
        <v>838</v>
      </c>
      <c r="J103" s="36">
        <f>_xll.DBRW($E$12,$F$16,$F$17,$F$18,$E103,$F$20,J$22,$H103,$F$19)</f>
        <v>1845</v>
      </c>
      <c r="K103" s="36">
        <f>_xll.DBRW($E$12,$F$16,$F$17,$F$18,$E103,$F$20,K$22,$H103,$F$19)</f>
        <v>317.14</v>
      </c>
      <c r="L103" s="36">
        <f>_xll.DBRW($E$12,$F$16,$F$17,$F$18,$E103,$F$20,L$22,$H103,$F$19)</f>
        <v>2185</v>
      </c>
      <c r="M103" s="36">
        <f>_xll.DBRW($E$12,$F$16,$F$17,$F$18,$E103,$F$20,M$22,$H103,$F$19)</f>
        <v>7355.68</v>
      </c>
      <c r="N103" s="36">
        <f>_xll.DBRW($E$12,$F$16,$F$17,$F$18,$E103,$F$20,N$22,$H103,$F$19)</f>
        <v>-632.85</v>
      </c>
      <c r="O103" s="36">
        <f>_xll.DBRW($E$12,$F$16,$F$17,$F$18,$E103,$F$20,O$22,$H103,$F$19)</f>
        <v>-5340</v>
      </c>
      <c r="P103" s="36">
        <f>_xll.DBRW($E$12,$F$16,$F$17,$F$18,$E103,$F$20,P$22,$H103,$F$19)</f>
        <v>0</v>
      </c>
      <c r="Q103" s="36">
        <f>_xll.DBRW($E$12,$F$16,$F$17,$F$18,$E103,$F$20,Q$22,$H103,$F$19)</f>
        <v>0</v>
      </c>
      <c r="R103" s="36">
        <f>_xll.DBRW($E$12,$F$16,$F$17,$F$18,$E103,$F$20,R$22,$H103,$F$19)</f>
        <v>0</v>
      </c>
      <c r="S103" s="36">
        <f>_xll.DBRW($E$12,$F$16,$F$17,$F$18,$E103,$F$20,S$22,$H103,$F$19)</f>
        <v>0</v>
      </c>
      <c r="T103" s="36">
        <f>_xll.DBRW($E$12,$F$16,$F$17,$F$18,$E103,$F$20,T$22,$H103,$F$19)</f>
        <v>0</v>
      </c>
      <c r="U103" s="36">
        <f>_xll.DBRW($E$12,$F$16,$F$17,$F$18,$E103,$F$20,U$22,$H103,$F$19)</f>
        <v>6567.9699999999993</v>
      </c>
    </row>
    <row r="104" spans="4:21" s="37" customFormat="1" ht="15" outlineLevel="1" thickBot="1" x14ac:dyDescent="0.35">
      <c r="D104" s="33" t="str">
        <f>IF(_xll.TM1RPTELISCONSOLIDATED($H$34,$H104),IF(_xll.TM1RPTELLEV($H$34,$H104)&lt;=5,_xll.TM1RPTELLEV($H$34,$H104),"Default"),"Leaf")</f>
        <v>Leaf</v>
      </c>
      <c r="E104" s="42" t="s">
        <v>670</v>
      </c>
      <c r="F104" s="34" t="str">
        <f>_xll.DBR($B$18,$H104,"Account_Type")</f>
        <v>NON LABOR</v>
      </c>
      <c r="G104" s="34" t="str">
        <f>_xll.DBR($B$18,$H104,"Description")</f>
        <v>Drug Testing &amp; Physicals</v>
      </c>
      <c r="H104" s="43" t="s">
        <v>272</v>
      </c>
      <c r="I104" s="36">
        <f>_xll.DBRW($E$12,$F$16,$F$17,$F$18,$E104,$F$20,I$22,$H104,$F$19)</f>
        <v>0</v>
      </c>
      <c r="J104" s="36">
        <f>_xll.DBRW($E$12,$F$16,$F$17,$F$18,$E104,$F$20,J$22,$H104,$F$19)</f>
        <v>0</v>
      </c>
      <c r="K104" s="36">
        <f>_xll.DBRW($E$12,$F$16,$F$17,$F$18,$E104,$F$20,K$22,$H104,$F$19)</f>
        <v>0</v>
      </c>
      <c r="L104" s="36">
        <f>_xll.DBRW($E$12,$F$16,$F$17,$F$18,$E104,$F$20,L$22,$H104,$F$19)</f>
        <v>155.25</v>
      </c>
      <c r="M104" s="36">
        <f>_xll.DBRW($E$12,$F$16,$F$17,$F$18,$E104,$F$20,M$22,$H104,$F$19)</f>
        <v>0</v>
      </c>
      <c r="N104" s="36">
        <f>_xll.DBRW($E$12,$F$16,$F$17,$F$18,$E104,$F$20,N$22,$H104,$F$19)</f>
        <v>0</v>
      </c>
      <c r="O104" s="36">
        <f>_xll.DBRW($E$12,$F$16,$F$17,$F$18,$E104,$F$20,O$22,$H104,$F$19)</f>
        <v>0</v>
      </c>
      <c r="P104" s="36">
        <f>_xll.DBRW($E$12,$F$16,$F$17,$F$18,$E104,$F$20,P$22,$H104,$F$19)</f>
        <v>0</v>
      </c>
      <c r="Q104" s="36">
        <f>_xll.DBRW($E$12,$F$16,$F$17,$F$18,$E104,$F$20,Q$22,$H104,$F$19)</f>
        <v>0</v>
      </c>
      <c r="R104" s="36">
        <f>_xll.DBRW($E$12,$F$16,$F$17,$F$18,$E104,$F$20,R$22,$H104,$F$19)</f>
        <v>0</v>
      </c>
      <c r="S104" s="36">
        <f>_xll.DBRW($E$12,$F$16,$F$17,$F$18,$E104,$F$20,S$22,$H104,$F$19)</f>
        <v>0</v>
      </c>
      <c r="T104" s="36">
        <f>_xll.DBRW($E$12,$F$16,$F$17,$F$18,$E104,$F$20,T$22,$H104,$F$19)</f>
        <v>0</v>
      </c>
      <c r="U104" s="36">
        <f>_xll.DBRW($E$12,$F$16,$F$17,$F$18,$E104,$F$20,U$22,$H104,$F$19)</f>
        <v>155.25</v>
      </c>
    </row>
    <row r="105" spans="4:21" s="37" customFormat="1" ht="15" outlineLevel="1" thickBot="1" x14ac:dyDescent="0.35">
      <c r="D105" s="33" t="str">
        <f>IF(_xll.TM1RPTELISCONSOLIDATED($H$34,$H105),IF(_xll.TM1RPTELLEV($H$34,$H105)&lt;=5,_xll.TM1RPTELLEV($H$34,$H105),"Default"),"Leaf")</f>
        <v>Leaf</v>
      </c>
      <c r="E105" s="42" t="s">
        <v>670</v>
      </c>
      <c r="F105" s="34" t="str">
        <f>_xll.DBR($B$18,$H105,"Account_Type")</f>
        <v>NON LABOR</v>
      </c>
      <c r="G105" s="34" t="str">
        <f>_xll.DBR($B$18,$H105,"Description")</f>
        <v>Drug Testing &amp; Physicals</v>
      </c>
      <c r="H105" s="43" t="s">
        <v>273</v>
      </c>
      <c r="I105" s="36">
        <f>_xll.DBRW($E$12,$F$16,$F$17,$F$18,$E105,$F$20,I$22,$H105,$F$19)</f>
        <v>0</v>
      </c>
      <c r="J105" s="36">
        <f>_xll.DBRW($E$12,$F$16,$F$17,$F$18,$E105,$F$20,J$22,$H105,$F$19)</f>
        <v>0</v>
      </c>
      <c r="K105" s="36">
        <f>_xll.DBRW($E$12,$F$16,$F$17,$F$18,$E105,$F$20,K$22,$H105,$F$19)</f>
        <v>230</v>
      </c>
      <c r="L105" s="36">
        <f>_xll.DBRW($E$12,$F$16,$F$17,$F$18,$E105,$F$20,L$22,$H105,$F$19)</f>
        <v>420</v>
      </c>
      <c r="M105" s="36">
        <f>_xll.DBRW($E$12,$F$16,$F$17,$F$18,$E105,$F$20,M$22,$H105,$F$19)</f>
        <v>460</v>
      </c>
      <c r="N105" s="36">
        <f>_xll.DBRW($E$12,$F$16,$F$17,$F$18,$E105,$F$20,N$22,$H105,$F$19)</f>
        <v>593.53</v>
      </c>
      <c r="O105" s="36">
        <f>_xll.DBRW($E$12,$F$16,$F$17,$F$18,$E105,$F$20,O$22,$H105,$F$19)</f>
        <v>0</v>
      </c>
      <c r="P105" s="36">
        <f>_xll.DBRW($E$12,$F$16,$F$17,$F$18,$E105,$F$20,P$22,$H105,$F$19)</f>
        <v>0</v>
      </c>
      <c r="Q105" s="36">
        <f>_xll.DBRW($E$12,$F$16,$F$17,$F$18,$E105,$F$20,Q$22,$H105,$F$19)</f>
        <v>0</v>
      </c>
      <c r="R105" s="36">
        <f>_xll.DBRW($E$12,$F$16,$F$17,$F$18,$E105,$F$20,R$22,$H105,$F$19)</f>
        <v>0</v>
      </c>
      <c r="S105" s="36">
        <f>_xll.DBRW($E$12,$F$16,$F$17,$F$18,$E105,$F$20,S$22,$H105,$F$19)</f>
        <v>0</v>
      </c>
      <c r="T105" s="36">
        <f>_xll.DBRW($E$12,$F$16,$F$17,$F$18,$E105,$F$20,T$22,$H105,$F$19)</f>
        <v>0</v>
      </c>
      <c r="U105" s="36">
        <f>_xll.DBRW($E$12,$F$16,$F$17,$F$18,$E105,$F$20,U$22,$H105,$F$19)</f>
        <v>1703.53</v>
      </c>
    </row>
    <row r="106" spans="4:21" s="37" customFormat="1" ht="15" outlineLevel="1" thickBot="1" x14ac:dyDescent="0.35">
      <c r="D106" s="33" t="str">
        <f>IF(_xll.TM1RPTELISCONSOLIDATED($H$34,$H106),IF(_xll.TM1RPTELLEV($H$34,$H106)&lt;=5,_xll.TM1RPTELLEV($H$34,$H106),"Default"),"Leaf")</f>
        <v>Leaf</v>
      </c>
      <c r="E106" s="42" t="s">
        <v>670</v>
      </c>
      <c r="F106" s="34" t="str">
        <f>_xll.DBR($B$18,$H106,"Account_Type")</f>
        <v>NON LABOR</v>
      </c>
      <c r="G106" s="34" t="str">
        <f>_xll.DBR($B$18,$H106,"Description")</f>
        <v>Drug Testing &amp; Physicals</v>
      </c>
      <c r="H106" s="43" t="s">
        <v>274</v>
      </c>
      <c r="I106" s="36">
        <f>_xll.DBRW($E$12,$F$16,$F$17,$F$18,$E106,$F$20,I$22,$H106,$F$19)</f>
        <v>0</v>
      </c>
      <c r="J106" s="36">
        <f>_xll.DBRW($E$12,$F$16,$F$17,$F$18,$E106,$F$20,J$22,$H106,$F$19)</f>
        <v>0</v>
      </c>
      <c r="K106" s="36">
        <f>_xll.DBRW($E$12,$F$16,$F$17,$F$18,$E106,$F$20,K$22,$H106,$F$19)</f>
        <v>1065</v>
      </c>
      <c r="L106" s="36">
        <f>_xll.DBRW($E$12,$F$16,$F$17,$F$18,$E106,$F$20,L$22,$H106,$F$19)</f>
        <v>0</v>
      </c>
      <c r="M106" s="36">
        <f>_xll.DBRW($E$12,$F$16,$F$17,$F$18,$E106,$F$20,M$22,$H106,$F$19)</f>
        <v>0</v>
      </c>
      <c r="N106" s="36">
        <f>_xll.DBRW($E$12,$F$16,$F$17,$F$18,$E106,$F$20,N$22,$H106,$F$19)</f>
        <v>779.27</v>
      </c>
      <c r="O106" s="36">
        <f>_xll.DBRW($E$12,$F$16,$F$17,$F$18,$E106,$F$20,O$22,$H106,$F$19)</f>
        <v>-635</v>
      </c>
      <c r="P106" s="36">
        <f>_xll.DBRW($E$12,$F$16,$F$17,$F$18,$E106,$F$20,P$22,$H106,$F$19)</f>
        <v>0</v>
      </c>
      <c r="Q106" s="36">
        <f>_xll.DBRW($E$12,$F$16,$F$17,$F$18,$E106,$F$20,Q$22,$H106,$F$19)</f>
        <v>0</v>
      </c>
      <c r="R106" s="36">
        <f>_xll.DBRW($E$12,$F$16,$F$17,$F$18,$E106,$F$20,R$22,$H106,$F$19)</f>
        <v>0</v>
      </c>
      <c r="S106" s="36">
        <f>_xll.DBRW($E$12,$F$16,$F$17,$F$18,$E106,$F$20,S$22,$H106,$F$19)</f>
        <v>0</v>
      </c>
      <c r="T106" s="36">
        <f>_xll.DBRW($E$12,$F$16,$F$17,$F$18,$E106,$F$20,T$22,$H106,$F$19)</f>
        <v>0</v>
      </c>
      <c r="U106" s="36">
        <f>_xll.DBRW($E$12,$F$16,$F$17,$F$18,$E106,$F$20,U$22,$H106,$F$19)</f>
        <v>1209.27</v>
      </c>
    </row>
    <row r="107" spans="4:21" s="37" customFormat="1" ht="15" outlineLevel="1" thickBot="1" x14ac:dyDescent="0.35">
      <c r="D107" s="33" t="str">
        <f>IF(_xll.TM1RPTELISCONSOLIDATED($H$34,$H107),IF(_xll.TM1RPTELLEV($H$34,$H107)&lt;=5,_xll.TM1RPTELLEV($H$34,$H107),"Default"),"Leaf")</f>
        <v>Leaf</v>
      </c>
      <c r="E107" s="42" t="s">
        <v>670</v>
      </c>
      <c r="F107" s="34" t="str">
        <f>_xll.DBR($B$18,$H107,"Account_Type")</f>
        <v>NON LABOR</v>
      </c>
      <c r="G107" s="34" t="str">
        <f>_xll.DBR($B$18,$H107,"Description")</f>
        <v>Uniforms</v>
      </c>
      <c r="H107" s="43" t="s">
        <v>285</v>
      </c>
      <c r="I107" s="36">
        <f>_xll.DBRW($E$12,$F$16,$F$17,$F$18,$E107,$F$20,I$22,$H107,$F$19)</f>
        <v>4725.22</v>
      </c>
      <c r="J107" s="36">
        <f>_xll.DBRW($E$12,$F$16,$F$17,$F$18,$E107,$F$20,J$22,$H107,$F$19)</f>
        <v>2907.55</v>
      </c>
      <c r="K107" s="36">
        <f>_xll.DBRW($E$12,$F$16,$F$17,$F$18,$E107,$F$20,K$22,$H107,$F$19)</f>
        <v>4047.13</v>
      </c>
      <c r="L107" s="36">
        <f>_xll.DBRW($E$12,$F$16,$F$17,$F$18,$E107,$F$20,L$22,$H107,$F$19)</f>
        <v>3305.53</v>
      </c>
      <c r="M107" s="36">
        <f>_xll.DBRW($E$12,$F$16,$F$17,$F$18,$E107,$F$20,M$22,$H107,$F$19)</f>
        <v>1297.75</v>
      </c>
      <c r="N107" s="36">
        <f>_xll.DBRW($E$12,$F$16,$F$17,$F$18,$E107,$F$20,N$22,$H107,$F$19)</f>
        <v>6673.57</v>
      </c>
      <c r="O107" s="36">
        <f>_xll.DBRW($E$12,$F$16,$F$17,$F$18,$E107,$F$20,O$22,$H107,$F$19)</f>
        <v>-29011.599999999999</v>
      </c>
      <c r="P107" s="36">
        <f>_xll.DBRW($E$12,$F$16,$F$17,$F$18,$E107,$F$20,P$22,$H107,$F$19)</f>
        <v>0</v>
      </c>
      <c r="Q107" s="36">
        <f>_xll.DBRW($E$12,$F$16,$F$17,$F$18,$E107,$F$20,Q$22,$H107,$F$19)</f>
        <v>0</v>
      </c>
      <c r="R107" s="36">
        <f>_xll.DBRW($E$12,$F$16,$F$17,$F$18,$E107,$F$20,R$22,$H107,$F$19)</f>
        <v>0</v>
      </c>
      <c r="S107" s="36">
        <f>_xll.DBRW($E$12,$F$16,$F$17,$F$18,$E107,$F$20,S$22,$H107,$F$19)</f>
        <v>0</v>
      </c>
      <c r="T107" s="36">
        <f>_xll.DBRW($E$12,$F$16,$F$17,$F$18,$E107,$F$20,T$22,$H107,$F$19)</f>
        <v>0</v>
      </c>
      <c r="U107" s="36">
        <f>_xll.DBRW($E$12,$F$16,$F$17,$F$18,$E107,$F$20,U$22,$H107,$F$19)</f>
        <v>-6054.8499999999985</v>
      </c>
    </row>
    <row r="108" spans="4:21" s="37" customFormat="1" ht="15" outlineLevel="1" thickBot="1" x14ac:dyDescent="0.35">
      <c r="D108" s="33" t="str">
        <f>IF(_xll.TM1RPTELISCONSOLIDATED($H$34,$H108),IF(_xll.TM1RPTELLEV($H$34,$H108)&lt;=5,_xll.TM1RPTELLEV($H$34,$H108),"Default"),"Leaf")</f>
        <v>Leaf</v>
      </c>
      <c r="E108" s="42" t="s">
        <v>670</v>
      </c>
      <c r="F108" s="34" t="str">
        <f>_xll.DBR($B$18,$H108,"Account_Type")</f>
        <v>NON LABOR</v>
      </c>
      <c r="G108" s="34" t="str">
        <f>_xll.DBR($B$18,$H108,"Description")</f>
        <v>Uniforms</v>
      </c>
      <c r="H108" s="43" t="s">
        <v>286</v>
      </c>
      <c r="I108" s="36">
        <f>_xll.DBRW($E$12,$F$16,$F$17,$F$18,$E108,$F$20,I$22,$H108,$F$19)</f>
        <v>3602.77</v>
      </c>
      <c r="J108" s="36">
        <f>_xll.DBRW($E$12,$F$16,$F$17,$F$18,$E108,$F$20,J$22,$H108,$F$19)</f>
        <v>2590.21</v>
      </c>
      <c r="K108" s="36">
        <f>_xll.DBRW($E$12,$F$16,$F$17,$F$18,$E108,$F$20,K$22,$H108,$F$19)</f>
        <v>3803.02</v>
      </c>
      <c r="L108" s="36">
        <f>_xll.DBRW($E$12,$F$16,$F$17,$F$18,$E108,$F$20,L$22,$H108,$F$19)</f>
        <v>3425.57</v>
      </c>
      <c r="M108" s="36">
        <f>_xll.DBRW($E$12,$F$16,$F$17,$F$18,$E108,$F$20,M$22,$H108,$F$19)</f>
        <v>2974.31</v>
      </c>
      <c r="N108" s="36">
        <f>_xll.DBRW($E$12,$F$16,$F$17,$F$18,$E108,$F$20,N$22,$H108,$F$19)</f>
        <v>3226.64</v>
      </c>
      <c r="O108" s="36">
        <f>_xll.DBRW($E$12,$F$16,$F$17,$F$18,$E108,$F$20,O$22,$H108,$F$19)</f>
        <v>607.02</v>
      </c>
      <c r="P108" s="36">
        <f>_xll.DBRW($E$12,$F$16,$F$17,$F$18,$E108,$F$20,P$22,$H108,$F$19)</f>
        <v>0</v>
      </c>
      <c r="Q108" s="36">
        <f>_xll.DBRW($E$12,$F$16,$F$17,$F$18,$E108,$F$20,Q$22,$H108,$F$19)</f>
        <v>0</v>
      </c>
      <c r="R108" s="36">
        <f>_xll.DBRW($E$12,$F$16,$F$17,$F$18,$E108,$F$20,R$22,$H108,$F$19)</f>
        <v>0</v>
      </c>
      <c r="S108" s="36">
        <f>_xll.DBRW($E$12,$F$16,$F$17,$F$18,$E108,$F$20,S$22,$H108,$F$19)</f>
        <v>0</v>
      </c>
      <c r="T108" s="36">
        <f>_xll.DBRW($E$12,$F$16,$F$17,$F$18,$E108,$F$20,T$22,$H108,$F$19)</f>
        <v>0</v>
      </c>
      <c r="U108" s="36">
        <f>_xll.DBRW($E$12,$F$16,$F$17,$F$18,$E108,$F$20,U$22,$H108,$F$19)</f>
        <v>20229.54</v>
      </c>
    </row>
    <row r="109" spans="4:21" s="37" customFormat="1" ht="15" outlineLevel="1" thickBot="1" x14ac:dyDescent="0.35">
      <c r="D109" s="33" t="str">
        <f>IF(_xll.TM1RPTELISCONSOLIDATED($H$34,$H109),IF(_xll.TM1RPTELLEV($H$34,$H109)&lt;=5,_xll.TM1RPTELLEV($H$34,$H109),"Default"),"Leaf")</f>
        <v>Leaf</v>
      </c>
      <c r="E109" s="42" t="s">
        <v>670</v>
      </c>
      <c r="F109" s="34" t="str">
        <f>_xll.DBR($B$18,$H109,"Account_Type")</f>
        <v>NON LABOR</v>
      </c>
      <c r="G109" s="34" t="str">
        <f>_xll.DBR($B$18,$H109,"Description")</f>
        <v>Uniforms</v>
      </c>
      <c r="H109" s="43" t="s">
        <v>287</v>
      </c>
      <c r="I109" s="36">
        <f>_xll.DBRW($E$12,$F$16,$F$17,$F$18,$E109,$F$20,I$22,$H109,$F$19)</f>
        <v>0</v>
      </c>
      <c r="J109" s="36">
        <f>_xll.DBRW($E$12,$F$16,$F$17,$F$18,$E109,$F$20,J$22,$H109,$F$19)</f>
        <v>0</v>
      </c>
      <c r="K109" s="36">
        <f>_xll.DBRW($E$12,$F$16,$F$17,$F$18,$E109,$F$20,K$22,$H109,$F$19)</f>
        <v>0</v>
      </c>
      <c r="L109" s="36">
        <f>_xll.DBRW($E$12,$F$16,$F$17,$F$18,$E109,$F$20,L$22,$H109,$F$19)</f>
        <v>0</v>
      </c>
      <c r="M109" s="36">
        <f>_xll.DBRW($E$12,$F$16,$F$17,$F$18,$E109,$F$20,M$22,$H109,$F$19)</f>
        <v>0</v>
      </c>
      <c r="N109" s="36">
        <f>_xll.DBRW($E$12,$F$16,$F$17,$F$18,$E109,$F$20,N$22,$H109,$F$19)</f>
        <v>63.98</v>
      </c>
      <c r="O109" s="36">
        <f>_xll.DBRW($E$12,$F$16,$F$17,$F$18,$E109,$F$20,O$22,$H109,$F$19)</f>
        <v>0</v>
      </c>
      <c r="P109" s="36">
        <f>_xll.DBRW($E$12,$F$16,$F$17,$F$18,$E109,$F$20,P$22,$H109,$F$19)</f>
        <v>0</v>
      </c>
      <c r="Q109" s="36">
        <f>_xll.DBRW($E$12,$F$16,$F$17,$F$18,$E109,$F$20,Q$22,$H109,$F$19)</f>
        <v>0</v>
      </c>
      <c r="R109" s="36">
        <f>_xll.DBRW($E$12,$F$16,$F$17,$F$18,$E109,$F$20,R$22,$H109,$F$19)</f>
        <v>0</v>
      </c>
      <c r="S109" s="36">
        <f>_xll.DBRW($E$12,$F$16,$F$17,$F$18,$E109,$F$20,S$22,$H109,$F$19)</f>
        <v>0</v>
      </c>
      <c r="T109" s="36">
        <f>_xll.DBRW($E$12,$F$16,$F$17,$F$18,$E109,$F$20,T$22,$H109,$F$19)</f>
        <v>0</v>
      </c>
      <c r="U109" s="36">
        <f>_xll.DBRW($E$12,$F$16,$F$17,$F$18,$E109,$F$20,U$22,$H109,$F$19)</f>
        <v>63.98</v>
      </c>
    </row>
    <row r="110" spans="4:21" s="37" customFormat="1" ht="15" outlineLevel="1" thickBot="1" x14ac:dyDescent="0.35">
      <c r="D110" s="33" t="str">
        <f>IF(_xll.TM1RPTELISCONSOLIDATED($H$34,$H110),IF(_xll.TM1RPTELLEV($H$34,$H110)&lt;=5,_xll.TM1RPTELLEV($H$34,$H110),"Default"),"Leaf")</f>
        <v>Leaf</v>
      </c>
      <c r="E110" s="42" t="s">
        <v>670</v>
      </c>
      <c r="F110" s="34" t="str">
        <f>_xll.DBR($B$18,$H110,"Account_Type")</f>
        <v>NON LABOR</v>
      </c>
      <c r="G110" s="34" t="str">
        <f>_xll.DBR($B$18,$H110,"Description")</f>
        <v>Safety</v>
      </c>
      <c r="H110" s="43" t="s">
        <v>292</v>
      </c>
      <c r="I110" s="36">
        <f>_xll.DBRW($E$12,$F$16,$F$17,$F$18,$E110,$F$20,I$22,$H110,$F$19)</f>
        <v>294.98</v>
      </c>
      <c r="J110" s="36">
        <f>_xll.DBRW($E$12,$F$16,$F$17,$F$18,$E110,$F$20,J$22,$H110,$F$19)</f>
        <v>1479.05</v>
      </c>
      <c r="K110" s="36">
        <f>_xll.DBRW($E$12,$F$16,$F$17,$F$18,$E110,$F$20,K$22,$H110,$F$19)</f>
        <v>314.45</v>
      </c>
      <c r="L110" s="36">
        <f>_xll.DBRW($E$12,$F$16,$F$17,$F$18,$E110,$F$20,L$22,$H110,$F$19)</f>
        <v>80.48</v>
      </c>
      <c r="M110" s="36">
        <f>_xll.DBRW($E$12,$F$16,$F$17,$F$18,$E110,$F$20,M$22,$H110,$F$19)</f>
        <v>0</v>
      </c>
      <c r="N110" s="36">
        <f>_xll.DBRW($E$12,$F$16,$F$17,$F$18,$E110,$F$20,N$22,$H110,$F$19)</f>
        <v>547.57000000000005</v>
      </c>
      <c r="O110" s="36">
        <f>_xll.DBRW($E$12,$F$16,$F$17,$F$18,$E110,$F$20,O$22,$H110,$F$19)</f>
        <v>0</v>
      </c>
      <c r="P110" s="36">
        <f>_xll.DBRW($E$12,$F$16,$F$17,$F$18,$E110,$F$20,P$22,$H110,$F$19)</f>
        <v>0</v>
      </c>
      <c r="Q110" s="36">
        <f>_xll.DBRW($E$12,$F$16,$F$17,$F$18,$E110,$F$20,Q$22,$H110,$F$19)</f>
        <v>0</v>
      </c>
      <c r="R110" s="36">
        <f>_xll.DBRW($E$12,$F$16,$F$17,$F$18,$E110,$F$20,R$22,$H110,$F$19)</f>
        <v>0</v>
      </c>
      <c r="S110" s="36">
        <f>_xll.DBRW($E$12,$F$16,$F$17,$F$18,$E110,$F$20,S$22,$H110,$F$19)</f>
        <v>0</v>
      </c>
      <c r="T110" s="36">
        <f>_xll.DBRW($E$12,$F$16,$F$17,$F$18,$E110,$F$20,T$22,$H110,$F$19)</f>
        <v>0</v>
      </c>
      <c r="U110" s="36">
        <f>_xll.DBRW($E$12,$F$16,$F$17,$F$18,$E110,$F$20,U$22,$H110,$F$19)</f>
        <v>2716.53</v>
      </c>
    </row>
    <row r="111" spans="4:21" s="37" customFormat="1" ht="15" outlineLevel="1" thickBot="1" x14ac:dyDescent="0.35">
      <c r="D111" s="33" t="str">
        <f>IF(_xll.TM1RPTELISCONSOLIDATED($H$34,$H111),IF(_xll.TM1RPTELLEV($H$34,$H111)&lt;=5,_xll.TM1RPTELLEV($H$34,$H111),"Default"),"Leaf")</f>
        <v>Leaf</v>
      </c>
      <c r="E111" s="42" t="s">
        <v>670</v>
      </c>
      <c r="F111" s="34" t="str">
        <f>_xll.DBR($B$18,$H111,"Account_Type")</f>
        <v>NON LABOR</v>
      </c>
      <c r="G111" s="34" t="str">
        <f>_xll.DBR($B$18,$H111,"Description")</f>
        <v>Safety</v>
      </c>
      <c r="H111" s="43" t="s">
        <v>293</v>
      </c>
      <c r="I111" s="36">
        <f>_xll.DBRW($E$12,$F$16,$F$17,$F$18,$E111,$F$20,I$22,$H111,$F$19)</f>
        <v>1355.63</v>
      </c>
      <c r="J111" s="36">
        <f>_xll.DBRW($E$12,$F$16,$F$17,$F$18,$E111,$F$20,J$22,$H111,$F$19)</f>
        <v>4290.1499999999996</v>
      </c>
      <c r="K111" s="36">
        <f>_xll.DBRW($E$12,$F$16,$F$17,$F$18,$E111,$F$20,K$22,$H111,$F$19)</f>
        <v>490.05</v>
      </c>
      <c r="L111" s="36">
        <f>_xll.DBRW($E$12,$F$16,$F$17,$F$18,$E111,$F$20,L$22,$H111,$F$19)</f>
        <v>2441.88</v>
      </c>
      <c r="M111" s="36">
        <f>_xll.DBRW($E$12,$F$16,$F$17,$F$18,$E111,$F$20,M$22,$H111,$F$19)</f>
        <v>3723.54</v>
      </c>
      <c r="N111" s="36">
        <f>_xll.DBRW($E$12,$F$16,$F$17,$F$18,$E111,$F$20,N$22,$H111,$F$19)</f>
        <v>2296.1799999999998</v>
      </c>
      <c r="O111" s="36">
        <f>_xll.DBRW($E$12,$F$16,$F$17,$F$18,$E111,$F$20,O$22,$H111,$F$19)</f>
        <v>0</v>
      </c>
      <c r="P111" s="36">
        <f>_xll.DBRW($E$12,$F$16,$F$17,$F$18,$E111,$F$20,P$22,$H111,$F$19)</f>
        <v>0</v>
      </c>
      <c r="Q111" s="36">
        <f>_xll.DBRW($E$12,$F$16,$F$17,$F$18,$E111,$F$20,Q$22,$H111,$F$19)</f>
        <v>0</v>
      </c>
      <c r="R111" s="36">
        <f>_xll.DBRW($E$12,$F$16,$F$17,$F$18,$E111,$F$20,R$22,$H111,$F$19)</f>
        <v>0</v>
      </c>
      <c r="S111" s="36">
        <f>_xll.DBRW($E$12,$F$16,$F$17,$F$18,$E111,$F$20,S$22,$H111,$F$19)</f>
        <v>0</v>
      </c>
      <c r="T111" s="36">
        <f>_xll.DBRW($E$12,$F$16,$F$17,$F$18,$E111,$F$20,T$22,$H111,$F$19)</f>
        <v>0</v>
      </c>
      <c r="U111" s="36">
        <f>_xll.DBRW($E$12,$F$16,$F$17,$F$18,$E111,$F$20,U$22,$H111,$F$19)</f>
        <v>14597.43</v>
      </c>
    </row>
    <row r="112" spans="4:21" s="37" customFormat="1" ht="15" outlineLevel="1" thickBot="1" x14ac:dyDescent="0.35">
      <c r="D112" s="33" t="str">
        <f>IF(_xll.TM1RPTELISCONSOLIDATED($H$34,$H112),IF(_xll.TM1RPTELLEV($H$34,$H112)&lt;=5,_xll.TM1RPTELLEV($H$34,$H112),"Default"),"Leaf")</f>
        <v>Leaf</v>
      </c>
      <c r="E112" s="42" t="s">
        <v>670</v>
      </c>
      <c r="F112" s="34" t="str">
        <f>_xll.DBR($B$18,$H112,"Account_Type")</f>
        <v>NON LABOR</v>
      </c>
      <c r="G112" s="34" t="str">
        <f>_xll.DBR($B$18,$H112,"Description")</f>
        <v>Safety</v>
      </c>
      <c r="H112" s="43" t="s">
        <v>294</v>
      </c>
      <c r="I112" s="36">
        <f>_xll.DBRW($E$12,$F$16,$F$17,$F$18,$E112,$F$20,I$22,$H112,$F$19)</f>
        <v>1183.0899999999999</v>
      </c>
      <c r="J112" s="36">
        <f>_xll.DBRW($E$12,$F$16,$F$17,$F$18,$E112,$F$20,J$22,$H112,$F$19)</f>
        <v>207.57</v>
      </c>
      <c r="K112" s="36">
        <f>_xll.DBRW($E$12,$F$16,$F$17,$F$18,$E112,$F$20,K$22,$H112,$F$19)</f>
        <v>59.45</v>
      </c>
      <c r="L112" s="36">
        <f>_xll.DBRW($E$12,$F$16,$F$17,$F$18,$E112,$F$20,L$22,$H112,$F$19)</f>
        <v>59.45</v>
      </c>
      <c r="M112" s="36">
        <f>_xll.DBRW($E$12,$F$16,$F$17,$F$18,$E112,$F$20,M$22,$H112,$F$19)</f>
        <v>1324.91</v>
      </c>
      <c r="N112" s="36">
        <f>_xll.DBRW($E$12,$F$16,$F$17,$F$18,$E112,$F$20,N$22,$H112,$F$19)</f>
        <v>252.95</v>
      </c>
      <c r="O112" s="36">
        <f>_xll.DBRW($E$12,$F$16,$F$17,$F$18,$E112,$F$20,O$22,$H112,$F$19)</f>
        <v>0</v>
      </c>
      <c r="P112" s="36">
        <f>_xll.DBRW($E$12,$F$16,$F$17,$F$18,$E112,$F$20,P$22,$H112,$F$19)</f>
        <v>0</v>
      </c>
      <c r="Q112" s="36">
        <f>_xll.DBRW($E$12,$F$16,$F$17,$F$18,$E112,$F$20,Q$22,$H112,$F$19)</f>
        <v>0</v>
      </c>
      <c r="R112" s="36">
        <f>_xll.DBRW($E$12,$F$16,$F$17,$F$18,$E112,$F$20,R$22,$H112,$F$19)</f>
        <v>0</v>
      </c>
      <c r="S112" s="36">
        <f>_xll.DBRW($E$12,$F$16,$F$17,$F$18,$E112,$F$20,S$22,$H112,$F$19)</f>
        <v>0</v>
      </c>
      <c r="T112" s="36">
        <f>_xll.DBRW($E$12,$F$16,$F$17,$F$18,$E112,$F$20,T$22,$H112,$F$19)</f>
        <v>0</v>
      </c>
      <c r="U112" s="36">
        <f>_xll.DBRW($E$12,$F$16,$F$17,$F$18,$E112,$F$20,U$22,$H112,$F$19)</f>
        <v>3087.42</v>
      </c>
    </row>
    <row r="113" spans="4:21" s="37" customFormat="1" ht="15" outlineLevel="1" thickBot="1" x14ac:dyDescent="0.35">
      <c r="D113" s="33" t="str">
        <f>IF(_xll.TM1RPTELISCONSOLIDATED($H$34,$H113),IF(_xll.TM1RPTELLEV($H$34,$H113)&lt;=5,_xll.TM1RPTELLEV($H$34,$H113),"Default"),"Leaf")</f>
        <v>Leaf</v>
      </c>
      <c r="E113" s="42" t="s">
        <v>670</v>
      </c>
      <c r="F113" s="34" t="str">
        <f>_xll.DBR($B$18,$H113,"Account_Type")</f>
        <v>NON LABOR</v>
      </c>
      <c r="G113" s="34" t="str">
        <f>_xll.DBR($B$18,$H113,"Description")</f>
        <v>Safety</v>
      </c>
      <c r="H113" s="43" t="s">
        <v>295</v>
      </c>
      <c r="I113" s="36">
        <f>_xll.DBRW($E$12,$F$16,$F$17,$F$18,$E113,$F$20,I$22,$H113,$F$19)</f>
        <v>0</v>
      </c>
      <c r="J113" s="36">
        <f>_xll.DBRW($E$12,$F$16,$F$17,$F$18,$E113,$F$20,J$22,$H113,$F$19)</f>
        <v>0</v>
      </c>
      <c r="K113" s="36">
        <f>_xll.DBRW($E$12,$F$16,$F$17,$F$18,$E113,$F$20,K$22,$H113,$F$19)</f>
        <v>0</v>
      </c>
      <c r="L113" s="36">
        <f>_xll.DBRW($E$12,$F$16,$F$17,$F$18,$E113,$F$20,L$22,$H113,$F$19)</f>
        <v>0</v>
      </c>
      <c r="M113" s="36">
        <f>_xll.DBRW($E$12,$F$16,$F$17,$F$18,$E113,$F$20,M$22,$H113,$F$19)</f>
        <v>3750</v>
      </c>
      <c r="N113" s="36">
        <f>_xll.DBRW($E$12,$F$16,$F$17,$F$18,$E113,$F$20,N$22,$H113,$F$19)</f>
        <v>0</v>
      </c>
      <c r="O113" s="36">
        <f>_xll.DBRW($E$12,$F$16,$F$17,$F$18,$E113,$F$20,O$22,$H113,$F$19)</f>
        <v>0</v>
      </c>
      <c r="P113" s="36">
        <f>_xll.DBRW($E$12,$F$16,$F$17,$F$18,$E113,$F$20,P$22,$H113,$F$19)</f>
        <v>0</v>
      </c>
      <c r="Q113" s="36">
        <f>_xll.DBRW($E$12,$F$16,$F$17,$F$18,$E113,$F$20,Q$22,$H113,$F$19)</f>
        <v>0</v>
      </c>
      <c r="R113" s="36">
        <f>_xll.DBRW($E$12,$F$16,$F$17,$F$18,$E113,$F$20,R$22,$H113,$F$19)</f>
        <v>0</v>
      </c>
      <c r="S113" s="36">
        <f>_xll.DBRW($E$12,$F$16,$F$17,$F$18,$E113,$F$20,S$22,$H113,$F$19)</f>
        <v>0</v>
      </c>
      <c r="T113" s="36">
        <f>_xll.DBRW($E$12,$F$16,$F$17,$F$18,$E113,$F$20,T$22,$H113,$F$19)</f>
        <v>0</v>
      </c>
      <c r="U113" s="36">
        <f>_xll.DBRW($E$12,$F$16,$F$17,$F$18,$E113,$F$20,U$22,$H113,$F$19)</f>
        <v>3750</v>
      </c>
    </row>
    <row r="114" spans="4:21" s="37" customFormat="1" ht="15" outlineLevel="1" thickBot="1" x14ac:dyDescent="0.35">
      <c r="D114" s="33" t="str">
        <f>IF(_xll.TM1RPTELISCONSOLIDATED($H$34,$H114),IF(_xll.TM1RPTELLEV($H$34,$H114)&lt;=5,_xll.TM1RPTELLEV($H$34,$H114),"Default"),"Leaf")</f>
        <v>Leaf</v>
      </c>
      <c r="E114" s="42" t="s">
        <v>670</v>
      </c>
      <c r="F114" s="34" t="str">
        <f>_xll.DBR($B$18,$H114,"Account_Type")</f>
        <v>NON LABOR</v>
      </c>
      <c r="G114" s="34" t="str">
        <f>_xll.DBR($B$18,$H114,"Description")</f>
        <v>Employee Morale &amp; Welfare</v>
      </c>
      <c r="H114" s="43" t="s">
        <v>301</v>
      </c>
      <c r="I114" s="36">
        <f>_xll.DBRW($E$12,$F$16,$F$17,$F$18,$E114,$F$20,I$22,$H114,$F$19)</f>
        <v>1707.29</v>
      </c>
      <c r="J114" s="36">
        <f>_xll.DBRW($E$12,$F$16,$F$17,$F$18,$E114,$F$20,J$22,$H114,$F$19)</f>
        <v>172</v>
      </c>
      <c r="K114" s="36">
        <f>_xll.DBRW($E$12,$F$16,$F$17,$F$18,$E114,$F$20,K$22,$H114,$F$19)</f>
        <v>26.98</v>
      </c>
      <c r="L114" s="36">
        <f>_xll.DBRW($E$12,$F$16,$F$17,$F$18,$E114,$F$20,L$22,$H114,$F$19)</f>
        <v>22.27</v>
      </c>
      <c r="M114" s="36">
        <f>_xll.DBRW($E$12,$F$16,$F$17,$F$18,$E114,$F$20,M$22,$H114,$F$19)</f>
        <v>123</v>
      </c>
      <c r="N114" s="36">
        <f>_xll.DBRW($E$12,$F$16,$F$17,$F$18,$E114,$F$20,N$22,$H114,$F$19)</f>
        <v>70.92</v>
      </c>
      <c r="O114" s="36">
        <f>_xll.DBRW($E$12,$F$16,$F$17,$F$18,$E114,$F$20,O$22,$H114,$F$19)</f>
        <v>0</v>
      </c>
      <c r="P114" s="36">
        <f>_xll.DBRW($E$12,$F$16,$F$17,$F$18,$E114,$F$20,P$22,$H114,$F$19)</f>
        <v>0</v>
      </c>
      <c r="Q114" s="36">
        <f>_xll.DBRW($E$12,$F$16,$F$17,$F$18,$E114,$F$20,Q$22,$H114,$F$19)</f>
        <v>0</v>
      </c>
      <c r="R114" s="36">
        <f>_xll.DBRW($E$12,$F$16,$F$17,$F$18,$E114,$F$20,R$22,$H114,$F$19)</f>
        <v>0</v>
      </c>
      <c r="S114" s="36">
        <f>_xll.DBRW($E$12,$F$16,$F$17,$F$18,$E114,$F$20,S$22,$H114,$F$19)</f>
        <v>0</v>
      </c>
      <c r="T114" s="36">
        <f>_xll.DBRW($E$12,$F$16,$F$17,$F$18,$E114,$F$20,T$22,$H114,$F$19)</f>
        <v>0</v>
      </c>
      <c r="U114" s="36">
        <f>_xll.DBRW($E$12,$F$16,$F$17,$F$18,$E114,$F$20,U$22,$H114,$F$19)</f>
        <v>2122.46</v>
      </c>
    </row>
    <row r="115" spans="4:21" s="37" customFormat="1" ht="15" outlineLevel="1" thickBot="1" x14ac:dyDescent="0.35">
      <c r="D115" s="33" t="str">
        <f>IF(_xll.TM1RPTELISCONSOLIDATED($H$34,$H115),IF(_xll.TM1RPTELLEV($H$34,$H115)&lt;=5,_xll.TM1RPTELLEV($H$34,$H115),"Default"),"Leaf")</f>
        <v>Leaf</v>
      </c>
      <c r="E115" s="42" t="s">
        <v>670</v>
      </c>
      <c r="F115" s="34" t="str">
        <f>_xll.DBR($B$18,$H115,"Account_Type")</f>
        <v>NON LABOR</v>
      </c>
      <c r="G115" s="34" t="str">
        <f>_xll.DBR($B$18,$H115,"Description")</f>
        <v>Employee Morale &amp; Welfare</v>
      </c>
      <c r="H115" s="43" t="s">
        <v>302</v>
      </c>
      <c r="I115" s="36">
        <f>_xll.DBRW($E$12,$F$16,$F$17,$F$18,$E115,$F$20,I$22,$H115,$F$19)</f>
        <v>360.49</v>
      </c>
      <c r="J115" s="36">
        <f>_xll.DBRW($E$12,$F$16,$F$17,$F$18,$E115,$F$20,J$22,$H115,$F$19)</f>
        <v>0</v>
      </c>
      <c r="K115" s="36">
        <f>_xll.DBRW($E$12,$F$16,$F$17,$F$18,$E115,$F$20,K$22,$H115,$F$19)</f>
        <v>0</v>
      </c>
      <c r="L115" s="36">
        <f>_xll.DBRW($E$12,$F$16,$F$17,$F$18,$E115,$F$20,L$22,$H115,$F$19)</f>
        <v>0</v>
      </c>
      <c r="M115" s="36">
        <f>_xll.DBRW($E$12,$F$16,$F$17,$F$18,$E115,$F$20,M$22,$H115,$F$19)</f>
        <v>0</v>
      </c>
      <c r="N115" s="36">
        <f>_xll.DBRW($E$12,$F$16,$F$17,$F$18,$E115,$F$20,N$22,$H115,$F$19)</f>
        <v>0</v>
      </c>
      <c r="O115" s="36">
        <f>_xll.DBRW($E$12,$F$16,$F$17,$F$18,$E115,$F$20,O$22,$H115,$F$19)</f>
        <v>0</v>
      </c>
      <c r="P115" s="36">
        <f>_xll.DBRW($E$12,$F$16,$F$17,$F$18,$E115,$F$20,P$22,$H115,$F$19)</f>
        <v>0</v>
      </c>
      <c r="Q115" s="36">
        <f>_xll.DBRW($E$12,$F$16,$F$17,$F$18,$E115,$F$20,Q$22,$H115,$F$19)</f>
        <v>0</v>
      </c>
      <c r="R115" s="36">
        <f>_xll.DBRW($E$12,$F$16,$F$17,$F$18,$E115,$F$20,R$22,$H115,$F$19)</f>
        <v>0</v>
      </c>
      <c r="S115" s="36">
        <f>_xll.DBRW($E$12,$F$16,$F$17,$F$18,$E115,$F$20,S$22,$H115,$F$19)</f>
        <v>0</v>
      </c>
      <c r="T115" s="36">
        <f>_xll.DBRW($E$12,$F$16,$F$17,$F$18,$E115,$F$20,T$22,$H115,$F$19)</f>
        <v>0</v>
      </c>
      <c r="U115" s="36">
        <f>_xll.DBRW($E$12,$F$16,$F$17,$F$18,$E115,$F$20,U$22,$H115,$F$19)</f>
        <v>360.49</v>
      </c>
    </row>
    <row r="116" spans="4:21" s="37" customFormat="1" ht="15" outlineLevel="1" thickBot="1" x14ac:dyDescent="0.35">
      <c r="D116" s="33" t="str">
        <f>IF(_xll.TM1RPTELISCONSOLIDATED($H$34,$H116),IF(_xll.TM1RPTELLEV($H$34,$H116)&lt;=5,_xll.TM1RPTELLEV($H$34,$H116),"Default"),"Leaf")</f>
        <v>Leaf</v>
      </c>
      <c r="E116" s="42" t="s">
        <v>670</v>
      </c>
      <c r="F116" s="34" t="str">
        <f>_xll.DBR($B$18,$H116,"Account_Type")</f>
        <v>NON LABOR</v>
      </c>
      <c r="G116" s="34" t="str">
        <f>_xll.DBR($B$18,$H116,"Description")</f>
        <v>Employee Morale &amp; Welfare</v>
      </c>
      <c r="H116" s="43" t="s">
        <v>303</v>
      </c>
      <c r="I116" s="36">
        <f>_xll.DBRW($E$12,$F$16,$F$17,$F$18,$E116,$F$20,I$22,$H116,$F$19)</f>
        <v>0</v>
      </c>
      <c r="J116" s="36">
        <f>_xll.DBRW($E$12,$F$16,$F$17,$F$18,$E116,$F$20,J$22,$H116,$F$19)</f>
        <v>0</v>
      </c>
      <c r="K116" s="36">
        <f>_xll.DBRW($E$12,$F$16,$F$17,$F$18,$E116,$F$20,K$22,$H116,$F$19)</f>
        <v>0</v>
      </c>
      <c r="L116" s="36">
        <f>_xll.DBRW($E$12,$F$16,$F$17,$F$18,$E116,$F$20,L$22,$H116,$F$19)</f>
        <v>466.85</v>
      </c>
      <c r="M116" s="36">
        <f>_xll.DBRW($E$12,$F$16,$F$17,$F$18,$E116,$F$20,M$22,$H116,$F$19)</f>
        <v>170.3</v>
      </c>
      <c r="N116" s="36">
        <f>_xll.DBRW($E$12,$F$16,$F$17,$F$18,$E116,$F$20,N$22,$H116,$F$19)</f>
        <v>0</v>
      </c>
      <c r="O116" s="36">
        <f>_xll.DBRW($E$12,$F$16,$F$17,$F$18,$E116,$F$20,O$22,$H116,$F$19)</f>
        <v>0</v>
      </c>
      <c r="P116" s="36">
        <f>_xll.DBRW($E$12,$F$16,$F$17,$F$18,$E116,$F$20,P$22,$H116,$F$19)</f>
        <v>0</v>
      </c>
      <c r="Q116" s="36">
        <f>_xll.DBRW($E$12,$F$16,$F$17,$F$18,$E116,$F$20,Q$22,$H116,$F$19)</f>
        <v>0</v>
      </c>
      <c r="R116" s="36">
        <f>_xll.DBRW($E$12,$F$16,$F$17,$F$18,$E116,$F$20,R$22,$H116,$F$19)</f>
        <v>0</v>
      </c>
      <c r="S116" s="36">
        <f>_xll.DBRW($E$12,$F$16,$F$17,$F$18,$E116,$F$20,S$22,$H116,$F$19)</f>
        <v>0</v>
      </c>
      <c r="T116" s="36">
        <f>_xll.DBRW($E$12,$F$16,$F$17,$F$18,$E116,$F$20,T$22,$H116,$F$19)</f>
        <v>0</v>
      </c>
      <c r="U116" s="36">
        <f>_xll.DBRW($E$12,$F$16,$F$17,$F$18,$E116,$F$20,U$22,$H116,$F$19)</f>
        <v>637.15000000000009</v>
      </c>
    </row>
    <row r="117" spans="4:21" s="37" customFormat="1" ht="15" outlineLevel="1" thickBot="1" x14ac:dyDescent="0.35">
      <c r="D117" s="33" t="str">
        <f>IF(_xll.TM1RPTELISCONSOLIDATED($H$34,$H117),IF(_xll.TM1RPTELLEV($H$34,$H117)&lt;=5,_xll.TM1RPTELLEV($H$34,$H117),"Default"),"Leaf")</f>
        <v>Leaf</v>
      </c>
      <c r="E117" s="42" t="s">
        <v>670</v>
      </c>
      <c r="F117" s="34" t="str">
        <f>_xll.DBR($B$18,$H117,"Account_Type")</f>
        <v>NON LABOR</v>
      </c>
      <c r="G117" s="34" t="str">
        <f>_xll.DBR($B$18,$H117,"Description")</f>
        <v>Employee Morale &amp; Welfare</v>
      </c>
      <c r="H117" s="43" t="s">
        <v>304</v>
      </c>
      <c r="I117" s="36">
        <f>_xll.DBRW($E$12,$F$16,$F$17,$F$18,$E117,$F$20,I$22,$H117,$F$19)</f>
        <v>0</v>
      </c>
      <c r="J117" s="36">
        <f>_xll.DBRW($E$12,$F$16,$F$17,$F$18,$E117,$F$20,J$22,$H117,$F$19)</f>
        <v>227.9</v>
      </c>
      <c r="K117" s="36">
        <f>_xll.DBRW($E$12,$F$16,$F$17,$F$18,$E117,$F$20,K$22,$H117,$F$19)</f>
        <v>0</v>
      </c>
      <c r="L117" s="36">
        <f>_xll.DBRW($E$12,$F$16,$F$17,$F$18,$E117,$F$20,L$22,$H117,$F$19)</f>
        <v>0</v>
      </c>
      <c r="M117" s="36">
        <f>_xll.DBRW($E$12,$F$16,$F$17,$F$18,$E117,$F$20,M$22,$H117,$F$19)</f>
        <v>0</v>
      </c>
      <c r="N117" s="36">
        <f>_xll.DBRW($E$12,$F$16,$F$17,$F$18,$E117,$F$20,N$22,$H117,$F$19)</f>
        <v>0</v>
      </c>
      <c r="O117" s="36">
        <f>_xll.DBRW($E$12,$F$16,$F$17,$F$18,$E117,$F$20,O$22,$H117,$F$19)</f>
        <v>0</v>
      </c>
      <c r="P117" s="36">
        <f>_xll.DBRW($E$12,$F$16,$F$17,$F$18,$E117,$F$20,P$22,$H117,$F$19)</f>
        <v>0</v>
      </c>
      <c r="Q117" s="36">
        <f>_xll.DBRW($E$12,$F$16,$F$17,$F$18,$E117,$F$20,Q$22,$H117,$F$19)</f>
        <v>0</v>
      </c>
      <c r="R117" s="36">
        <f>_xll.DBRW($E$12,$F$16,$F$17,$F$18,$E117,$F$20,R$22,$H117,$F$19)</f>
        <v>0</v>
      </c>
      <c r="S117" s="36">
        <f>_xll.DBRW($E$12,$F$16,$F$17,$F$18,$E117,$F$20,S$22,$H117,$F$19)</f>
        <v>0</v>
      </c>
      <c r="T117" s="36">
        <f>_xll.DBRW($E$12,$F$16,$F$17,$F$18,$E117,$F$20,T$22,$H117,$F$19)</f>
        <v>0</v>
      </c>
      <c r="U117" s="36">
        <f>_xll.DBRW($E$12,$F$16,$F$17,$F$18,$E117,$F$20,U$22,$H117,$F$19)</f>
        <v>227.9</v>
      </c>
    </row>
    <row r="118" spans="4:21" s="37" customFormat="1" ht="15" outlineLevel="1" thickBot="1" x14ac:dyDescent="0.35">
      <c r="D118" s="33" t="str">
        <f>IF(_xll.TM1RPTELISCONSOLIDATED($H$34,$H118),IF(_xll.TM1RPTELLEV($H$34,$H118)&lt;=5,_xll.TM1RPTELLEV($H$34,$H118),"Default"),"Leaf")</f>
        <v>Leaf</v>
      </c>
      <c r="E118" s="42" t="s">
        <v>670</v>
      </c>
      <c r="F118" s="34" t="str">
        <f>_xll.DBR($B$18,$H118,"Account_Type")</f>
        <v>NON LABOR</v>
      </c>
      <c r="G118" s="34" t="str">
        <f>_xll.DBR($B$18,$H118,"Description")</f>
        <v>Small Tools</v>
      </c>
      <c r="H118" s="43" t="s">
        <v>312</v>
      </c>
      <c r="I118" s="36">
        <f>_xll.DBRW($E$12,$F$16,$F$17,$F$18,$E118,$F$20,I$22,$H118,$F$19)</f>
        <v>231.15</v>
      </c>
      <c r="J118" s="36">
        <f>_xll.DBRW($E$12,$F$16,$F$17,$F$18,$E118,$F$20,J$22,$H118,$F$19)</f>
        <v>0</v>
      </c>
      <c r="K118" s="36">
        <f>_xll.DBRW($E$12,$F$16,$F$17,$F$18,$E118,$F$20,K$22,$H118,$F$19)</f>
        <v>0</v>
      </c>
      <c r="L118" s="36">
        <f>_xll.DBRW($E$12,$F$16,$F$17,$F$18,$E118,$F$20,L$22,$H118,$F$19)</f>
        <v>81.17</v>
      </c>
      <c r="M118" s="36">
        <f>_xll.DBRW($E$12,$F$16,$F$17,$F$18,$E118,$F$20,M$22,$H118,$F$19)</f>
        <v>3847.37</v>
      </c>
      <c r="N118" s="36">
        <f>_xll.DBRW($E$12,$F$16,$F$17,$F$18,$E118,$F$20,N$22,$H118,$F$19)</f>
        <v>1176.42</v>
      </c>
      <c r="O118" s="36">
        <f>_xll.DBRW($E$12,$F$16,$F$17,$F$18,$E118,$F$20,O$22,$H118,$F$19)</f>
        <v>0</v>
      </c>
      <c r="P118" s="36">
        <f>_xll.DBRW($E$12,$F$16,$F$17,$F$18,$E118,$F$20,P$22,$H118,$F$19)</f>
        <v>0</v>
      </c>
      <c r="Q118" s="36">
        <f>_xll.DBRW($E$12,$F$16,$F$17,$F$18,$E118,$F$20,Q$22,$H118,$F$19)</f>
        <v>0</v>
      </c>
      <c r="R118" s="36">
        <f>_xll.DBRW($E$12,$F$16,$F$17,$F$18,$E118,$F$20,R$22,$H118,$F$19)</f>
        <v>0</v>
      </c>
      <c r="S118" s="36">
        <f>_xll.DBRW($E$12,$F$16,$F$17,$F$18,$E118,$F$20,S$22,$H118,$F$19)</f>
        <v>0</v>
      </c>
      <c r="T118" s="36">
        <f>_xll.DBRW($E$12,$F$16,$F$17,$F$18,$E118,$F$20,T$22,$H118,$F$19)</f>
        <v>0</v>
      </c>
      <c r="U118" s="36">
        <f>_xll.DBRW($E$12,$F$16,$F$17,$F$18,$E118,$F$20,U$22,$H118,$F$19)</f>
        <v>5336.11</v>
      </c>
    </row>
    <row r="119" spans="4:21" s="37" customFormat="1" ht="15" outlineLevel="1" thickBot="1" x14ac:dyDescent="0.35">
      <c r="D119" s="33" t="str">
        <f>IF(_xll.TM1RPTELISCONSOLIDATED($H$34,$H119),IF(_xll.TM1RPTELLEV($H$34,$H119)&lt;=5,_xll.TM1RPTELLEV($H$34,$H119),"Default"),"Leaf")</f>
        <v>Leaf</v>
      </c>
      <c r="E119" s="42" t="s">
        <v>670</v>
      </c>
      <c r="F119" s="34" t="str">
        <f>_xll.DBR($B$18,$H119,"Account_Type")</f>
        <v>NON LABOR</v>
      </c>
      <c r="G119" s="34" t="str">
        <f>_xll.DBR($B$18,$H119,"Description")</f>
        <v>Small Tools</v>
      </c>
      <c r="H119" s="43" t="s">
        <v>313</v>
      </c>
      <c r="I119" s="36">
        <f>_xll.DBRW($E$12,$F$16,$F$17,$F$18,$E119,$F$20,I$22,$H119,$F$19)</f>
        <v>0</v>
      </c>
      <c r="J119" s="36">
        <f>_xll.DBRW($E$12,$F$16,$F$17,$F$18,$E119,$F$20,J$22,$H119,$F$19)</f>
        <v>1113.01</v>
      </c>
      <c r="K119" s="36">
        <f>_xll.DBRW($E$12,$F$16,$F$17,$F$18,$E119,$F$20,K$22,$H119,$F$19)</f>
        <v>21.52</v>
      </c>
      <c r="L119" s="36">
        <f>_xll.DBRW($E$12,$F$16,$F$17,$F$18,$E119,$F$20,L$22,$H119,$F$19)</f>
        <v>232.13</v>
      </c>
      <c r="M119" s="36">
        <f>_xll.DBRW($E$12,$F$16,$F$17,$F$18,$E119,$F$20,M$22,$H119,$F$19)</f>
        <v>0</v>
      </c>
      <c r="N119" s="36">
        <f>_xll.DBRW($E$12,$F$16,$F$17,$F$18,$E119,$F$20,N$22,$H119,$F$19)</f>
        <v>1548.09</v>
      </c>
      <c r="O119" s="36">
        <f>_xll.DBRW($E$12,$F$16,$F$17,$F$18,$E119,$F$20,O$22,$H119,$F$19)</f>
        <v>-1291.78</v>
      </c>
      <c r="P119" s="36">
        <f>_xll.DBRW($E$12,$F$16,$F$17,$F$18,$E119,$F$20,P$22,$H119,$F$19)</f>
        <v>0</v>
      </c>
      <c r="Q119" s="36">
        <f>_xll.DBRW($E$12,$F$16,$F$17,$F$18,$E119,$F$20,Q$22,$H119,$F$19)</f>
        <v>0</v>
      </c>
      <c r="R119" s="36">
        <f>_xll.DBRW($E$12,$F$16,$F$17,$F$18,$E119,$F$20,R$22,$H119,$F$19)</f>
        <v>0</v>
      </c>
      <c r="S119" s="36">
        <f>_xll.DBRW($E$12,$F$16,$F$17,$F$18,$E119,$F$20,S$22,$H119,$F$19)</f>
        <v>0</v>
      </c>
      <c r="T119" s="36">
        <f>_xll.DBRW($E$12,$F$16,$F$17,$F$18,$E119,$F$20,T$22,$H119,$F$19)</f>
        <v>0</v>
      </c>
      <c r="U119" s="36">
        <f>_xll.DBRW($E$12,$F$16,$F$17,$F$18,$E119,$F$20,U$22,$H119,$F$19)</f>
        <v>1622.97</v>
      </c>
    </row>
    <row r="120" spans="4:21" s="37" customFormat="1" ht="15" outlineLevel="1" thickBot="1" x14ac:dyDescent="0.35">
      <c r="D120" s="33" t="str">
        <f>IF(_xll.TM1RPTELISCONSOLIDATED($H$34,$H120),IF(_xll.TM1RPTELLEV($H$34,$H120)&lt;=5,_xll.TM1RPTELLEV($H$34,$H120),"Default"),"Leaf")</f>
        <v>Leaf</v>
      </c>
      <c r="E120" s="42" t="s">
        <v>670</v>
      </c>
      <c r="F120" s="34" t="str">
        <f>_xll.DBR($B$18,$H120,"Account_Type")</f>
        <v>NON LABOR</v>
      </c>
      <c r="G120" s="34" t="str">
        <f>_xll.DBR($B$18,$H120,"Description")</f>
        <v>Small Tools</v>
      </c>
      <c r="H120" s="43" t="s">
        <v>314</v>
      </c>
      <c r="I120" s="36">
        <f>_xll.DBRW($E$12,$F$16,$F$17,$F$18,$E120,$F$20,I$22,$H120,$F$19)</f>
        <v>0</v>
      </c>
      <c r="J120" s="36">
        <f>_xll.DBRW($E$12,$F$16,$F$17,$F$18,$E120,$F$20,J$22,$H120,$F$19)</f>
        <v>0</v>
      </c>
      <c r="K120" s="36">
        <f>_xll.DBRW($E$12,$F$16,$F$17,$F$18,$E120,$F$20,K$22,$H120,$F$19)</f>
        <v>0</v>
      </c>
      <c r="L120" s="36">
        <f>_xll.DBRW($E$12,$F$16,$F$17,$F$18,$E120,$F$20,L$22,$H120,$F$19)</f>
        <v>0</v>
      </c>
      <c r="M120" s="36">
        <f>_xll.DBRW($E$12,$F$16,$F$17,$F$18,$E120,$F$20,M$22,$H120,$F$19)</f>
        <v>243.7</v>
      </c>
      <c r="N120" s="36">
        <f>_xll.DBRW($E$12,$F$16,$F$17,$F$18,$E120,$F$20,N$22,$H120,$F$19)</f>
        <v>299.99</v>
      </c>
      <c r="O120" s="36">
        <f>_xll.DBRW($E$12,$F$16,$F$17,$F$18,$E120,$F$20,O$22,$H120,$F$19)</f>
        <v>0</v>
      </c>
      <c r="P120" s="36">
        <f>_xll.DBRW($E$12,$F$16,$F$17,$F$18,$E120,$F$20,P$22,$H120,$F$19)</f>
        <v>0</v>
      </c>
      <c r="Q120" s="36">
        <f>_xll.DBRW($E$12,$F$16,$F$17,$F$18,$E120,$F$20,Q$22,$H120,$F$19)</f>
        <v>0</v>
      </c>
      <c r="R120" s="36">
        <f>_xll.DBRW($E$12,$F$16,$F$17,$F$18,$E120,$F$20,R$22,$H120,$F$19)</f>
        <v>0</v>
      </c>
      <c r="S120" s="36">
        <f>_xll.DBRW($E$12,$F$16,$F$17,$F$18,$E120,$F$20,S$22,$H120,$F$19)</f>
        <v>0</v>
      </c>
      <c r="T120" s="36">
        <f>_xll.DBRW($E$12,$F$16,$F$17,$F$18,$E120,$F$20,T$22,$H120,$F$19)</f>
        <v>0</v>
      </c>
      <c r="U120" s="36">
        <f>_xll.DBRW($E$12,$F$16,$F$17,$F$18,$E120,$F$20,U$22,$H120,$F$19)</f>
        <v>543.69000000000005</v>
      </c>
    </row>
    <row r="121" spans="4:21" s="37" customFormat="1" ht="15" outlineLevel="1" thickBot="1" x14ac:dyDescent="0.35">
      <c r="D121" s="33" t="str">
        <f>IF(_xll.TM1RPTELISCONSOLIDATED($H$34,$H121),IF(_xll.TM1RPTELLEV($H$34,$H121)&lt;=5,_xll.TM1RPTELLEV($H$34,$H121),"Default"),"Leaf")</f>
        <v>Leaf</v>
      </c>
      <c r="E121" s="42" t="s">
        <v>670</v>
      </c>
      <c r="F121" s="34" t="str">
        <f>_xll.DBR($B$18,$H121,"Account_Type")</f>
        <v>NON LABOR</v>
      </c>
      <c r="G121" s="34" t="str">
        <f>_xll.DBR($B$18,$H121,"Description")</f>
        <v>Small Tools</v>
      </c>
      <c r="H121" s="43" t="s">
        <v>315</v>
      </c>
      <c r="I121" s="36">
        <f>_xll.DBRW($E$12,$F$16,$F$17,$F$18,$E121,$F$20,I$22,$H121,$F$19)</f>
        <v>0</v>
      </c>
      <c r="J121" s="36">
        <f>_xll.DBRW($E$12,$F$16,$F$17,$F$18,$E121,$F$20,J$22,$H121,$F$19)</f>
        <v>0</v>
      </c>
      <c r="K121" s="36">
        <f>_xll.DBRW($E$12,$F$16,$F$17,$F$18,$E121,$F$20,K$22,$H121,$F$19)</f>
        <v>0</v>
      </c>
      <c r="L121" s="36">
        <f>_xll.DBRW($E$12,$F$16,$F$17,$F$18,$E121,$F$20,L$22,$H121,$F$19)</f>
        <v>191.7</v>
      </c>
      <c r="M121" s="36">
        <f>_xll.DBRW($E$12,$F$16,$F$17,$F$18,$E121,$F$20,M$22,$H121,$F$19)</f>
        <v>0</v>
      </c>
      <c r="N121" s="36">
        <f>_xll.DBRW($E$12,$F$16,$F$17,$F$18,$E121,$F$20,N$22,$H121,$F$19)</f>
        <v>5102.25</v>
      </c>
      <c r="O121" s="36">
        <f>_xll.DBRW($E$12,$F$16,$F$17,$F$18,$E121,$F$20,O$22,$H121,$F$19)</f>
        <v>0</v>
      </c>
      <c r="P121" s="36">
        <f>_xll.DBRW($E$12,$F$16,$F$17,$F$18,$E121,$F$20,P$22,$H121,$F$19)</f>
        <v>0</v>
      </c>
      <c r="Q121" s="36">
        <f>_xll.DBRW($E$12,$F$16,$F$17,$F$18,$E121,$F$20,Q$22,$H121,$F$19)</f>
        <v>0</v>
      </c>
      <c r="R121" s="36">
        <f>_xll.DBRW($E$12,$F$16,$F$17,$F$18,$E121,$F$20,R$22,$H121,$F$19)</f>
        <v>0</v>
      </c>
      <c r="S121" s="36">
        <f>_xll.DBRW($E$12,$F$16,$F$17,$F$18,$E121,$F$20,S$22,$H121,$F$19)</f>
        <v>0</v>
      </c>
      <c r="T121" s="36">
        <f>_xll.DBRW($E$12,$F$16,$F$17,$F$18,$E121,$F$20,T$22,$H121,$F$19)</f>
        <v>0</v>
      </c>
      <c r="U121" s="36">
        <f>_xll.DBRW($E$12,$F$16,$F$17,$F$18,$E121,$F$20,U$22,$H121,$F$19)</f>
        <v>5293.95</v>
      </c>
    </row>
    <row r="122" spans="4:21" s="37" customFormat="1" ht="15" outlineLevel="1" thickBot="1" x14ac:dyDescent="0.35">
      <c r="D122" s="33" t="str">
        <f>IF(_xll.TM1RPTELISCONSOLIDATED($H$34,$H122),IF(_xll.TM1RPTELLEV($H$34,$H122)&lt;=5,_xll.TM1RPTELLEV($H$34,$H122),"Default"),"Leaf")</f>
        <v>Leaf</v>
      </c>
      <c r="E122" s="42" t="s">
        <v>670</v>
      </c>
      <c r="F122" s="34" t="str">
        <f>_xll.DBR($B$18,$H122,"Account_Type")</f>
        <v>NON LABOR</v>
      </c>
      <c r="G122" s="34" t="str">
        <f>_xll.DBR($B$18,$H122,"Description")</f>
        <v>Consumable Purchases</v>
      </c>
      <c r="H122" s="43" t="s">
        <v>324</v>
      </c>
      <c r="I122" s="36">
        <f>_xll.DBRW($E$12,$F$16,$F$17,$F$18,$E122,$F$20,I$22,$H122,$F$19)</f>
        <v>2872.91</v>
      </c>
      <c r="J122" s="36">
        <f>_xll.DBRW($E$12,$F$16,$F$17,$F$18,$E122,$F$20,J$22,$H122,$F$19)</f>
        <v>3839.88</v>
      </c>
      <c r="K122" s="36">
        <f>_xll.DBRW($E$12,$F$16,$F$17,$F$18,$E122,$F$20,K$22,$H122,$F$19)</f>
        <v>3861.75</v>
      </c>
      <c r="L122" s="36">
        <f>_xll.DBRW($E$12,$F$16,$F$17,$F$18,$E122,$F$20,L$22,$H122,$F$19)</f>
        <v>7156.19</v>
      </c>
      <c r="M122" s="36">
        <f>_xll.DBRW($E$12,$F$16,$F$17,$F$18,$E122,$F$20,M$22,$H122,$F$19)</f>
        <v>1757.81</v>
      </c>
      <c r="N122" s="36">
        <f>_xll.DBRW($E$12,$F$16,$F$17,$F$18,$E122,$F$20,N$22,$H122,$F$19)</f>
        <v>4677.66</v>
      </c>
      <c r="O122" s="36">
        <f>_xll.DBRW($E$12,$F$16,$F$17,$F$18,$E122,$F$20,O$22,$H122,$F$19)</f>
        <v>-2823.01</v>
      </c>
      <c r="P122" s="36">
        <f>_xll.DBRW($E$12,$F$16,$F$17,$F$18,$E122,$F$20,P$22,$H122,$F$19)</f>
        <v>0</v>
      </c>
      <c r="Q122" s="36">
        <f>_xll.DBRW($E$12,$F$16,$F$17,$F$18,$E122,$F$20,Q$22,$H122,$F$19)</f>
        <v>0</v>
      </c>
      <c r="R122" s="36">
        <f>_xll.DBRW($E$12,$F$16,$F$17,$F$18,$E122,$F$20,R$22,$H122,$F$19)</f>
        <v>0</v>
      </c>
      <c r="S122" s="36">
        <f>_xll.DBRW($E$12,$F$16,$F$17,$F$18,$E122,$F$20,S$22,$H122,$F$19)</f>
        <v>0</v>
      </c>
      <c r="T122" s="36">
        <f>_xll.DBRW($E$12,$F$16,$F$17,$F$18,$E122,$F$20,T$22,$H122,$F$19)</f>
        <v>0</v>
      </c>
      <c r="U122" s="36">
        <f>_xll.DBRW($E$12,$F$16,$F$17,$F$18,$E122,$F$20,U$22,$H122,$F$19)</f>
        <v>21343.190000000002</v>
      </c>
    </row>
    <row r="123" spans="4:21" s="37" customFormat="1" ht="15" outlineLevel="1" thickBot="1" x14ac:dyDescent="0.35">
      <c r="D123" s="33" t="str">
        <f>IF(_xll.TM1RPTELISCONSOLIDATED($H$34,$H123),IF(_xll.TM1RPTELLEV($H$34,$H123)&lt;=5,_xll.TM1RPTELLEV($H$34,$H123),"Default"),"Leaf")</f>
        <v>Leaf</v>
      </c>
      <c r="E123" s="42" t="s">
        <v>670</v>
      </c>
      <c r="F123" s="34" t="str">
        <f>_xll.DBR($B$18,$H123,"Account_Type")</f>
        <v>NON LABOR</v>
      </c>
      <c r="G123" s="34" t="str">
        <f>_xll.DBR($B$18,$H123,"Description")</f>
        <v>Consumable Purchases</v>
      </c>
      <c r="H123" s="43" t="s">
        <v>325</v>
      </c>
      <c r="I123" s="36">
        <f>_xll.DBRW($E$12,$F$16,$F$17,$F$18,$E123,$F$20,I$22,$H123,$F$19)</f>
        <v>0</v>
      </c>
      <c r="J123" s="36">
        <f>_xll.DBRW($E$12,$F$16,$F$17,$F$18,$E123,$F$20,J$22,$H123,$F$19)</f>
        <v>0</v>
      </c>
      <c r="K123" s="36">
        <f>_xll.DBRW($E$12,$F$16,$F$17,$F$18,$E123,$F$20,K$22,$H123,$F$19)</f>
        <v>439.76</v>
      </c>
      <c r="L123" s="36">
        <f>_xll.DBRW($E$12,$F$16,$F$17,$F$18,$E123,$F$20,L$22,$H123,$F$19)</f>
        <v>0</v>
      </c>
      <c r="M123" s="36">
        <f>_xll.DBRW($E$12,$F$16,$F$17,$F$18,$E123,$F$20,M$22,$H123,$F$19)</f>
        <v>0</v>
      </c>
      <c r="N123" s="36">
        <f>_xll.DBRW($E$12,$F$16,$F$17,$F$18,$E123,$F$20,N$22,$H123,$F$19)</f>
        <v>0</v>
      </c>
      <c r="O123" s="36">
        <f>_xll.DBRW($E$12,$F$16,$F$17,$F$18,$E123,$F$20,O$22,$H123,$F$19)</f>
        <v>0</v>
      </c>
      <c r="P123" s="36">
        <f>_xll.DBRW($E$12,$F$16,$F$17,$F$18,$E123,$F$20,P$22,$H123,$F$19)</f>
        <v>0</v>
      </c>
      <c r="Q123" s="36">
        <f>_xll.DBRW($E$12,$F$16,$F$17,$F$18,$E123,$F$20,Q$22,$H123,$F$19)</f>
        <v>0</v>
      </c>
      <c r="R123" s="36">
        <f>_xll.DBRW($E$12,$F$16,$F$17,$F$18,$E123,$F$20,R$22,$H123,$F$19)</f>
        <v>0</v>
      </c>
      <c r="S123" s="36">
        <f>_xll.DBRW($E$12,$F$16,$F$17,$F$18,$E123,$F$20,S$22,$H123,$F$19)</f>
        <v>0</v>
      </c>
      <c r="T123" s="36">
        <f>_xll.DBRW($E$12,$F$16,$F$17,$F$18,$E123,$F$20,T$22,$H123,$F$19)</f>
        <v>0</v>
      </c>
      <c r="U123" s="36">
        <f>_xll.DBRW($E$12,$F$16,$F$17,$F$18,$E123,$F$20,U$22,$H123,$F$19)</f>
        <v>439.76</v>
      </c>
    </row>
    <row r="124" spans="4:21" s="37" customFormat="1" ht="15" outlineLevel="1" thickBot="1" x14ac:dyDescent="0.35">
      <c r="D124" s="33" t="str">
        <f>IF(_xll.TM1RPTELISCONSOLIDATED($H$34,$H124),IF(_xll.TM1RPTELLEV($H$34,$H124)&lt;=5,_xll.TM1RPTELLEV($H$34,$H124),"Default"),"Leaf")</f>
        <v>Leaf</v>
      </c>
      <c r="E124" s="42" t="s">
        <v>670</v>
      </c>
      <c r="F124" s="34" t="str">
        <f>_xll.DBR($B$18,$H124,"Account_Type")</f>
        <v>NON LABOR</v>
      </c>
      <c r="G124" s="34" t="str">
        <f>_xll.DBR($B$18,$H124,"Description")</f>
        <v>Consumable Purchases</v>
      </c>
      <c r="H124" s="43" t="s">
        <v>326</v>
      </c>
      <c r="I124" s="36">
        <f>_xll.DBRW($E$12,$F$16,$F$17,$F$18,$E124,$F$20,I$22,$H124,$F$19)</f>
        <v>443.68</v>
      </c>
      <c r="J124" s="36">
        <f>_xll.DBRW($E$12,$F$16,$F$17,$F$18,$E124,$F$20,J$22,$H124,$F$19)</f>
        <v>1893.58</v>
      </c>
      <c r="K124" s="36">
        <f>_xll.DBRW($E$12,$F$16,$F$17,$F$18,$E124,$F$20,K$22,$H124,$F$19)</f>
        <v>895.07</v>
      </c>
      <c r="L124" s="36">
        <f>_xll.DBRW($E$12,$F$16,$F$17,$F$18,$E124,$F$20,L$22,$H124,$F$19)</f>
        <v>3033.13</v>
      </c>
      <c r="M124" s="36">
        <f>_xll.DBRW($E$12,$F$16,$F$17,$F$18,$E124,$F$20,M$22,$H124,$F$19)</f>
        <v>794.17</v>
      </c>
      <c r="N124" s="36">
        <f>_xll.DBRW($E$12,$F$16,$F$17,$F$18,$E124,$F$20,N$22,$H124,$F$19)</f>
        <v>1491.71</v>
      </c>
      <c r="O124" s="36">
        <f>_xll.DBRW($E$12,$F$16,$F$17,$F$18,$E124,$F$20,O$22,$H124,$F$19)</f>
        <v>0</v>
      </c>
      <c r="P124" s="36">
        <f>_xll.DBRW($E$12,$F$16,$F$17,$F$18,$E124,$F$20,P$22,$H124,$F$19)</f>
        <v>0</v>
      </c>
      <c r="Q124" s="36">
        <f>_xll.DBRW($E$12,$F$16,$F$17,$F$18,$E124,$F$20,Q$22,$H124,$F$19)</f>
        <v>0</v>
      </c>
      <c r="R124" s="36">
        <f>_xll.DBRW($E$12,$F$16,$F$17,$F$18,$E124,$F$20,R$22,$H124,$F$19)</f>
        <v>0</v>
      </c>
      <c r="S124" s="36">
        <f>_xll.DBRW($E$12,$F$16,$F$17,$F$18,$E124,$F$20,S$22,$H124,$F$19)</f>
        <v>0</v>
      </c>
      <c r="T124" s="36">
        <f>_xll.DBRW($E$12,$F$16,$F$17,$F$18,$E124,$F$20,T$22,$H124,$F$19)</f>
        <v>0</v>
      </c>
      <c r="U124" s="36">
        <f>_xll.DBRW($E$12,$F$16,$F$17,$F$18,$E124,$F$20,U$22,$H124,$F$19)</f>
        <v>8551.34</v>
      </c>
    </row>
    <row r="125" spans="4:21" s="37" customFormat="1" ht="15" outlineLevel="1" thickBot="1" x14ac:dyDescent="0.35">
      <c r="D125" s="33" t="str">
        <f>IF(_xll.TM1RPTELISCONSOLIDATED($H$34,$H125),IF(_xll.TM1RPTELLEV($H$34,$H125)&lt;=5,_xll.TM1RPTELLEV($H$34,$H125),"Default"),"Leaf")</f>
        <v>Leaf</v>
      </c>
      <c r="E125" s="42" t="s">
        <v>670</v>
      </c>
      <c r="F125" s="34" t="str">
        <f>_xll.DBR($B$18,$H125,"Account_Type")</f>
        <v>NON LABOR</v>
      </c>
      <c r="G125" s="34" t="str">
        <f>_xll.DBR($B$18,$H125,"Description")</f>
        <v>Consumable Purchases</v>
      </c>
      <c r="H125" s="43" t="s">
        <v>327</v>
      </c>
      <c r="I125" s="36">
        <f>_xll.DBRW($E$12,$F$16,$F$17,$F$18,$E125,$F$20,I$22,$H125,$F$19)</f>
        <v>929.08</v>
      </c>
      <c r="J125" s="36">
        <f>_xll.DBRW($E$12,$F$16,$F$17,$F$18,$E125,$F$20,J$22,$H125,$F$19)</f>
        <v>1811.27</v>
      </c>
      <c r="K125" s="36">
        <f>_xll.DBRW($E$12,$F$16,$F$17,$F$18,$E125,$F$20,K$22,$H125,$F$19)</f>
        <v>1136.58</v>
      </c>
      <c r="L125" s="36">
        <f>_xll.DBRW($E$12,$F$16,$F$17,$F$18,$E125,$F$20,L$22,$H125,$F$19)</f>
        <v>2210.06</v>
      </c>
      <c r="M125" s="36">
        <f>_xll.DBRW($E$12,$F$16,$F$17,$F$18,$E125,$F$20,M$22,$H125,$F$19)</f>
        <v>9208.2999999999993</v>
      </c>
      <c r="N125" s="36">
        <f>_xll.DBRW($E$12,$F$16,$F$17,$F$18,$E125,$F$20,N$22,$H125,$F$19)</f>
        <v>1120.74</v>
      </c>
      <c r="O125" s="36">
        <f>_xll.DBRW($E$12,$F$16,$F$17,$F$18,$E125,$F$20,O$22,$H125,$F$19)</f>
        <v>-7400</v>
      </c>
      <c r="P125" s="36">
        <f>_xll.DBRW($E$12,$F$16,$F$17,$F$18,$E125,$F$20,P$22,$H125,$F$19)</f>
        <v>0</v>
      </c>
      <c r="Q125" s="36">
        <f>_xll.DBRW($E$12,$F$16,$F$17,$F$18,$E125,$F$20,Q$22,$H125,$F$19)</f>
        <v>0</v>
      </c>
      <c r="R125" s="36">
        <f>_xll.DBRW($E$12,$F$16,$F$17,$F$18,$E125,$F$20,R$22,$H125,$F$19)</f>
        <v>0</v>
      </c>
      <c r="S125" s="36">
        <f>_xll.DBRW($E$12,$F$16,$F$17,$F$18,$E125,$F$20,S$22,$H125,$F$19)</f>
        <v>0</v>
      </c>
      <c r="T125" s="36">
        <f>_xll.DBRW($E$12,$F$16,$F$17,$F$18,$E125,$F$20,T$22,$H125,$F$19)</f>
        <v>0</v>
      </c>
      <c r="U125" s="36">
        <f>_xll.DBRW($E$12,$F$16,$F$17,$F$18,$E125,$F$20,U$22,$H125,$F$19)</f>
        <v>9016.0299999999988</v>
      </c>
    </row>
    <row r="126" spans="4:21" s="37" customFormat="1" ht="15" outlineLevel="1" thickBot="1" x14ac:dyDescent="0.35">
      <c r="D126" s="33" t="str">
        <f>IF(_xll.TM1RPTELISCONSOLIDATED($H$34,$H126),IF(_xll.TM1RPTELLEV($H$34,$H126)&lt;=5,_xll.TM1RPTELLEV($H$34,$H126),"Default"),"Leaf")</f>
        <v>Leaf</v>
      </c>
      <c r="E126" s="42" t="s">
        <v>670</v>
      </c>
      <c r="F126" s="34" t="str">
        <f>_xll.DBR($B$18,$H126,"Account_Type")</f>
        <v>NON LABOR</v>
      </c>
      <c r="G126" s="34" t="str">
        <f>_xll.DBR($B$18,$H126,"Description")</f>
        <v>Rigging/Shackles/Slings</v>
      </c>
      <c r="H126" s="43" t="s">
        <v>333</v>
      </c>
      <c r="I126" s="36">
        <f>_xll.DBRW($E$12,$F$16,$F$17,$F$18,$E126,$F$20,I$22,$H126,$F$19)</f>
        <v>0</v>
      </c>
      <c r="J126" s="36">
        <f>_xll.DBRW($E$12,$F$16,$F$17,$F$18,$E126,$F$20,J$22,$H126,$F$19)</f>
        <v>806</v>
      </c>
      <c r="K126" s="36">
        <f>_xll.DBRW($E$12,$F$16,$F$17,$F$18,$E126,$F$20,K$22,$H126,$F$19)</f>
        <v>0</v>
      </c>
      <c r="L126" s="36">
        <f>_xll.DBRW($E$12,$F$16,$F$17,$F$18,$E126,$F$20,L$22,$H126,$F$19)</f>
        <v>3872</v>
      </c>
      <c r="M126" s="36">
        <f>_xll.DBRW($E$12,$F$16,$F$17,$F$18,$E126,$F$20,M$22,$H126,$F$19)</f>
        <v>261.37</v>
      </c>
      <c r="N126" s="36">
        <f>_xll.DBRW($E$12,$F$16,$F$17,$F$18,$E126,$F$20,N$22,$H126,$F$19)</f>
        <v>12.12</v>
      </c>
      <c r="O126" s="36">
        <f>_xll.DBRW($E$12,$F$16,$F$17,$F$18,$E126,$F$20,O$22,$H126,$F$19)</f>
        <v>0</v>
      </c>
      <c r="P126" s="36">
        <f>_xll.DBRW($E$12,$F$16,$F$17,$F$18,$E126,$F$20,P$22,$H126,$F$19)</f>
        <v>0</v>
      </c>
      <c r="Q126" s="36">
        <f>_xll.DBRW($E$12,$F$16,$F$17,$F$18,$E126,$F$20,Q$22,$H126,$F$19)</f>
        <v>0</v>
      </c>
      <c r="R126" s="36">
        <f>_xll.DBRW($E$12,$F$16,$F$17,$F$18,$E126,$F$20,R$22,$H126,$F$19)</f>
        <v>0</v>
      </c>
      <c r="S126" s="36">
        <f>_xll.DBRW($E$12,$F$16,$F$17,$F$18,$E126,$F$20,S$22,$H126,$F$19)</f>
        <v>0</v>
      </c>
      <c r="T126" s="36">
        <f>_xll.DBRW($E$12,$F$16,$F$17,$F$18,$E126,$F$20,T$22,$H126,$F$19)</f>
        <v>0</v>
      </c>
      <c r="U126" s="36">
        <f>_xll.DBRW($E$12,$F$16,$F$17,$F$18,$E126,$F$20,U$22,$H126,$F$19)</f>
        <v>4951.49</v>
      </c>
    </row>
    <row r="127" spans="4:21" s="37" customFormat="1" ht="15" outlineLevel="1" thickBot="1" x14ac:dyDescent="0.35">
      <c r="D127" s="33" t="str">
        <f>IF(_xll.TM1RPTELISCONSOLIDATED($H$34,$H127),IF(_xll.TM1RPTELLEV($H$34,$H127)&lt;=5,_xll.TM1RPTELLEV($H$34,$H127),"Default"),"Leaf")</f>
        <v>Leaf</v>
      </c>
      <c r="E127" s="42" t="s">
        <v>670</v>
      </c>
      <c r="F127" s="34" t="str">
        <f>_xll.DBR($B$18,$H127,"Account_Type")</f>
        <v>NON LABOR</v>
      </c>
      <c r="G127" s="34" t="str">
        <f>_xll.DBR($B$18,$H127,"Description")</f>
        <v>Rigging/Shackles/Slings</v>
      </c>
      <c r="H127" s="43" t="s">
        <v>334</v>
      </c>
      <c r="I127" s="36">
        <f>_xll.DBRW($E$12,$F$16,$F$17,$F$18,$E127,$F$20,I$22,$H127,$F$19)</f>
        <v>6240</v>
      </c>
      <c r="J127" s="36">
        <f>_xll.DBRW($E$12,$F$16,$F$17,$F$18,$E127,$F$20,J$22,$H127,$F$19)</f>
        <v>58.39</v>
      </c>
      <c r="K127" s="36">
        <f>_xll.DBRW($E$12,$F$16,$F$17,$F$18,$E127,$F$20,K$22,$H127,$F$19)</f>
        <v>5398.1</v>
      </c>
      <c r="L127" s="36">
        <f>_xll.DBRW($E$12,$F$16,$F$17,$F$18,$E127,$F$20,L$22,$H127,$F$19)</f>
        <v>285.57</v>
      </c>
      <c r="M127" s="36">
        <f>_xll.DBRW($E$12,$F$16,$F$17,$F$18,$E127,$F$20,M$22,$H127,$F$19)</f>
        <v>5763.57</v>
      </c>
      <c r="N127" s="36">
        <f>_xll.DBRW($E$12,$F$16,$F$17,$F$18,$E127,$F$20,N$22,$H127,$F$19)</f>
        <v>1466.01</v>
      </c>
      <c r="O127" s="36">
        <f>_xll.DBRW($E$12,$F$16,$F$17,$F$18,$E127,$F$20,O$22,$H127,$F$19)</f>
        <v>0</v>
      </c>
      <c r="P127" s="36">
        <f>_xll.DBRW($E$12,$F$16,$F$17,$F$18,$E127,$F$20,P$22,$H127,$F$19)</f>
        <v>0</v>
      </c>
      <c r="Q127" s="36">
        <f>_xll.DBRW($E$12,$F$16,$F$17,$F$18,$E127,$F$20,Q$22,$H127,$F$19)</f>
        <v>0</v>
      </c>
      <c r="R127" s="36">
        <f>_xll.DBRW($E$12,$F$16,$F$17,$F$18,$E127,$F$20,R$22,$H127,$F$19)</f>
        <v>0</v>
      </c>
      <c r="S127" s="36">
        <f>_xll.DBRW($E$12,$F$16,$F$17,$F$18,$E127,$F$20,S$22,$H127,$F$19)</f>
        <v>0</v>
      </c>
      <c r="T127" s="36">
        <f>_xll.DBRW($E$12,$F$16,$F$17,$F$18,$E127,$F$20,T$22,$H127,$F$19)</f>
        <v>0</v>
      </c>
      <c r="U127" s="36">
        <f>_xll.DBRW($E$12,$F$16,$F$17,$F$18,$E127,$F$20,U$22,$H127,$F$19)</f>
        <v>19211.64</v>
      </c>
    </row>
    <row r="128" spans="4:21" s="37" customFormat="1" ht="15" outlineLevel="1" thickBot="1" x14ac:dyDescent="0.35">
      <c r="D128" s="33" t="str">
        <f>IF(_xll.TM1RPTELISCONSOLIDATED($H$34,$H128),IF(_xll.TM1RPTELLEV($H$34,$H128)&lt;=5,_xll.TM1RPTELLEV($H$34,$H128),"Default"),"Leaf")</f>
        <v>Leaf</v>
      </c>
      <c r="E128" s="42" t="s">
        <v>670</v>
      </c>
      <c r="F128" s="34" t="str">
        <f>_xll.DBR($B$18,$H128,"Account_Type")</f>
        <v>NON LABOR</v>
      </c>
      <c r="G128" s="34" t="str">
        <f>_xll.DBR($B$18,$H128,"Description")</f>
        <v>Rigging/Shackles/Slings</v>
      </c>
      <c r="H128" s="43" t="s">
        <v>335</v>
      </c>
      <c r="I128" s="36">
        <f>_xll.DBRW($E$12,$F$16,$F$17,$F$18,$E128,$F$20,I$22,$H128,$F$19)</f>
        <v>0</v>
      </c>
      <c r="J128" s="36">
        <f>_xll.DBRW($E$12,$F$16,$F$17,$F$18,$E128,$F$20,J$22,$H128,$F$19)</f>
        <v>1963.24</v>
      </c>
      <c r="K128" s="36">
        <f>_xll.DBRW($E$12,$F$16,$F$17,$F$18,$E128,$F$20,K$22,$H128,$F$19)</f>
        <v>4137.96</v>
      </c>
      <c r="L128" s="36">
        <f>_xll.DBRW($E$12,$F$16,$F$17,$F$18,$E128,$F$20,L$22,$H128,$F$19)</f>
        <v>761.92</v>
      </c>
      <c r="M128" s="36">
        <f>_xll.DBRW($E$12,$F$16,$F$17,$F$18,$E128,$F$20,M$22,$H128,$F$19)</f>
        <v>18450.259999999998</v>
      </c>
      <c r="N128" s="36">
        <f>_xll.DBRW($E$12,$F$16,$F$17,$F$18,$E128,$F$20,N$22,$H128,$F$19)</f>
        <v>7140.08</v>
      </c>
      <c r="O128" s="36">
        <f>_xll.DBRW($E$12,$F$16,$F$17,$F$18,$E128,$F$20,O$22,$H128,$F$19)</f>
        <v>0</v>
      </c>
      <c r="P128" s="36">
        <f>_xll.DBRW($E$12,$F$16,$F$17,$F$18,$E128,$F$20,P$22,$H128,$F$19)</f>
        <v>0</v>
      </c>
      <c r="Q128" s="36">
        <f>_xll.DBRW($E$12,$F$16,$F$17,$F$18,$E128,$F$20,Q$22,$H128,$F$19)</f>
        <v>0</v>
      </c>
      <c r="R128" s="36">
        <f>_xll.DBRW($E$12,$F$16,$F$17,$F$18,$E128,$F$20,R$22,$H128,$F$19)</f>
        <v>0</v>
      </c>
      <c r="S128" s="36">
        <f>_xll.DBRW($E$12,$F$16,$F$17,$F$18,$E128,$F$20,S$22,$H128,$F$19)</f>
        <v>0</v>
      </c>
      <c r="T128" s="36">
        <f>_xll.DBRW($E$12,$F$16,$F$17,$F$18,$E128,$F$20,T$22,$H128,$F$19)</f>
        <v>0</v>
      </c>
      <c r="U128" s="36">
        <f>_xll.DBRW($E$12,$F$16,$F$17,$F$18,$E128,$F$20,U$22,$H128,$F$19)</f>
        <v>32453.46</v>
      </c>
    </row>
    <row r="129" spans="4:21" s="37" customFormat="1" ht="15" outlineLevel="1" thickBot="1" x14ac:dyDescent="0.35">
      <c r="D129" s="33" t="str">
        <f>IF(_xll.TM1RPTELISCONSOLIDATED($H$34,$H129),IF(_xll.TM1RPTELLEV($H$34,$H129)&lt;=5,_xll.TM1RPTELLEV($H$34,$H129),"Default"),"Leaf")</f>
        <v>Leaf</v>
      </c>
      <c r="E129" s="42" t="s">
        <v>670</v>
      </c>
      <c r="F129" s="34" t="str">
        <f>_xll.DBR($B$18,$H129,"Account_Type")</f>
        <v>NON LABOR</v>
      </c>
      <c r="G129" s="34" t="str">
        <f>_xll.DBR($B$18,$H129,"Description")</f>
        <v>Toolroom Consumables Applied</v>
      </c>
      <c r="H129" s="43" t="s">
        <v>340</v>
      </c>
      <c r="I129" s="36">
        <f>_xll.DBRW($E$12,$F$16,$F$17,$F$18,$E129,$F$20,I$22,$H129,$F$19)</f>
        <v>1006.21</v>
      </c>
      <c r="J129" s="36">
        <f>_xll.DBRW($E$12,$F$16,$F$17,$F$18,$E129,$F$20,J$22,$H129,$F$19)</f>
        <v>751.82</v>
      </c>
      <c r="K129" s="36">
        <f>_xll.DBRW($E$12,$F$16,$F$17,$F$18,$E129,$F$20,K$22,$H129,$F$19)</f>
        <v>0</v>
      </c>
      <c r="L129" s="36">
        <f>_xll.DBRW($E$12,$F$16,$F$17,$F$18,$E129,$F$20,L$22,$H129,$F$19)</f>
        <v>0</v>
      </c>
      <c r="M129" s="36">
        <f>_xll.DBRW($E$12,$F$16,$F$17,$F$18,$E129,$F$20,M$22,$H129,$F$19)</f>
        <v>391.19</v>
      </c>
      <c r="N129" s="36">
        <f>_xll.DBRW($E$12,$F$16,$F$17,$F$18,$E129,$F$20,N$22,$H129,$F$19)</f>
        <v>473.6</v>
      </c>
      <c r="O129" s="36">
        <f>_xll.DBRW($E$12,$F$16,$F$17,$F$18,$E129,$F$20,O$22,$H129,$F$19)</f>
        <v>0</v>
      </c>
      <c r="P129" s="36">
        <f>_xll.DBRW($E$12,$F$16,$F$17,$F$18,$E129,$F$20,P$22,$H129,$F$19)</f>
        <v>0</v>
      </c>
      <c r="Q129" s="36">
        <f>_xll.DBRW($E$12,$F$16,$F$17,$F$18,$E129,$F$20,Q$22,$H129,$F$19)</f>
        <v>0</v>
      </c>
      <c r="R129" s="36">
        <f>_xll.DBRW($E$12,$F$16,$F$17,$F$18,$E129,$F$20,R$22,$H129,$F$19)</f>
        <v>0</v>
      </c>
      <c r="S129" s="36">
        <f>_xll.DBRW($E$12,$F$16,$F$17,$F$18,$E129,$F$20,S$22,$H129,$F$19)</f>
        <v>0</v>
      </c>
      <c r="T129" s="36">
        <f>_xll.DBRW($E$12,$F$16,$F$17,$F$18,$E129,$F$20,T$22,$H129,$F$19)</f>
        <v>0</v>
      </c>
      <c r="U129" s="36">
        <f>_xll.DBRW($E$12,$F$16,$F$17,$F$18,$E129,$F$20,U$22,$H129,$F$19)</f>
        <v>2622.82</v>
      </c>
    </row>
    <row r="130" spans="4:21" s="37" customFormat="1" ht="15" outlineLevel="1" thickBot="1" x14ac:dyDescent="0.35">
      <c r="D130" s="33" t="str">
        <f>IF(_xll.TM1RPTELISCONSOLIDATED($H$34,$H130),IF(_xll.TM1RPTELLEV($H$34,$H130)&lt;=5,_xll.TM1RPTELLEV($H$34,$H130),"Default"),"Leaf")</f>
        <v>Leaf</v>
      </c>
      <c r="E130" s="42" t="s">
        <v>670</v>
      </c>
      <c r="F130" s="34" t="str">
        <f>_xll.DBR($B$18,$H130,"Account_Type")</f>
        <v>NON LABOR</v>
      </c>
      <c r="G130" s="34" t="str">
        <f>_xll.DBR($B$18,$H130,"Description")</f>
        <v>STC/Eqpt Maintenance &amp; Repair</v>
      </c>
      <c r="H130" s="43" t="s">
        <v>346</v>
      </c>
      <c r="I130" s="36">
        <f>_xll.DBRW($E$12,$F$16,$F$17,$F$18,$E130,$F$20,I$22,$H130,$F$19)</f>
        <v>3649.63</v>
      </c>
      <c r="J130" s="36">
        <f>_xll.DBRW($E$12,$F$16,$F$17,$F$18,$E130,$F$20,J$22,$H130,$F$19)</f>
        <v>844.57</v>
      </c>
      <c r="K130" s="36">
        <f>_xll.DBRW($E$12,$F$16,$F$17,$F$18,$E130,$F$20,K$22,$H130,$F$19)</f>
        <v>9941.4699999999993</v>
      </c>
      <c r="L130" s="36">
        <f>_xll.DBRW($E$12,$F$16,$F$17,$F$18,$E130,$F$20,L$22,$H130,$F$19)</f>
        <v>8177.33</v>
      </c>
      <c r="M130" s="36">
        <f>_xll.DBRW($E$12,$F$16,$F$17,$F$18,$E130,$F$20,M$22,$H130,$F$19)</f>
        <v>4375.76</v>
      </c>
      <c r="N130" s="36">
        <f>_xll.DBRW($E$12,$F$16,$F$17,$F$18,$E130,$F$20,N$22,$H130,$F$19)</f>
        <v>-284.33999999999997</v>
      </c>
      <c r="O130" s="36">
        <f>_xll.DBRW($E$12,$F$16,$F$17,$F$18,$E130,$F$20,O$22,$H130,$F$19)</f>
        <v>-350</v>
      </c>
      <c r="P130" s="36">
        <f>_xll.DBRW($E$12,$F$16,$F$17,$F$18,$E130,$F$20,P$22,$H130,$F$19)</f>
        <v>0</v>
      </c>
      <c r="Q130" s="36">
        <f>_xll.DBRW($E$12,$F$16,$F$17,$F$18,$E130,$F$20,Q$22,$H130,$F$19)</f>
        <v>0</v>
      </c>
      <c r="R130" s="36">
        <f>_xll.DBRW($E$12,$F$16,$F$17,$F$18,$E130,$F$20,R$22,$H130,$F$19)</f>
        <v>0</v>
      </c>
      <c r="S130" s="36">
        <f>_xll.DBRW($E$12,$F$16,$F$17,$F$18,$E130,$F$20,S$22,$H130,$F$19)</f>
        <v>0</v>
      </c>
      <c r="T130" s="36">
        <f>_xll.DBRW($E$12,$F$16,$F$17,$F$18,$E130,$F$20,T$22,$H130,$F$19)</f>
        <v>0</v>
      </c>
      <c r="U130" s="36">
        <f>_xll.DBRW($E$12,$F$16,$F$17,$F$18,$E130,$F$20,U$22,$H130,$F$19)</f>
        <v>26354.420000000002</v>
      </c>
    </row>
    <row r="131" spans="4:21" s="37" customFormat="1" ht="15" outlineLevel="1" thickBot="1" x14ac:dyDescent="0.35">
      <c r="D131" s="33" t="str">
        <f>IF(_xll.TM1RPTELISCONSOLIDATED($H$34,$H131),IF(_xll.TM1RPTELLEV($H$34,$H131)&lt;=5,_xll.TM1RPTELLEV($H$34,$H131),"Default"),"Leaf")</f>
        <v>Leaf</v>
      </c>
      <c r="E131" s="42" t="s">
        <v>670</v>
      </c>
      <c r="F131" s="34" t="str">
        <f>_xll.DBR($B$18,$H131,"Account_Type")</f>
        <v>NON LABOR</v>
      </c>
      <c r="G131" s="34" t="str">
        <f>_xll.DBR($B$18,$H131,"Description")</f>
        <v>STC/Eqpt Maintenance &amp; Repair</v>
      </c>
      <c r="H131" s="43" t="s">
        <v>347</v>
      </c>
      <c r="I131" s="36">
        <f>_xll.DBRW($E$12,$F$16,$F$17,$F$18,$E131,$F$20,I$22,$H131,$F$19)</f>
        <v>1038.6600000000001</v>
      </c>
      <c r="J131" s="36">
        <f>_xll.DBRW($E$12,$F$16,$F$17,$F$18,$E131,$F$20,J$22,$H131,$F$19)</f>
        <v>5258.59</v>
      </c>
      <c r="K131" s="36">
        <f>_xll.DBRW($E$12,$F$16,$F$17,$F$18,$E131,$F$20,K$22,$H131,$F$19)</f>
        <v>903.27</v>
      </c>
      <c r="L131" s="36">
        <f>_xll.DBRW($E$12,$F$16,$F$17,$F$18,$E131,$F$20,L$22,$H131,$F$19)</f>
        <v>0</v>
      </c>
      <c r="M131" s="36">
        <f>_xll.DBRW($E$12,$F$16,$F$17,$F$18,$E131,$F$20,M$22,$H131,$F$19)</f>
        <v>655.21</v>
      </c>
      <c r="N131" s="36">
        <f>_xll.DBRW($E$12,$F$16,$F$17,$F$18,$E131,$F$20,N$22,$H131,$F$19)</f>
        <v>461.58</v>
      </c>
      <c r="O131" s="36">
        <f>_xll.DBRW($E$12,$F$16,$F$17,$F$18,$E131,$F$20,O$22,$H131,$F$19)</f>
        <v>0</v>
      </c>
      <c r="P131" s="36">
        <f>_xll.DBRW($E$12,$F$16,$F$17,$F$18,$E131,$F$20,P$22,$H131,$F$19)</f>
        <v>0</v>
      </c>
      <c r="Q131" s="36">
        <f>_xll.DBRW($E$12,$F$16,$F$17,$F$18,$E131,$F$20,Q$22,$H131,$F$19)</f>
        <v>0</v>
      </c>
      <c r="R131" s="36">
        <f>_xll.DBRW($E$12,$F$16,$F$17,$F$18,$E131,$F$20,R$22,$H131,$F$19)</f>
        <v>0</v>
      </c>
      <c r="S131" s="36">
        <f>_xll.DBRW($E$12,$F$16,$F$17,$F$18,$E131,$F$20,S$22,$H131,$F$19)</f>
        <v>0</v>
      </c>
      <c r="T131" s="36">
        <f>_xll.DBRW($E$12,$F$16,$F$17,$F$18,$E131,$F$20,T$22,$H131,$F$19)</f>
        <v>0</v>
      </c>
      <c r="U131" s="36">
        <f>_xll.DBRW($E$12,$F$16,$F$17,$F$18,$E131,$F$20,U$22,$H131,$F$19)</f>
        <v>8317.3100000000013</v>
      </c>
    </row>
    <row r="132" spans="4:21" s="37" customFormat="1" ht="15" outlineLevel="1" thickBot="1" x14ac:dyDescent="0.35">
      <c r="D132" s="33" t="str">
        <f>IF(_xll.TM1RPTELISCONSOLIDATED($H$34,$H132),IF(_xll.TM1RPTELLEV($H$34,$H132)&lt;=5,_xll.TM1RPTELLEV($H$34,$H132),"Default"),"Leaf")</f>
        <v>Leaf</v>
      </c>
      <c r="E132" s="42" t="s">
        <v>670</v>
      </c>
      <c r="F132" s="34" t="str">
        <f>_xll.DBR($B$18,$H132,"Account_Type")</f>
        <v>NON LABOR</v>
      </c>
      <c r="G132" s="34" t="str">
        <f>_xll.DBR($B$18,$H132,"Description")</f>
        <v>STC/Eqpt Maintenance &amp; Repair</v>
      </c>
      <c r="H132" s="43" t="s">
        <v>348</v>
      </c>
      <c r="I132" s="36">
        <f>_xll.DBRW($E$12,$F$16,$F$17,$F$18,$E132,$F$20,I$22,$H132,$F$19)</f>
        <v>0</v>
      </c>
      <c r="J132" s="36">
        <f>_xll.DBRW($E$12,$F$16,$F$17,$F$18,$E132,$F$20,J$22,$H132,$F$19)</f>
        <v>137.02000000000001</v>
      </c>
      <c r="K132" s="36">
        <f>_xll.DBRW($E$12,$F$16,$F$17,$F$18,$E132,$F$20,K$22,$H132,$F$19)</f>
        <v>0</v>
      </c>
      <c r="L132" s="36">
        <f>_xll.DBRW($E$12,$F$16,$F$17,$F$18,$E132,$F$20,L$22,$H132,$F$19)</f>
        <v>91.34</v>
      </c>
      <c r="M132" s="36">
        <f>_xll.DBRW($E$12,$F$16,$F$17,$F$18,$E132,$F$20,M$22,$H132,$F$19)</f>
        <v>0</v>
      </c>
      <c r="N132" s="36">
        <f>_xll.DBRW($E$12,$F$16,$F$17,$F$18,$E132,$F$20,N$22,$H132,$F$19)</f>
        <v>0</v>
      </c>
      <c r="O132" s="36">
        <f>_xll.DBRW($E$12,$F$16,$F$17,$F$18,$E132,$F$20,O$22,$H132,$F$19)</f>
        <v>0</v>
      </c>
      <c r="P132" s="36">
        <f>_xll.DBRW($E$12,$F$16,$F$17,$F$18,$E132,$F$20,P$22,$H132,$F$19)</f>
        <v>0</v>
      </c>
      <c r="Q132" s="36">
        <f>_xll.DBRW($E$12,$F$16,$F$17,$F$18,$E132,$F$20,Q$22,$H132,$F$19)</f>
        <v>0</v>
      </c>
      <c r="R132" s="36">
        <f>_xll.DBRW($E$12,$F$16,$F$17,$F$18,$E132,$F$20,R$22,$H132,$F$19)</f>
        <v>0</v>
      </c>
      <c r="S132" s="36">
        <f>_xll.DBRW($E$12,$F$16,$F$17,$F$18,$E132,$F$20,S$22,$H132,$F$19)</f>
        <v>0</v>
      </c>
      <c r="T132" s="36">
        <f>_xll.DBRW($E$12,$F$16,$F$17,$F$18,$E132,$F$20,T$22,$H132,$F$19)</f>
        <v>0</v>
      </c>
      <c r="U132" s="36">
        <f>_xll.DBRW($E$12,$F$16,$F$17,$F$18,$E132,$F$20,U$22,$H132,$F$19)</f>
        <v>228.36</v>
      </c>
    </row>
    <row r="133" spans="4:21" s="37" customFormat="1" ht="15" outlineLevel="1" thickBot="1" x14ac:dyDescent="0.35">
      <c r="D133" s="33" t="str">
        <f>IF(_xll.TM1RPTELISCONSOLIDATED($H$34,$H133),IF(_xll.TM1RPTELLEV($H$34,$H133)&lt;=5,_xll.TM1RPTELLEV($H$34,$H133),"Default"),"Leaf")</f>
        <v>Leaf</v>
      </c>
      <c r="E133" s="42" t="s">
        <v>670</v>
      </c>
      <c r="F133" s="34" t="str">
        <f>_xll.DBR($B$18,$H133,"Account_Type")</f>
        <v>NON LABOR</v>
      </c>
      <c r="G133" s="34" t="str">
        <f>_xll.DBR($B$18,$H133,"Description")</f>
        <v>Employee Leased Vehicles</v>
      </c>
      <c r="H133" s="43" t="s">
        <v>360</v>
      </c>
      <c r="I133" s="36">
        <f>_xll.DBRW($E$12,$F$16,$F$17,$F$18,$E133,$F$20,I$22,$H133,$F$19)</f>
        <v>11134.38</v>
      </c>
      <c r="J133" s="36">
        <f>_xll.DBRW($E$12,$F$16,$F$17,$F$18,$E133,$F$20,J$22,$H133,$F$19)</f>
        <v>10584.37</v>
      </c>
      <c r="K133" s="36">
        <f>_xll.DBRW($E$12,$F$16,$F$17,$F$18,$E133,$F$20,K$22,$H133,$F$19)</f>
        <v>11528.57</v>
      </c>
      <c r="L133" s="36">
        <f>_xll.DBRW($E$12,$F$16,$F$17,$F$18,$E133,$F$20,L$22,$H133,$F$19)</f>
        <v>9584.3700000000008</v>
      </c>
      <c r="M133" s="36">
        <f>_xll.DBRW($E$12,$F$16,$F$17,$F$18,$E133,$F$20,M$22,$H133,$F$19)</f>
        <v>9650</v>
      </c>
      <c r="N133" s="36">
        <f>_xll.DBRW($E$12,$F$16,$F$17,$F$18,$E133,$F$20,N$22,$H133,$F$19)</f>
        <v>10650</v>
      </c>
      <c r="O133" s="36">
        <f>_xll.DBRW($E$12,$F$16,$F$17,$F$18,$E133,$F$20,O$22,$H133,$F$19)</f>
        <v>10137.09</v>
      </c>
      <c r="P133" s="36">
        <f>_xll.DBRW($E$12,$F$16,$F$17,$F$18,$E133,$F$20,P$22,$H133,$F$19)</f>
        <v>0</v>
      </c>
      <c r="Q133" s="36">
        <f>_xll.DBRW($E$12,$F$16,$F$17,$F$18,$E133,$F$20,Q$22,$H133,$F$19)</f>
        <v>0</v>
      </c>
      <c r="R133" s="36">
        <f>_xll.DBRW($E$12,$F$16,$F$17,$F$18,$E133,$F$20,R$22,$H133,$F$19)</f>
        <v>0</v>
      </c>
      <c r="S133" s="36">
        <f>_xll.DBRW($E$12,$F$16,$F$17,$F$18,$E133,$F$20,S$22,$H133,$F$19)</f>
        <v>0</v>
      </c>
      <c r="T133" s="36">
        <f>_xll.DBRW($E$12,$F$16,$F$17,$F$18,$E133,$F$20,T$22,$H133,$F$19)</f>
        <v>0</v>
      </c>
      <c r="U133" s="36">
        <f>_xll.DBRW($E$12,$F$16,$F$17,$F$18,$E133,$F$20,U$22,$H133,$F$19)</f>
        <v>73268.78</v>
      </c>
    </row>
    <row r="134" spans="4:21" s="37" customFormat="1" ht="15" outlineLevel="1" thickBot="1" x14ac:dyDescent="0.35">
      <c r="D134" s="33" t="str">
        <f>IF(_xll.TM1RPTELISCONSOLIDATED($H$34,$H134),IF(_xll.TM1RPTELLEV($H$34,$H134)&lt;=5,_xll.TM1RPTELLEV($H$34,$H134),"Default"),"Leaf")</f>
        <v>Leaf</v>
      </c>
      <c r="E134" s="42" t="s">
        <v>670</v>
      </c>
      <c r="F134" s="34" t="str">
        <f>_xll.DBR($B$18,$H134,"Account_Type")</f>
        <v>NON LABOR</v>
      </c>
      <c r="G134" s="34" t="str">
        <f>_xll.DBR($B$18,$H134,"Description")</f>
        <v>Employee Leased Vehicles</v>
      </c>
      <c r="H134" s="43" t="s">
        <v>361</v>
      </c>
      <c r="I134" s="36">
        <f>_xll.DBRW($E$12,$F$16,$F$17,$F$18,$E134,$F$20,I$22,$H134,$F$19)</f>
        <v>900</v>
      </c>
      <c r="J134" s="36">
        <f>_xll.DBRW($E$12,$F$16,$F$17,$F$18,$E134,$F$20,J$22,$H134,$F$19)</f>
        <v>0</v>
      </c>
      <c r="K134" s="36">
        <f>_xll.DBRW($E$12,$F$16,$F$17,$F$18,$E134,$F$20,K$22,$H134,$F$19)</f>
        <v>0</v>
      </c>
      <c r="L134" s="36">
        <f>_xll.DBRW($E$12,$F$16,$F$17,$F$18,$E134,$F$20,L$22,$H134,$F$19)</f>
        <v>0</v>
      </c>
      <c r="M134" s="36">
        <f>_xll.DBRW($E$12,$F$16,$F$17,$F$18,$E134,$F$20,M$22,$H134,$F$19)</f>
        <v>0</v>
      </c>
      <c r="N134" s="36">
        <f>_xll.DBRW($E$12,$F$16,$F$17,$F$18,$E134,$F$20,N$22,$H134,$F$19)</f>
        <v>0</v>
      </c>
      <c r="O134" s="36">
        <f>_xll.DBRW($E$12,$F$16,$F$17,$F$18,$E134,$F$20,O$22,$H134,$F$19)</f>
        <v>0</v>
      </c>
      <c r="P134" s="36">
        <f>_xll.DBRW($E$12,$F$16,$F$17,$F$18,$E134,$F$20,P$22,$H134,$F$19)</f>
        <v>0</v>
      </c>
      <c r="Q134" s="36">
        <f>_xll.DBRW($E$12,$F$16,$F$17,$F$18,$E134,$F$20,Q$22,$H134,$F$19)</f>
        <v>0</v>
      </c>
      <c r="R134" s="36">
        <f>_xll.DBRW($E$12,$F$16,$F$17,$F$18,$E134,$F$20,R$22,$H134,$F$19)</f>
        <v>0</v>
      </c>
      <c r="S134" s="36">
        <f>_xll.DBRW($E$12,$F$16,$F$17,$F$18,$E134,$F$20,S$22,$H134,$F$19)</f>
        <v>0</v>
      </c>
      <c r="T134" s="36">
        <f>_xll.DBRW($E$12,$F$16,$F$17,$F$18,$E134,$F$20,T$22,$H134,$F$19)</f>
        <v>0</v>
      </c>
      <c r="U134" s="36">
        <f>_xll.DBRW($E$12,$F$16,$F$17,$F$18,$E134,$F$20,U$22,$H134,$F$19)</f>
        <v>900</v>
      </c>
    </row>
    <row r="135" spans="4:21" s="37" customFormat="1" ht="15" outlineLevel="1" thickBot="1" x14ac:dyDescent="0.35">
      <c r="D135" s="33" t="str">
        <f>IF(_xll.TM1RPTELISCONSOLIDATED($H$34,$H135),IF(_xll.TM1RPTELLEV($H$34,$H135)&lt;=5,_xll.TM1RPTELLEV($H$34,$H135),"Default"),"Leaf")</f>
        <v>Leaf</v>
      </c>
      <c r="E135" s="42" t="s">
        <v>670</v>
      </c>
      <c r="F135" s="34" t="str">
        <f>_xll.DBR($B$18,$H135,"Account_Type")</f>
        <v>NON LABOR</v>
      </c>
      <c r="G135" s="34" t="str">
        <f>_xll.DBR($B$18,$H135,"Description")</f>
        <v>Employee Leased Vehicles</v>
      </c>
      <c r="H135" s="43" t="s">
        <v>362</v>
      </c>
      <c r="I135" s="36">
        <f>_xll.DBRW($E$12,$F$16,$F$17,$F$18,$E135,$F$20,I$22,$H135,$F$19)</f>
        <v>5900</v>
      </c>
      <c r="J135" s="36">
        <f>_xll.DBRW($E$12,$F$16,$F$17,$F$18,$E135,$F$20,J$22,$H135,$F$19)</f>
        <v>4750</v>
      </c>
      <c r="K135" s="36">
        <f>_xll.DBRW($E$12,$F$16,$F$17,$F$18,$E135,$F$20,K$22,$H135,$F$19)</f>
        <v>4750</v>
      </c>
      <c r="L135" s="36">
        <f>_xll.DBRW($E$12,$F$16,$F$17,$F$18,$E135,$F$20,L$22,$H135,$F$19)</f>
        <v>4750</v>
      </c>
      <c r="M135" s="36">
        <f>_xll.DBRW($E$12,$F$16,$F$17,$F$18,$E135,$F$20,M$22,$H135,$F$19)</f>
        <v>4750</v>
      </c>
      <c r="N135" s="36">
        <f>_xll.DBRW($E$12,$F$16,$F$17,$F$18,$E135,$F$20,N$22,$H135,$F$19)</f>
        <v>4750</v>
      </c>
      <c r="O135" s="36">
        <f>_xll.DBRW($E$12,$F$16,$F$17,$F$18,$E135,$F$20,O$22,$H135,$F$19)</f>
        <v>4750</v>
      </c>
      <c r="P135" s="36">
        <f>_xll.DBRW($E$12,$F$16,$F$17,$F$18,$E135,$F$20,P$22,$H135,$F$19)</f>
        <v>0</v>
      </c>
      <c r="Q135" s="36">
        <f>_xll.DBRW($E$12,$F$16,$F$17,$F$18,$E135,$F$20,Q$22,$H135,$F$19)</f>
        <v>0</v>
      </c>
      <c r="R135" s="36">
        <f>_xll.DBRW($E$12,$F$16,$F$17,$F$18,$E135,$F$20,R$22,$H135,$F$19)</f>
        <v>0</v>
      </c>
      <c r="S135" s="36">
        <f>_xll.DBRW($E$12,$F$16,$F$17,$F$18,$E135,$F$20,S$22,$H135,$F$19)</f>
        <v>0</v>
      </c>
      <c r="T135" s="36">
        <f>_xll.DBRW($E$12,$F$16,$F$17,$F$18,$E135,$F$20,T$22,$H135,$F$19)</f>
        <v>0</v>
      </c>
      <c r="U135" s="36">
        <f>_xll.DBRW($E$12,$F$16,$F$17,$F$18,$E135,$F$20,U$22,$H135,$F$19)</f>
        <v>34400</v>
      </c>
    </row>
    <row r="136" spans="4:21" s="37" customFormat="1" ht="15" outlineLevel="1" thickBot="1" x14ac:dyDescent="0.35">
      <c r="D136" s="33" t="str">
        <f>IF(_xll.TM1RPTELISCONSOLIDATED($H$34,$H136),IF(_xll.TM1RPTELLEV($H$34,$H136)&lt;=5,_xll.TM1RPTELLEV($H$34,$H136),"Default"),"Leaf")</f>
        <v>Leaf</v>
      </c>
      <c r="E136" s="42" t="s">
        <v>670</v>
      </c>
      <c r="F136" s="34" t="str">
        <f>_xll.DBR($B$18,$H136,"Account_Type")</f>
        <v>NON LABOR</v>
      </c>
      <c r="G136" s="34" t="str">
        <f>_xll.DBR($B$18,$H136,"Description")</f>
        <v>Employee Leased Vehicles</v>
      </c>
      <c r="H136" s="43" t="s">
        <v>363</v>
      </c>
      <c r="I136" s="36">
        <f>_xll.DBRW($E$12,$F$16,$F$17,$F$18,$E136,$F$20,I$22,$H136,$F$19)</f>
        <v>2300</v>
      </c>
      <c r="J136" s="36">
        <f>_xll.DBRW($E$12,$F$16,$F$17,$F$18,$E136,$F$20,J$22,$H136,$F$19)</f>
        <v>5750</v>
      </c>
      <c r="K136" s="36">
        <f>_xll.DBRW($E$12,$F$16,$F$17,$F$18,$E136,$F$20,K$22,$H136,$F$19)</f>
        <v>4600</v>
      </c>
      <c r="L136" s="36">
        <f>_xll.DBRW($E$12,$F$16,$F$17,$F$18,$E136,$F$20,L$22,$H136,$F$19)</f>
        <v>4600</v>
      </c>
      <c r="M136" s="36">
        <f>_xll.DBRW($E$12,$F$16,$F$17,$F$18,$E136,$F$20,M$22,$H136,$F$19)</f>
        <v>5750</v>
      </c>
      <c r="N136" s="36">
        <f>_xll.DBRW($E$12,$F$16,$F$17,$F$18,$E136,$F$20,N$22,$H136,$F$19)</f>
        <v>5750</v>
      </c>
      <c r="O136" s="36">
        <f>_xll.DBRW($E$12,$F$16,$F$17,$F$18,$E136,$F$20,O$22,$H136,$F$19)</f>
        <v>5750</v>
      </c>
      <c r="P136" s="36">
        <f>_xll.DBRW($E$12,$F$16,$F$17,$F$18,$E136,$F$20,P$22,$H136,$F$19)</f>
        <v>0</v>
      </c>
      <c r="Q136" s="36">
        <f>_xll.DBRW($E$12,$F$16,$F$17,$F$18,$E136,$F$20,Q$22,$H136,$F$19)</f>
        <v>0</v>
      </c>
      <c r="R136" s="36">
        <f>_xll.DBRW($E$12,$F$16,$F$17,$F$18,$E136,$F$20,R$22,$H136,$F$19)</f>
        <v>0</v>
      </c>
      <c r="S136" s="36">
        <f>_xll.DBRW($E$12,$F$16,$F$17,$F$18,$E136,$F$20,S$22,$H136,$F$19)</f>
        <v>0</v>
      </c>
      <c r="T136" s="36">
        <f>_xll.DBRW($E$12,$F$16,$F$17,$F$18,$E136,$F$20,T$22,$H136,$F$19)</f>
        <v>0</v>
      </c>
      <c r="U136" s="36">
        <f>_xll.DBRW($E$12,$F$16,$F$17,$F$18,$E136,$F$20,U$22,$H136,$F$19)</f>
        <v>34500</v>
      </c>
    </row>
    <row r="137" spans="4:21" s="37" customFormat="1" ht="15" outlineLevel="1" thickBot="1" x14ac:dyDescent="0.35">
      <c r="D137" s="33" t="str">
        <f>IF(_xll.TM1RPTELISCONSOLIDATED($H$34,$H137),IF(_xll.TM1RPTELLEV($H$34,$H137)&lt;=5,_xll.TM1RPTELLEV($H$34,$H137),"Default"),"Leaf")</f>
        <v>Leaf</v>
      </c>
      <c r="E137" s="42" t="s">
        <v>670</v>
      </c>
      <c r="F137" s="34" t="str">
        <f>_xll.DBR($B$18,$H137,"Account_Type")</f>
        <v>NON LABOR</v>
      </c>
      <c r="G137" s="34" t="str">
        <f>_xll.DBR($B$18,$H137,"Description")</f>
        <v>Fleet Leased Vehicle Expense</v>
      </c>
      <c r="H137" s="43" t="s">
        <v>377</v>
      </c>
      <c r="I137" s="36">
        <f>_xll.DBRW($E$12,$F$16,$F$17,$F$18,$E137,$F$20,I$22,$H137,$F$19)</f>
        <v>1833.53</v>
      </c>
      <c r="J137" s="36">
        <f>_xll.DBRW($E$12,$F$16,$F$17,$F$18,$E137,$F$20,J$22,$H137,$F$19)</f>
        <v>1365.26</v>
      </c>
      <c r="K137" s="36">
        <f>_xll.DBRW($E$12,$F$16,$F$17,$F$18,$E137,$F$20,K$22,$H137,$F$19)</f>
        <v>2859.75</v>
      </c>
      <c r="L137" s="36">
        <f>_xll.DBRW($E$12,$F$16,$F$17,$F$18,$E137,$F$20,L$22,$H137,$F$19)</f>
        <v>1117.98</v>
      </c>
      <c r="M137" s="36">
        <f>_xll.DBRW($E$12,$F$16,$F$17,$F$18,$E137,$F$20,M$22,$H137,$F$19)</f>
        <v>0</v>
      </c>
      <c r="N137" s="36">
        <f>_xll.DBRW($E$12,$F$16,$F$17,$F$18,$E137,$F$20,N$22,$H137,$F$19)</f>
        <v>2120.48</v>
      </c>
      <c r="O137" s="36">
        <f>_xll.DBRW($E$12,$F$16,$F$17,$F$18,$E137,$F$20,O$22,$H137,$F$19)</f>
        <v>0</v>
      </c>
      <c r="P137" s="36">
        <f>_xll.DBRW($E$12,$F$16,$F$17,$F$18,$E137,$F$20,P$22,$H137,$F$19)</f>
        <v>0</v>
      </c>
      <c r="Q137" s="36">
        <f>_xll.DBRW($E$12,$F$16,$F$17,$F$18,$E137,$F$20,Q$22,$H137,$F$19)</f>
        <v>0</v>
      </c>
      <c r="R137" s="36">
        <f>_xll.DBRW($E$12,$F$16,$F$17,$F$18,$E137,$F$20,R$22,$H137,$F$19)</f>
        <v>0</v>
      </c>
      <c r="S137" s="36">
        <f>_xll.DBRW($E$12,$F$16,$F$17,$F$18,$E137,$F$20,S$22,$H137,$F$19)</f>
        <v>0</v>
      </c>
      <c r="T137" s="36">
        <f>_xll.DBRW($E$12,$F$16,$F$17,$F$18,$E137,$F$20,T$22,$H137,$F$19)</f>
        <v>0</v>
      </c>
      <c r="U137" s="36">
        <f>_xll.DBRW($E$12,$F$16,$F$17,$F$18,$E137,$F$20,U$22,$H137,$F$19)</f>
        <v>9297</v>
      </c>
    </row>
    <row r="138" spans="4:21" s="37" customFormat="1" ht="15" outlineLevel="1" thickBot="1" x14ac:dyDescent="0.35">
      <c r="D138" s="33" t="str">
        <f>IF(_xll.TM1RPTELISCONSOLIDATED($H$34,$H138),IF(_xll.TM1RPTELLEV($H$34,$H138)&lt;=5,_xll.TM1RPTELLEV($H$34,$H138),"Default"),"Leaf")</f>
        <v>Leaf</v>
      </c>
      <c r="E138" s="42" t="s">
        <v>670</v>
      </c>
      <c r="F138" s="34" t="str">
        <f>_xll.DBR($B$18,$H138,"Account_Type")</f>
        <v>NON LABOR</v>
      </c>
      <c r="G138" s="34" t="str">
        <f>_xll.DBR($B$18,$H138,"Description")</f>
        <v>Fleet Leased Vehicle Expense</v>
      </c>
      <c r="H138" s="43" t="s">
        <v>385</v>
      </c>
      <c r="I138" s="36">
        <f>_xll.DBRW($E$12,$F$16,$F$17,$F$18,$E138,$F$20,I$22,$H138,$F$19)</f>
        <v>-13452.54</v>
      </c>
      <c r="J138" s="36">
        <f>_xll.DBRW($E$12,$F$16,$F$17,$F$18,$E138,$F$20,J$22,$H138,$F$19)</f>
        <v>0</v>
      </c>
      <c r="K138" s="36">
        <f>_xll.DBRW($E$12,$F$16,$F$17,$F$18,$E138,$F$20,K$22,$H138,$F$19)</f>
        <v>-16595.060000000001</v>
      </c>
      <c r="L138" s="36">
        <f>_xll.DBRW($E$12,$F$16,$F$17,$F$18,$E138,$F$20,L$22,$H138,$F$19)</f>
        <v>-32021.93</v>
      </c>
      <c r="M138" s="36">
        <f>_xll.DBRW($E$12,$F$16,$F$17,$F$18,$E138,$F$20,M$22,$H138,$F$19)</f>
        <v>5191.67</v>
      </c>
      <c r="N138" s="36">
        <f>_xll.DBRW($E$12,$F$16,$F$17,$F$18,$E138,$F$20,N$22,$H138,$F$19)</f>
        <v>-619.27</v>
      </c>
      <c r="O138" s="36">
        <f>_xll.DBRW($E$12,$F$16,$F$17,$F$18,$E138,$F$20,O$22,$H138,$F$19)</f>
        <v>-4110.5</v>
      </c>
      <c r="P138" s="36">
        <f>_xll.DBRW($E$12,$F$16,$F$17,$F$18,$E138,$F$20,P$22,$H138,$F$19)</f>
        <v>0</v>
      </c>
      <c r="Q138" s="36">
        <f>_xll.DBRW($E$12,$F$16,$F$17,$F$18,$E138,$F$20,Q$22,$H138,$F$19)</f>
        <v>0</v>
      </c>
      <c r="R138" s="36">
        <f>_xll.DBRW($E$12,$F$16,$F$17,$F$18,$E138,$F$20,R$22,$H138,$F$19)</f>
        <v>0</v>
      </c>
      <c r="S138" s="36">
        <f>_xll.DBRW($E$12,$F$16,$F$17,$F$18,$E138,$F$20,S$22,$H138,$F$19)</f>
        <v>0</v>
      </c>
      <c r="T138" s="36">
        <f>_xll.DBRW($E$12,$F$16,$F$17,$F$18,$E138,$F$20,T$22,$H138,$F$19)</f>
        <v>0</v>
      </c>
      <c r="U138" s="36">
        <f>_xll.DBRW($E$12,$F$16,$F$17,$F$18,$E138,$F$20,U$22,$H138,$F$19)</f>
        <v>-61607.63</v>
      </c>
    </row>
    <row r="139" spans="4:21" s="37" customFormat="1" ht="15" outlineLevel="1" thickBot="1" x14ac:dyDescent="0.35">
      <c r="D139" s="33" t="str">
        <f>IF(_xll.TM1RPTELISCONSOLIDATED($H$34,$H139),IF(_xll.TM1RPTELLEV($H$34,$H139)&lt;=5,_xll.TM1RPTELLEV($H$34,$H139),"Default"),"Leaf")</f>
        <v>Leaf</v>
      </c>
      <c r="E139" s="42" t="s">
        <v>670</v>
      </c>
      <c r="F139" s="34" t="str">
        <f>_xll.DBR($B$18,$H139,"Account_Type")</f>
        <v>NON LABOR</v>
      </c>
      <c r="G139" s="34" t="str">
        <f>_xll.DBR($B$18,$H139,"Description")</f>
        <v>Fleet Leased Vehicle Expense</v>
      </c>
      <c r="H139" s="43" t="s">
        <v>386</v>
      </c>
      <c r="I139" s="36">
        <f>_xll.DBRW($E$12,$F$16,$F$17,$F$18,$E139,$F$20,I$22,$H139,$F$19)</f>
        <v>0</v>
      </c>
      <c r="J139" s="36">
        <f>_xll.DBRW($E$12,$F$16,$F$17,$F$18,$E139,$F$20,J$22,$H139,$F$19)</f>
        <v>54.92</v>
      </c>
      <c r="K139" s="36">
        <f>_xll.DBRW($E$12,$F$16,$F$17,$F$18,$E139,$F$20,K$22,$H139,$F$19)</f>
        <v>0</v>
      </c>
      <c r="L139" s="36">
        <f>_xll.DBRW($E$12,$F$16,$F$17,$F$18,$E139,$F$20,L$22,$H139,$F$19)</f>
        <v>69.239999999999995</v>
      </c>
      <c r="M139" s="36">
        <f>_xll.DBRW($E$12,$F$16,$F$17,$F$18,$E139,$F$20,M$22,$H139,$F$19)</f>
        <v>0</v>
      </c>
      <c r="N139" s="36">
        <f>_xll.DBRW($E$12,$F$16,$F$17,$F$18,$E139,$F$20,N$22,$H139,$F$19)</f>
        <v>0</v>
      </c>
      <c r="O139" s="36">
        <f>_xll.DBRW($E$12,$F$16,$F$17,$F$18,$E139,$F$20,O$22,$H139,$F$19)</f>
        <v>0</v>
      </c>
      <c r="P139" s="36">
        <f>_xll.DBRW($E$12,$F$16,$F$17,$F$18,$E139,$F$20,P$22,$H139,$F$19)</f>
        <v>0</v>
      </c>
      <c r="Q139" s="36">
        <f>_xll.DBRW($E$12,$F$16,$F$17,$F$18,$E139,$F$20,Q$22,$H139,$F$19)</f>
        <v>0</v>
      </c>
      <c r="R139" s="36">
        <f>_xll.DBRW($E$12,$F$16,$F$17,$F$18,$E139,$F$20,R$22,$H139,$F$19)</f>
        <v>0</v>
      </c>
      <c r="S139" s="36">
        <f>_xll.DBRW($E$12,$F$16,$F$17,$F$18,$E139,$F$20,S$22,$H139,$F$19)</f>
        <v>0</v>
      </c>
      <c r="T139" s="36">
        <f>_xll.DBRW($E$12,$F$16,$F$17,$F$18,$E139,$F$20,T$22,$H139,$F$19)</f>
        <v>0</v>
      </c>
      <c r="U139" s="36">
        <f>_xll.DBRW($E$12,$F$16,$F$17,$F$18,$E139,$F$20,U$22,$H139,$F$19)</f>
        <v>124.16</v>
      </c>
    </row>
    <row r="140" spans="4:21" s="37" customFormat="1" ht="15" outlineLevel="1" thickBot="1" x14ac:dyDescent="0.35">
      <c r="D140" s="33" t="str">
        <f>IF(_xll.TM1RPTELISCONSOLIDATED($H$34,$H140),IF(_xll.TM1RPTELLEV($H$34,$H140)&lt;=5,_xll.TM1RPTELLEV($H$34,$H140),"Default"),"Leaf")</f>
        <v>Leaf</v>
      </c>
      <c r="E140" s="42" t="s">
        <v>670</v>
      </c>
      <c r="F140" s="34" t="str">
        <f>_xll.DBR($B$18,$H140,"Account_Type")</f>
        <v>NON LABOR</v>
      </c>
      <c r="G140" s="34" t="str">
        <f>_xll.DBR($B$18,$H140,"Description")</f>
        <v>Fuel to Leased Vehicles</v>
      </c>
      <c r="H140" s="43" t="s">
        <v>395</v>
      </c>
      <c r="I140" s="36">
        <f>_xll.DBRW($E$12,$F$16,$F$17,$F$18,$E140,$F$20,I$22,$H140,$F$19)</f>
        <v>4490.33</v>
      </c>
      <c r="J140" s="36">
        <f>_xll.DBRW($E$12,$F$16,$F$17,$F$18,$E140,$F$20,J$22,$H140,$F$19)</f>
        <v>5865.72</v>
      </c>
      <c r="K140" s="36">
        <f>_xll.DBRW($E$12,$F$16,$F$17,$F$18,$E140,$F$20,K$22,$H140,$F$19)</f>
        <v>2803.83</v>
      </c>
      <c r="L140" s="36">
        <f>_xll.DBRW($E$12,$F$16,$F$17,$F$18,$E140,$F$20,L$22,$H140,$F$19)</f>
        <v>6395.7</v>
      </c>
      <c r="M140" s="36">
        <f>_xll.DBRW($E$12,$F$16,$F$17,$F$18,$E140,$F$20,M$22,$H140,$F$19)</f>
        <v>7302.81</v>
      </c>
      <c r="N140" s="36">
        <f>_xll.DBRW($E$12,$F$16,$F$17,$F$18,$E140,$F$20,N$22,$H140,$F$19)</f>
        <v>0</v>
      </c>
      <c r="O140" s="36">
        <f>_xll.DBRW($E$12,$F$16,$F$17,$F$18,$E140,$F$20,O$22,$H140,$F$19)</f>
        <v>0</v>
      </c>
      <c r="P140" s="36">
        <f>_xll.DBRW($E$12,$F$16,$F$17,$F$18,$E140,$F$20,P$22,$H140,$F$19)</f>
        <v>0</v>
      </c>
      <c r="Q140" s="36">
        <f>_xll.DBRW($E$12,$F$16,$F$17,$F$18,$E140,$F$20,Q$22,$H140,$F$19)</f>
        <v>0</v>
      </c>
      <c r="R140" s="36">
        <f>_xll.DBRW($E$12,$F$16,$F$17,$F$18,$E140,$F$20,R$22,$H140,$F$19)</f>
        <v>0</v>
      </c>
      <c r="S140" s="36">
        <f>_xll.DBRW($E$12,$F$16,$F$17,$F$18,$E140,$F$20,S$22,$H140,$F$19)</f>
        <v>0</v>
      </c>
      <c r="T140" s="36">
        <f>_xll.DBRW($E$12,$F$16,$F$17,$F$18,$E140,$F$20,T$22,$H140,$F$19)</f>
        <v>0</v>
      </c>
      <c r="U140" s="36">
        <f>_xll.DBRW($E$12,$F$16,$F$17,$F$18,$E140,$F$20,U$22,$H140,$F$19)</f>
        <v>26858.39</v>
      </c>
    </row>
    <row r="141" spans="4:21" s="37" customFormat="1" ht="15" outlineLevel="1" thickBot="1" x14ac:dyDescent="0.35">
      <c r="D141" s="33" t="str">
        <f>IF(_xll.TM1RPTELISCONSOLIDATED($H$34,$H141),IF(_xll.TM1RPTELLEV($H$34,$H141)&lt;=5,_xll.TM1RPTELLEV($H$34,$H141),"Default"),"Leaf")</f>
        <v>Leaf</v>
      </c>
      <c r="E141" s="42" t="s">
        <v>670</v>
      </c>
      <c r="F141" s="34" t="str">
        <f>_xll.DBR($B$18,$H141,"Account_Type")</f>
        <v>NON LABOR</v>
      </c>
      <c r="G141" s="34" t="str">
        <f>_xll.DBR($B$18,$H141,"Description")</f>
        <v>Fuel to Leased Vehicles</v>
      </c>
      <c r="H141" s="43" t="s">
        <v>396</v>
      </c>
      <c r="I141" s="36">
        <f>_xll.DBRW($E$12,$F$16,$F$17,$F$18,$E141,$F$20,I$22,$H141,$F$19)</f>
        <v>1246.94</v>
      </c>
      <c r="J141" s="36">
        <f>_xll.DBRW($E$12,$F$16,$F$17,$F$18,$E141,$F$20,J$22,$H141,$F$19)</f>
        <v>2372.23</v>
      </c>
      <c r="K141" s="36">
        <f>_xll.DBRW($E$12,$F$16,$F$17,$F$18,$E141,$F$20,K$22,$H141,$F$19)</f>
        <v>840.4</v>
      </c>
      <c r="L141" s="36">
        <f>_xll.DBRW($E$12,$F$16,$F$17,$F$18,$E141,$F$20,L$22,$H141,$F$19)</f>
        <v>1315.14</v>
      </c>
      <c r="M141" s="36">
        <f>_xll.DBRW($E$12,$F$16,$F$17,$F$18,$E141,$F$20,M$22,$H141,$F$19)</f>
        <v>1616.75</v>
      </c>
      <c r="N141" s="36">
        <f>_xll.DBRW($E$12,$F$16,$F$17,$F$18,$E141,$F$20,N$22,$H141,$F$19)</f>
        <v>0</v>
      </c>
      <c r="O141" s="36">
        <f>_xll.DBRW($E$12,$F$16,$F$17,$F$18,$E141,$F$20,O$22,$H141,$F$19)</f>
        <v>0</v>
      </c>
      <c r="P141" s="36">
        <f>_xll.DBRW($E$12,$F$16,$F$17,$F$18,$E141,$F$20,P$22,$H141,$F$19)</f>
        <v>0</v>
      </c>
      <c r="Q141" s="36">
        <f>_xll.DBRW($E$12,$F$16,$F$17,$F$18,$E141,$F$20,Q$22,$H141,$F$19)</f>
        <v>0</v>
      </c>
      <c r="R141" s="36">
        <f>_xll.DBRW($E$12,$F$16,$F$17,$F$18,$E141,$F$20,R$22,$H141,$F$19)</f>
        <v>0</v>
      </c>
      <c r="S141" s="36">
        <f>_xll.DBRW($E$12,$F$16,$F$17,$F$18,$E141,$F$20,S$22,$H141,$F$19)</f>
        <v>0</v>
      </c>
      <c r="T141" s="36">
        <f>_xll.DBRW($E$12,$F$16,$F$17,$F$18,$E141,$F$20,T$22,$H141,$F$19)</f>
        <v>0</v>
      </c>
      <c r="U141" s="36">
        <f>_xll.DBRW($E$12,$F$16,$F$17,$F$18,$E141,$F$20,U$22,$H141,$F$19)</f>
        <v>7391.46</v>
      </c>
    </row>
    <row r="142" spans="4:21" s="37" customFormat="1" ht="15" outlineLevel="1" thickBot="1" x14ac:dyDescent="0.35">
      <c r="D142" s="33" t="str">
        <f>IF(_xll.TM1RPTELISCONSOLIDATED($H$34,$H142),IF(_xll.TM1RPTELLEV($H$34,$H142)&lt;=5,_xll.TM1RPTELLEV($H$34,$H142),"Default"),"Leaf")</f>
        <v>Leaf</v>
      </c>
      <c r="E142" s="42" t="s">
        <v>670</v>
      </c>
      <c r="F142" s="34" t="str">
        <f>_xll.DBR($B$18,$H142,"Account_Type")</f>
        <v>NON LABOR</v>
      </c>
      <c r="G142" s="34" t="str">
        <f>_xll.DBR($B$18,$H142,"Description")</f>
        <v>Fuel to Leased Vehicles</v>
      </c>
      <c r="H142" s="43" t="s">
        <v>397</v>
      </c>
      <c r="I142" s="36">
        <f>_xll.DBRW($E$12,$F$16,$F$17,$F$18,$E142,$F$20,I$22,$H142,$F$19)</f>
        <v>0</v>
      </c>
      <c r="J142" s="36">
        <f>_xll.DBRW($E$12,$F$16,$F$17,$F$18,$E142,$F$20,J$22,$H142,$F$19)</f>
        <v>0</v>
      </c>
      <c r="K142" s="36">
        <f>_xll.DBRW($E$12,$F$16,$F$17,$F$18,$E142,$F$20,K$22,$H142,$F$19)</f>
        <v>67.95</v>
      </c>
      <c r="L142" s="36">
        <f>_xll.DBRW($E$12,$F$16,$F$17,$F$18,$E142,$F$20,L$22,$H142,$F$19)</f>
        <v>0</v>
      </c>
      <c r="M142" s="36">
        <f>_xll.DBRW($E$12,$F$16,$F$17,$F$18,$E142,$F$20,M$22,$H142,$F$19)</f>
        <v>0</v>
      </c>
      <c r="N142" s="36">
        <f>_xll.DBRW($E$12,$F$16,$F$17,$F$18,$E142,$F$20,N$22,$H142,$F$19)</f>
        <v>0</v>
      </c>
      <c r="O142" s="36">
        <f>_xll.DBRW($E$12,$F$16,$F$17,$F$18,$E142,$F$20,O$22,$H142,$F$19)</f>
        <v>0</v>
      </c>
      <c r="P142" s="36">
        <f>_xll.DBRW($E$12,$F$16,$F$17,$F$18,$E142,$F$20,P$22,$H142,$F$19)</f>
        <v>0</v>
      </c>
      <c r="Q142" s="36">
        <f>_xll.DBRW($E$12,$F$16,$F$17,$F$18,$E142,$F$20,Q$22,$H142,$F$19)</f>
        <v>0</v>
      </c>
      <c r="R142" s="36">
        <f>_xll.DBRW($E$12,$F$16,$F$17,$F$18,$E142,$F$20,R$22,$H142,$F$19)</f>
        <v>0</v>
      </c>
      <c r="S142" s="36">
        <f>_xll.DBRW($E$12,$F$16,$F$17,$F$18,$E142,$F$20,S$22,$H142,$F$19)</f>
        <v>0</v>
      </c>
      <c r="T142" s="36">
        <f>_xll.DBRW($E$12,$F$16,$F$17,$F$18,$E142,$F$20,T$22,$H142,$F$19)</f>
        <v>0</v>
      </c>
      <c r="U142" s="36">
        <f>_xll.DBRW($E$12,$F$16,$F$17,$F$18,$E142,$F$20,U$22,$H142,$F$19)</f>
        <v>67.95</v>
      </c>
    </row>
    <row r="143" spans="4:21" s="37" customFormat="1" ht="15" outlineLevel="1" thickBot="1" x14ac:dyDescent="0.35">
      <c r="D143" s="33" t="str">
        <f>IF(_xll.TM1RPTELISCONSOLIDATED($H$34,$H143),IF(_xll.TM1RPTELLEV($H$34,$H143)&lt;=5,_xll.TM1RPTELLEV($H$34,$H143),"Default"),"Leaf")</f>
        <v>Leaf</v>
      </c>
      <c r="E143" s="42" t="s">
        <v>670</v>
      </c>
      <c r="F143" s="34" t="str">
        <f>_xll.DBR($B$18,$H143,"Account_Type")</f>
        <v>NON LABOR</v>
      </c>
      <c r="G143" s="34" t="str">
        <f>_xll.DBR($B$18,$H143,"Description")</f>
        <v>Fuel to Leased Vehicles</v>
      </c>
      <c r="H143" s="43" t="s">
        <v>398</v>
      </c>
      <c r="I143" s="36">
        <f>_xll.DBRW($E$12,$F$16,$F$17,$F$18,$E143,$F$20,I$22,$H143,$F$19)</f>
        <v>1676.32</v>
      </c>
      <c r="J143" s="36">
        <f>_xll.DBRW($E$12,$F$16,$F$17,$F$18,$E143,$F$20,J$22,$H143,$F$19)</f>
        <v>727.32</v>
      </c>
      <c r="K143" s="36">
        <f>_xll.DBRW($E$12,$F$16,$F$17,$F$18,$E143,$F$20,K$22,$H143,$F$19)</f>
        <v>454.65</v>
      </c>
      <c r="L143" s="36">
        <f>_xll.DBRW($E$12,$F$16,$F$17,$F$18,$E143,$F$20,L$22,$H143,$F$19)</f>
        <v>919.97</v>
      </c>
      <c r="M143" s="36">
        <f>_xll.DBRW($E$12,$F$16,$F$17,$F$18,$E143,$F$20,M$22,$H143,$F$19)</f>
        <v>2356.12</v>
      </c>
      <c r="N143" s="36">
        <f>_xll.DBRW($E$12,$F$16,$F$17,$F$18,$E143,$F$20,N$22,$H143,$F$19)</f>
        <v>0</v>
      </c>
      <c r="O143" s="36">
        <f>_xll.DBRW($E$12,$F$16,$F$17,$F$18,$E143,$F$20,O$22,$H143,$F$19)</f>
        <v>0</v>
      </c>
      <c r="P143" s="36">
        <f>_xll.DBRW($E$12,$F$16,$F$17,$F$18,$E143,$F$20,P$22,$H143,$F$19)</f>
        <v>0</v>
      </c>
      <c r="Q143" s="36">
        <f>_xll.DBRW($E$12,$F$16,$F$17,$F$18,$E143,$F$20,Q$22,$H143,$F$19)</f>
        <v>0</v>
      </c>
      <c r="R143" s="36">
        <f>_xll.DBRW($E$12,$F$16,$F$17,$F$18,$E143,$F$20,R$22,$H143,$F$19)</f>
        <v>0</v>
      </c>
      <c r="S143" s="36">
        <f>_xll.DBRW($E$12,$F$16,$F$17,$F$18,$E143,$F$20,S$22,$H143,$F$19)</f>
        <v>0</v>
      </c>
      <c r="T143" s="36">
        <f>_xll.DBRW($E$12,$F$16,$F$17,$F$18,$E143,$F$20,T$22,$H143,$F$19)</f>
        <v>0</v>
      </c>
      <c r="U143" s="36">
        <f>_xll.DBRW($E$12,$F$16,$F$17,$F$18,$E143,$F$20,U$22,$H143,$F$19)</f>
        <v>6134.38</v>
      </c>
    </row>
    <row r="144" spans="4:21" s="37" customFormat="1" ht="15" outlineLevel="1" thickBot="1" x14ac:dyDescent="0.35">
      <c r="D144" s="33" t="str">
        <f>IF(_xll.TM1RPTELISCONSOLIDATED($H$34,$H144),IF(_xll.TM1RPTELLEV($H$34,$H144)&lt;=5,_xll.TM1RPTELLEV($H$34,$H144),"Default"),"Leaf")</f>
        <v>Leaf</v>
      </c>
      <c r="E144" s="42" t="s">
        <v>670</v>
      </c>
      <c r="F144" s="34" t="str">
        <f>_xll.DBR($B$18,$H144,"Account_Type")</f>
        <v>NON LABOR</v>
      </c>
      <c r="G144" s="34" t="str">
        <f>_xll.DBR($B$18,$H144,"Description")</f>
        <v>Fuel to Leased Vehicles</v>
      </c>
      <c r="H144" s="43" t="s">
        <v>399</v>
      </c>
      <c r="I144" s="36">
        <f>_xll.DBRW($E$12,$F$16,$F$17,$F$18,$E144,$F$20,I$22,$H144,$F$19)</f>
        <v>492.68</v>
      </c>
      <c r="J144" s="36">
        <f>_xll.DBRW($E$12,$F$16,$F$17,$F$18,$E144,$F$20,J$22,$H144,$F$19)</f>
        <v>2614.9899999999998</v>
      </c>
      <c r="K144" s="36">
        <f>_xll.DBRW($E$12,$F$16,$F$17,$F$18,$E144,$F$20,K$22,$H144,$F$19)</f>
        <v>709.11</v>
      </c>
      <c r="L144" s="36">
        <f>_xll.DBRW($E$12,$F$16,$F$17,$F$18,$E144,$F$20,L$22,$H144,$F$19)</f>
        <v>728.12</v>
      </c>
      <c r="M144" s="36">
        <f>_xll.DBRW($E$12,$F$16,$F$17,$F$18,$E144,$F$20,M$22,$H144,$F$19)</f>
        <v>1843.33</v>
      </c>
      <c r="N144" s="36">
        <f>_xll.DBRW($E$12,$F$16,$F$17,$F$18,$E144,$F$20,N$22,$H144,$F$19)</f>
        <v>0</v>
      </c>
      <c r="O144" s="36">
        <f>_xll.DBRW($E$12,$F$16,$F$17,$F$18,$E144,$F$20,O$22,$H144,$F$19)</f>
        <v>0</v>
      </c>
      <c r="P144" s="36">
        <f>_xll.DBRW($E$12,$F$16,$F$17,$F$18,$E144,$F$20,P$22,$H144,$F$19)</f>
        <v>0</v>
      </c>
      <c r="Q144" s="36">
        <f>_xll.DBRW($E$12,$F$16,$F$17,$F$18,$E144,$F$20,Q$22,$H144,$F$19)</f>
        <v>0</v>
      </c>
      <c r="R144" s="36">
        <f>_xll.DBRW($E$12,$F$16,$F$17,$F$18,$E144,$F$20,R$22,$H144,$F$19)</f>
        <v>0</v>
      </c>
      <c r="S144" s="36">
        <f>_xll.DBRW($E$12,$F$16,$F$17,$F$18,$E144,$F$20,S$22,$H144,$F$19)</f>
        <v>0</v>
      </c>
      <c r="T144" s="36">
        <f>_xll.DBRW($E$12,$F$16,$F$17,$F$18,$E144,$F$20,T$22,$H144,$F$19)</f>
        <v>0</v>
      </c>
      <c r="U144" s="36">
        <f>_xll.DBRW($E$12,$F$16,$F$17,$F$18,$E144,$F$20,U$22,$H144,$F$19)</f>
        <v>6388.23</v>
      </c>
    </row>
    <row r="145" spans="4:21" s="37" customFormat="1" ht="15" outlineLevel="1" thickBot="1" x14ac:dyDescent="0.35">
      <c r="D145" s="33" t="str">
        <f>IF(_xll.TM1RPTELISCONSOLIDATED($H$34,$H145),IF(_xll.TM1RPTELLEV($H$34,$H145)&lt;=5,_xll.TM1RPTELLEV($H$34,$H145),"Default"),"Leaf")</f>
        <v>Leaf</v>
      </c>
      <c r="E145" s="42" t="s">
        <v>670</v>
      </c>
      <c r="F145" s="34" t="str">
        <f>_xll.DBR($B$18,$H145,"Account_Type")</f>
        <v>NON LABOR</v>
      </c>
      <c r="G145" s="34" t="str">
        <f>_xll.DBR($B$18,$H145,"Description")</f>
        <v>Fuel Purchases to Leased Vehicles</v>
      </c>
      <c r="H145" s="43" t="s">
        <v>409</v>
      </c>
      <c r="I145" s="36">
        <f>_xll.DBRW($E$12,$F$16,$F$17,$F$18,$E145,$F$20,I$22,$H145,$F$19)</f>
        <v>0</v>
      </c>
      <c r="J145" s="36">
        <f>_xll.DBRW($E$12,$F$16,$F$17,$F$18,$E145,$F$20,J$22,$H145,$F$19)</f>
        <v>0</v>
      </c>
      <c r="K145" s="36">
        <f>_xll.DBRW($E$12,$F$16,$F$17,$F$18,$E145,$F$20,K$22,$H145,$F$19)</f>
        <v>0</v>
      </c>
      <c r="L145" s="36">
        <f>_xll.DBRW($E$12,$F$16,$F$17,$F$18,$E145,$F$20,L$22,$H145,$F$19)</f>
        <v>163.05000000000001</v>
      </c>
      <c r="M145" s="36">
        <f>_xll.DBRW($E$12,$F$16,$F$17,$F$18,$E145,$F$20,M$22,$H145,$F$19)</f>
        <v>530.83000000000004</v>
      </c>
      <c r="N145" s="36">
        <f>_xll.DBRW($E$12,$F$16,$F$17,$F$18,$E145,$F$20,N$22,$H145,$F$19)</f>
        <v>0</v>
      </c>
      <c r="O145" s="36">
        <f>_xll.DBRW($E$12,$F$16,$F$17,$F$18,$E145,$F$20,O$22,$H145,$F$19)</f>
        <v>0</v>
      </c>
      <c r="P145" s="36">
        <f>_xll.DBRW($E$12,$F$16,$F$17,$F$18,$E145,$F$20,P$22,$H145,$F$19)</f>
        <v>0</v>
      </c>
      <c r="Q145" s="36">
        <f>_xll.DBRW($E$12,$F$16,$F$17,$F$18,$E145,$F$20,Q$22,$H145,$F$19)</f>
        <v>0</v>
      </c>
      <c r="R145" s="36">
        <f>_xll.DBRW($E$12,$F$16,$F$17,$F$18,$E145,$F$20,R$22,$H145,$F$19)</f>
        <v>0</v>
      </c>
      <c r="S145" s="36">
        <f>_xll.DBRW($E$12,$F$16,$F$17,$F$18,$E145,$F$20,S$22,$H145,$F$19)</f>
        <v>0</v>
      </c>
      <c r="T145" s="36">
        <f>_xll.DBRW($E$12,$F$16,$F$17,$F$18,$E145,$F$20,T$22,$H145,$F$19)</f>
        <v>0</v>
      </c>
      <c r="U145" s="36">
        <f>_xll.DBRW($E$12,$F$16,$F$17,$F$18,$E145,$F$20,U$22,$H145,$F$19)</f>
        <v>693.88000000000011</v>
      </c>
    </row>
    <row r="146" spans="4:21" s="37" customFormat="1" ht="15" outlineLevel="1" thickBot="1" x14ac:dyDescent="0.35">
      <c r="D146" s="33" t="str">
        <f>IF(_xll.TM1RPTELISCONSOLIDATED($H$34,$H146),IF(_xll.TM1RPTELLEV($H$34,$H146)&lt;=5,_xll.TM1RPTELLEV($H$34,$H146),"Default"),"Leaf")</f>
        <v>Leaf</v>
      </c>
      <c r="E146" s="42" t="s">
        <v>670</v>
      </c>
      <c r="F146" s="34" t="str">
        <f>_xll.DBR($B$18,$H146,"Account_Type")</f>
        <v>NON LABOR</v>
      </c>
      <c r="G146" s="34" t="str">
        <f>_xll.DBR($B$18,$H146,"Description")</f>
        <v>Fuel Purchases to Leased Vehicles</v>
      </c>
      <c r="H146" s="43" t="s">
        <v>700</v>
      </c>
      <c r="I146" s="36">
        <f>_xll.DBRW($E$12,$F$16,$F$17,$F$18,$E146,$F$20,I$22,$H146,$F$19)</f>
        <v>3356.74</v>
      </c>
      <c r="J146" s="36">
        <f>_xll.DBRW($E$12,$F$16,$F$17,$F$18,$E146,$F$20,J$22,$H146,$F$19)</f>
        <v>0</v>
      </c>
      <c r="K146" s="36">
        <f>_xll.DBRW($E$12,$F$16,$F$17,$F$18,$E146,$F$20,K$22,$H146,$F$19)</f>
        <v>-3356.74</v>
      </c>
      <c r="L146" s="36">
        <f>_xll.DBRW($E$12,$F$16,$F$17,$F$18,$E146,$F$20,L$22,$H146,$F$19)</f>
        <v>0</v>
      </c>
      <c r="M146" s="36">
        <f>_xll.DBRW($E$12,$F$16,$F$17,$F$18,$E146,$F$20,M$22,$H146,$F$19)</f>
        <v>0</v>
      </c>
      <c r="N146" s="36">
        <f>_xll.DBRW($E$12,$F$16,$F$17,$F$18,$E146,$F$20,N$22,$H146,$F$19)</f>
        <v>0</v>
      </c>
      <c r="O146" s="36">
        <f>_xll.DBRW($E$12,$F$16,$F$17,$F$18,$E146,$F$20,O$22,$H146,$F$19)</f>
        <v>0</v>
      </c>
      <c r="P146" s="36">
        <f>_xll.DBRW($E$12,$F$16,$F$17,$F$18,$E146,$F$20,P$22,$H146,$F$19)</f>
        <v>0</v>
      </c>
      <c r="Q146" s="36">
        <f>_xll.DBRW($E$12,$F$16,$F$17,$F$18,$E146,$F$20,Q$22,$H146,$F$19)</f>
        <v>0</v>
      </c>
      <c r="R146" s="36">
        <f>_xll.DBRW($E$12,$F$16,$F$17,$F$18,$E146,$F$20,R$22,$H146,$F$19)</f>
        <v>0</v>
      </c>
      <c r="S146" s="36">
        <f>_xll.DBRW($E$12,$F$16,$F$17,$F$18,$E146,$F$20,S$22,$H146,$F$19)</f>
        <v>0</v>
      </c>
      <c r="T146" s="36">
        <f>_xll.DBRW($E$12,$F$16,$F$17,$F$18,$E146,$F$20,T$22,$H146,$F$19)</f>
        <v>0</v>
      </c>
      <c r="U146" s="36">
        <f>_xll.DBRW($E$12,$F$16,$F$17,$F$18,$E146,$F$20,U$22,$H146,$F$19)</f>
        <v>0</v>
      </c>
    </row>
    <row r="147" spans="4:21" s="37" customFormat="1" ht="15" outlineLevel="1" thickBot="1" x14ac:dyDescent="0.35">
      <c r="D147" s="33" t="str">
        <f>IF(_xll.TM1RPTELISCONSOLIDATED($H$34,$H147),IF(_xll.TM1RPTELLEV($H$34,$H147)&lt;=5,_xll.TM1RPTELLEV($H$34,$H147),"Default"),"Leaf")</f>
        <v>Leaf</v>
      </c>
      <c r="E147" s="42" t="s">
        <v>670</v>
      </c>
      <c r="F147" s="34" t="str">
        <f>_xll.DBR($B$18,$H147,"Account_Type")</f>
        <v>NON LABOR</v>
      </c>
      <c r="G147" s="34" t="str">
        <f>_xll.DBR($B$18,$H147,"Description")</f>
        <v>Unallocated Fuel</v>
      </c>
      <c r="H147" s="43" t="s">
        <v>415</v>
      </c>
      <c r="I147" s="36">
        <f>_xll.DBRW($E$12,$F$16,$F$17,$F$18,$E147,$F$20,I$22,$H147,$F$19)</f>
        <v>0</v>
      </c>
      <c r="J147" s="36">
        <f>_xll.DBRW($E$12,$F$16,$F$17,$F$18,$E147,$F$20,J$22,$H147,$F$19)</f>
        <v>1994.96</v>
      </c>
      <c r="K147" s="36">
        <f>_xll.DBRW($E$12,$F$16,$F$17,$F$18,$E147,$F$20,K$22,$H147,$F$19)</f>
        <v>0</v>
      </c>
      <c r="L147" s="36">
        <f>_xll.DBRW($E$12,$F$16,$F$17,$F$18,$E147,$F$20,L$22,$H147,$F$19)</f>
        <v>2194.58</v>
      </c>
      <c r="M147" s="36">
        <f>_xll.DBRW($E$12,$F$16,$F$17,$F$18,$E147,$F$20,M$22,$H147,$F$19)</f>
        <v>0</v>
      </c>
      <c r="N147" s="36">
        <f>_xll.DBRW($E$12,$F$16,$F$17,$F$18,$E147,$F$20,N$22,$H147,$F$19)</f>
        <v>0</v>
      </c>
      <c r="O147" s="36">
        <f>_xll.DBRW($E$12,$F$16,$F$17,$F$18,$E147,$F$20,O$22,$H147,$F$19)</f>
        <v>0</v>
      </c>
      <c r="P147" s="36">
        <f>_xll.DBRW($E$12,$F$16,$F$17,$F$18,$E147,$F$20,P$22,$H147,$F$19)</f>
        <v>0</v>
      </c>
      <c r="Q147" s="36">
        <f>_xll.DBRW($E$12,$F$16,$F$17,$F$18,$E147,$F$20,Q$22,$H147,$F$19)</f>
        <v>0</v>
      </c>
      <c r="R147" s="36">
        <f>_xll.DBRW($E$12,$F$16,$F$17,$F$18,$E147,$F$20,R$22,$H147,$F$19)</f>
        <v>0</v>
      </c>
      <c r="S147" s="36">
        <f>_xll.DBRW($E$12,$F$16,$F$17,$F$18,$E147,$F$20,S$22,$H147,$F$19)</f>
        <v>0</v>
      </c>
      <c r="T147" s="36">
        <f>_xll.DBRW($E$12,$F$16,$F$17,$F$18,$E147,$F$20,T$22,$H147,$F$19)</f>
        <v>0</v>
      </c>
      <c r="U147" s="36">
        <f>_xll.DBRW($E$12,$F$16,$F$17,$F$18,$E147,$F$20,U$22,$H147,$F$19)</f>
        <v>4189.54</v>
      </c>
    </row>
    <row r="148" spans="4:21" s="37" customFormat="1" ht="15" outlineLevel="1" thickBot="1" x14ac:dyDescent="0.35">
      <c r="D148" s="33" t="str">
        <f>IF(_xll.TM1RPTELISCONSOLIDATED($H$34,$H148),IF(_xll.TM1RPTELLEV($H$34,$H148)&lt;=5,_xll.TM1RPTELLEV($H$34,$H148),"Default"),"Leaf")</f>
        <v>Leaf</v>
      </c>
      <c r="E148" s="42" t="s">
        <v>670</v>
      </c>
      <c r="F148" s="34" t="str">
        <f>_xll.DBR($B$18,$H148,"Account_Type")</f>
        <v>NON LABOR</v>
      </c>
      <c r="G148" s="34" t="str">
        <f>_xll.DBR($B$18,$H148,"Description")</f>
        <v>Company Owned Equipment</v>
      </c>
      <c r="H148" s="43" t="s">
        <v>420</v>
      </c>
      <c r="I148" s="36">
        <f>_xll.DBRW($E$12,$F$16,$F$17,$F$18,$E148,$F$20,I$22,$H148,$F$19)</f>
        <v>7090</v>
      </c>
      <c r="J148" s="36">
        <f>_xll.DBRW($E$12,$F$16,$F$17,$F$18,$E148,$F$20,J$22,$H148,$F$19)</f>
        <v>4790</v>
      </c>
      <c r="K148" s="36">
        <f>_xll.DBRW($E$12,$F$16,$F$17,$F$18,$E148,$F$20,K$22,$H148,$F$19)</f>
        <v>6340</v>
      </c>
      <c r="L148" s="36">
        <f>_xll.DBRW($E$12,$F$16,$F$17,$F$18,$E148,$F$20,L$22,$H148,$F$19)</f>
        <v>5760</v>
      </c>
      <c r="M148" s="36">
        <f>_xll.DBRW($E$12,$F$16,$F$17,$F$18,$E148,$F$20,M$22,$H148,$F$19)</f>
        <v>6135</v>
      </c>
      <c r="N148" s="36">
        <f>_xll.DBRW($E$12,$F$16,$F$17,$F$18,$E148,$F$20,N$22,$H148,$F$19)</f>
        <v>9025</v>
      </c>
      <c r="O148" s="36">
        <f>_xll.DBRW($E$12,$F$16,$F$17,$F$18,$E148,$F$20,O$22,$H148,$F$19)</f>
        <v>2830</v>
      </c>
      <c r="P148" s="36">
        <f>_xll.DBRW($E$12,$F$16,$F$17,$F$18,$E148,$F$20,P$22,$H148,$F$19)</f>
        <v>0</v>
      </c>
      <c r="Q148" s="36">
        <f>_xll.DBRW($E$12,$F$16,$F$17,$F$18,$E148,$F$20,Q$22,$H148,$F$19)</f>
        <v>0</v>
      </c>
      <c r="R148" s="36">
        <f>_xll.DBRW($E$12,$F$16,$F$17,$F$18,$E148,$F$20,R$22,$H148,$F$19)</f>
        <v>0</v>
      </c>
      <c r="S148" s="36">
        <f>_xll.DBRW($E$12,$F$16,$F$17,$F$18,$E148,$F$20,S$22,$H148,$F$19)</f>
        <v>0</v>
      </c>
      <c r="T148" s="36">
        <f>_xll.DBRW($E$12,$F$16,$F$17,$F$18,$E148,$F$20,T$22,$H148,$F$19)</f>
        <v>0</v>
      </c>
      <c r="U148" s="36">
        <f>_xll.DBRW($E$12,$F$16,$F$17,$F$18,$E148,$F$20,U$22,$H148,$F$19)</f>
        <v>41970</v>
      </c>
    </row>
    <row r="149" spans="4:21" s="37" customFormat="1" ht="15" outlineLevel="1" thickBot="1" x14ac:dyDescent="0.35">
      <c r="D149" s="33" t="str">
        <f>IF(_xll.TM1RPTELISCONSOLIDATED($H$34,$H149),IF(_xll.TM1RPTELLEV($H$34,$H149)&lt;=5,_xll.TM1RPTELLEV($H$34,$H149),"Default"),"Leaf")</f>
        <v>Leaf</v>
      </c>
      <c r="E149" s="42" t="s">
        <v>670</v>
      </c>
      <c r="F149" s="34" t="str">
        <f>_xll.DBR($B$18,$H149,"Account_Type")</f>
        <v>NON LABOR</v>
      </c>
      <c r="G149" s="34" t="str">
        <f>_xll.DBR($B$18,$H149,"Description")</f>
        <v>Company Owned Equipment</v>
      </c>
      <c r="H149" s="43" t="s">
        <v>421</v>
      </c>
      <c r="I149" s="36">
        <f>_xll.DBRW($E$12,$F$16,$F$17,$F$18,$E149,$F$20,I$22,$H149,$F$19)</f>
        <v>1245</v>
      </c>
      <c r="J149" s="36">
        <f>_xll.DBRW($E$12,$F$16,$F$17,$F$18,$E149,$F$20,J$22,$H149,$F$19)</f>
        <v>1660</v>
      </c>
      <c r="K149" s="36">
        <f>_xll.DBRW($E$12,$F$16,$F$17,$F$18,$E149,$F$20,K$22,$H149,$F$19)</f>
        <v>1245</v>
      </c>
      <c r="L149" s="36">
        <f>_xll.DBRW($E$12,$F$16,$F$17,$F$18,$E149,$F$20,L$22,$H149,$F$19)</f>
        <v>1245</v>
      </c>
      <c r="M149" s="36">
        <f>_xll.DBRW($E$12,$F$16,$F$17,$F$18,$E149,$F$20,M$22,$H149,$F$19)</f>
        <v>1660</v>
      </c>
      <c r="N149" s="36">
        <f>_xll.DBRW($E$12,$F$16,$F$17,$F$18,$E149,$F$20,N$22,$H149,$F$19)</f>
        <v>1660</v>
      </c>
      <c r="O149" s="36">
        <f>_xll.DBRW($E$12,$F$16,$F$17,$F$18,$E149,$F$20,O$22,$H149,$F$19)</f>
        <v>415</v>
      </c>
      <c r="P149" s="36">
        <f>_xll.DBRW($E$12,$F$16,$F$17,$F$18,$E149,$F$20,P$22,$H149,$F$19)</f>
        <v>0</v>
      </c>
      <c r="Q149" s="36">
        <f>_xll.DBRW($E$12,$F$16,$F$17,$F$18,$E149,$F$20,Q$22,$H149,$F$19)</f>
        <v>0</v>
      </c>
      <c r="R149" s="36">
        <f>_xll.DBRW($E$12,$F$16,$F$17,$F$18,$E149,$F$20,R$22,$H149,$F$19)</f>
        <v>0</v>
      </c>
      <c r="S149" s="36">
        <f>_xll.DBRW($E$12,$F$16,$F$17,$F$18,$E149,$F$20,S$22,$H149,$F$19)</f>
        <v>0</v>
      </c>
      <c r="T149" s="36">
        <f>_xll.DBRW($E$12,$F$16,$F$17,$F$18,$E149,$F$20,T$22,$H149,$F$19)</f>
        <v>0</v>
      </c>
      <c r="U149" s="36">
        <f>_xll.DBRW($E$12,$F$16,$F$17,$F$18,$E149,$F$20,U$22,$H149,$F$19)</f>
        <v>9130</v>
      </c>
    </row>
    <row r="150" spans="4:21" s="37" customFormat="1" ht="15" outlineLevel="1" thickBot="1" x14ac:dyDescent="0.35">
      <c r="D150" s="33" t="str">
        <f>IF(_xll.TM1RPTELISCONSOLIDATED($H$34,$H150),IF(_xll.TM1RPTELLEV($H$34,$H150)&lt;=5,_xll.TM1RPTELLEV($H$34,$H150),"Default"),"Leaf")</f>
        <v>Leaf</v>
      </c>
      <c r="E150" s="42" t="s">
        <v>670</v>
      </c>
      <c r="F150" s="34" t="str">
        <f>_xll.DBR($B$18,$H150,"Account_Type")</f>
        <v>NON LABOR</v>
      </c>
      <c r="G150" s="34" t="str">
        <f>_xll.DBR($B$18,$H150,"Description")</f>
        <v>Company Owned Equipment</v>
      </c>
      <c r="H150" s="43" t="s">
        <v>422</v>
      </c>
      <c r="I150" s="36">
        <f>_xll.DBRW($E$12,$F$16,$F$17,$F$18,$E150,$F$20,I$22,$H150,$F$19)</f>
        <v>2160</v>
      </c>
      <c r="J150" s="36">
        <f>_xll.DBRW($E$12,$F$16,$F$17,$F$18,$E150,$F$20,J$22,$H150,$F$19)</f>
        <v>2160</v>
      </c>
      <c r="K150" s="36">
        <f>_xll.DBRW($E$12,$F$16,$F$17,$F$18,$E150,$F$20,K$22,$H150,$F$19)</f>
        <v>2160</v>
      </c>
      <c r="L150" s="36">
        <f>_xll.DBRW($E$12,$F$16,$F$17,$F$18,$E150,$F$20,L$22,$H150,$F$19)</f>
        <v>2160</v>
      </c>
      <c r="M150" s="36">
        <f>_xll.DBRW($E$12,$F$16,$F$17,$F$18,$E150,$F$20,M$22,$H150,$F$19)</f>
        <v>2160</v>
      </c>
      <c r="N150" s="36">
        <f>_xll.DBRW($E$12,$F$16,$F$17,$F$18,$E150,$F$20,N$22,$H150,$F$19)</f>
        <v>2160</v>
      </c>
      <c r="O150" s="36">
        <f>_xll.DBRW($E$12,$F$16,$F$17,$F$18,$E150,$F$20,O$22,$H150,$F$19)</f>
        <v>2160</v>
      </c>
      <c r="P150" s="36">
        <f>_xll.DBRW($E$12,$F$16,$F$17,$F$18,$E150,$F$20,P$22,$H150,$F$19)</f>
        <v>0</v>
      </c>
      <c r="Q150" s="36">
        <f>_xll.DBRW($E$12,$F$16,$F$17,$F$18,$E150,$F$20,Q$22,$H150,$F$19)</f>
        <v>0</v>
      </c>
      <c r="R150" s="36">
        <f>_xll.DBRW($E$12,$F$16,$F$17,$F$18,$E150,$F$20,R$22,$H150,$F$19)</f>
        <v>0</v>
      </c>
      <c r="S150" s="36">
        <f>_xll.DBRW($E$12,$F$16,$F$17,$F$18,$E150,$F$20,S$22,$H150,$F$19)</f>
        <v>0</v>
      </c>
      <c r="T150" s="36">
        <f>_xll.DBRW($E$12,$F$16,$F$17,$F$18,$E150,$F$20,T$22,$H150,$F$19)</f>
        <v>0</v>
      </c>
      <c r="U150" s="36">
        <f>_xll.DBRW($E$12,$F$16,$F$17,$F$18,$E150,$F$20,U$22,$H150,$F$19)</f>
        <v>15120</v>
      </c>
    </row>
    <row r="151" spans="4:21" s="37" customFormat="1" ht="15" outlineLevel="1" thickBot="1" x14ac:dyDescent="0.35">
      <c r="D151" s="33" t="str">
        <f>IF(_xll.TM1RPTELISCONSOLIDATED($H$34,$H151),IF(_xll.TM1RPTELLEV($H$34,$H151)&lt;=5,_xll.TM1RPTELLEV($H$34,$H151),"Default"),"Leaf")</f>
        <v>Leaf</v>
      </c>
      <c r="E151" s="42" t="s">
        <v>670</v>
      </c>
      <c r="F151" s="34" t="str">
        <f>_xll.DBR($B$18,$H151,"Account_Type")</f>
        <v>NON LABOR</v>
      </c>
      <c r="G151" s="34" t="str">
        <f>_xll.DBR($B$18,$H151,"Description")</f>
        <v>Company Owned Equipment</v>
      </c>
      <c r="H151" s="43" t="s">
        <v>423</v>
      </c>
      <c r="I151" s="36">
        <f>_xll.DBRW($E$12,$F$16,$F$17,$F$18,$E151,$F$20,I$22,$H151,$F$19)</f>
        <v>3680</v>
      </c>
      <c r="J151" s="36">
        <f>_xll.DBRW($E$12,$F$16,$F$17,$F$18,$E151,$F$20,J$22,$H151,$F$19)</f>
        <v>2345</v>
      </c>
      <c r="K151" s="36">
        <f>_xll.DBRW($E$12,$F$16,$F$17,$F$18,$E151,$F$20,K$22,$H151,$F$19)</f>
        <v>3680</v>
      </c>
      <c r="L151" s="36">
        <f>_xll.DBRW($E$12,$F$16,$F$17,$F$18,$E151,$F$20,L$22,$H151,$F$19)</f>
        <v>920</v>
      </c>
      <c r="M151" s="36">
        <f>_xll.DBRW($E$12,$F$16,$F$17,$F$18,$E151,$F$20,M$22,$H151,$F$19)</f>
        <v>0</v>
      </c>
      <c r="N151" s="36">
        <f>_xll.DBRW($E$12,$F$16,$F$17,$F$18,$E151,$F$20,N$22,$H151,$F$19)</f>
        <v>3950</v>
      </c>
      <c r="O151" s="36">
        <f>_xll.DBRW($E$12,$F$16,$F$17,$F$18,$E151,$F$20,O$22,$H151,$F$19)</f>
        <v>1400</v>
      </c>
      <c r="P151" s="36">
        <f>_xll.DBRW($E$12,$F$16,$F$17,$F$18,$E151,$F$20,P$22,$H151,$F$19)</f>
        <v>0</v>
      </c>
      <c r="Q151" s="36">
        <f>_xll.DBRW($E$12,$F$16,$F$17,$F$18,$E151,$F$20,Q$22,$H151,$F$19)</f>
        <v>0</v>
      </c>
      <c r="R151" s="36">
        <f>_xll.DBRW($E$12,$F$16,$F$17,$F$18,$E151,$F$20,R$22,$H151,$F$19)</f>
        <v>0</v>
      </c>
      <c r="S151" s="36">
        <f>_xll.DBRW($E$12,$F$16,$F$17,$F$18,$E151,$F$20,S$22,$H151,$F$19)</f>
        <v>0</v>
      </c>
      <c r="T151" s="36">
        <f>_xll.DBRW($E$12,$F$16,$F$17,$F$18,$E151,$F$20,T$22,$H151,$F$19)</f>
        <v>0</v>
      </c>
      <c r="U151" s="36">
        <f>_xll.DBRW($E$12,$F$16,$F$17,$F$18,$E151,$F$20,U$22,$H151,$F$19)</f>
        <v>15975</v>
      </c>
    </row>
    <row r="152" spans="4:21" s="37" customFormat="1" ht="15" outlineLevel="1" thickBot="1" x14ac:dyDescent="0.35">
      <c r="D152" s="33" t="str">
        <f>IF(_xll.TM1RPTELISCONSOLIDATED($H$34,$H152),IF(_xll.TM1RPTELLEV($H$34,$H152)&lt;=5,_xll.TM1RPTELLEV($H$34,$H152),"Default"),"Leaf")</f>
        <v>Leaf</v>
      </c>
      <c r="E152" s="42" t="s">
        <v>670</v>
      </c>
      <c r="F152" s="34" t="str">
        <f>_xll.DBR($B$18,$H152,"Account_Type")</f>
        <v>NON LABOR</v>
      </c>
      <c r="G152" s="34" t="str">
        <f>_xll.DBR($B$18,$H152,"Description")</f>
        <v>Fuel to Company Owned Equipment</v>
      </c>
      <c r="H152" s="43" t="s">
        <v>435</v>
      </c>
      <c r="I152" s="36">
        <f>_xll.DBRW($E$12,$F$16,$F$17,$F$18,$E152,$F$20,I$22,$H152,$F$19)</f>
        <v>1398.69</v>
      </c>
      <c r="J152" s="36">
        <f>_xll.DBRW($E$12,$F$16,$F$17,$F$18,$E152,$F$20,J$22,$H152,$F$19)</f>
        <v>3110.42</v>
      </c>
      <c r="K152" s="36">
        <f>_xll.DBRW($E$12,$F$16,$F$17,$F$18,$E152,$F$20,K$22,$H152,$F$19)</f>
        <v>1380.25</v>
      </c>
      <c r="L152" s="36">
        <f>_xll.DBRW($E$12,$F$16,$F$17,$F$18,$E152,$F$20,L$22,$H152,$F$19)</f>
        <v>4849.3500000000004</v>
      </c>
      <c r="M152" s="36">
        <f>_xll.DBRW($E$12,$F$16,$F$17,$F$18,$E152,$F$20,M$22,$H152,$F$19)</f>
        <v>4174.26</v>
      </c>
      <c r="N152" s="36">
        <f>_xll.DBRW($E$12,$F$16,$F$17,$F$18,$E152,$F$20,N$22,$H152,$F$19)</f>
        <v>1114.5999999999999</v>
      </c>
      <c r="O152" s="36">
        <f>_xll.DBRW($E$12,$F$16,$F$17,$F$18,$E152,$F$20,O$22,$H152,$F$19)</f>
        <v>542.12</v>
      </c>
      <c r="P152" s="36">
        <f>_xll.DBRW($E$12,$F$16,$F$17,$F$18,$E152,$F$20,P$22,$H152,$F$19)</f>
        <v>0</v>
      </c>
      <c r="Q152" s="36">
        <f>_xll.DBRW($E$12,$F$16,$F$17,$F$18,$E152,$F$20,Q$22,$H152,$F$19)</f>
        <v>0</v>
      </c>
      <c r="R152" s="36">
        <f>_xll.DBRW($E$12,$F$16,$F$17,$F$18,$E152,$F$20,R$22,$H152,$F$19)</f>
        <v>0</v>
      </c>
      <c r="S152" s="36">
        <f>_xll.DBRW($E$12,$F$16,$F$17,$F$18,$E152,$F$20,S$22,$H152,$F$19)</f>
        <v>0</v>
      </c>
      <c r="T152" s="36">
        <f>_xll.DBRW($E$12,$F$16,$F$17,$F$18,$E152,$F$20,T$22,$H152,$F$19)</f>
        <v>0</v>
      </c>
      <c r="U152" s="36">
        <f>_xll.DBRW($E$12,$F$16,$F$17,$F$18,$E152,$F$20,U$22,$H152,$F$19)</f>
        <v>16569.690000000002</v>
      </c>
    </row>
    <row r="153" spans="4:21" s="37" customFormat="1" ht="15" outlineLevel="1" thickBot="1" x14ac:dyDescent="0.35">
      <c r="D153" s="33" t="str">
        <f>IF(_xll.TM1RPTELISCONSOLIDATED($H$34,$H153),IF(_xll.TM1RPTELLEV($H$34,$H153)&lt;=5,_xll.TM1RPTELLEV($H$34,$H153),"Default"),"Leaf")</f>
        <v>Leaf</v>
      </c>
      <c r="E153" s="42" t="s">
        <v>670</v>
      </c>
      <c r="F153" s="34" t="str">
        <f>_xll.DBR($B$18,$H153,"Account_Type")</f>
        <v>NON LABOR</v>
      </c>
      <c r="G153" s="34" t="str">
        <f>_xll.DBR($B$18,$H153,"Description")</f>
        <v>Fuel to Company Owned Equipment</v>
      </c>
      <c r="H153" s="43" t="s">
        <v>436</v>
      </c>
      <c r="I153" s="36">
        <f>_xll.DBRW($E$12,$F$16,$F$17,$F$18,$E153,$F$20,I$22,$H153,$F$19)</f>
        <v>0</v>
      </c>
      <c r="J153" s="36">
        <f>_xll.DBRW($E$12,$F$16,$F$17,$F$18,$E153,$F$20,J$22,$H153,$F$19)</f>
        <v>141.78</v>
      </c>
      <c r="K153" s="36">
        <f>_xll.DBRW($E$12,$F$16,$F$17,$F$18,$E153,$F$20,K$22,$H153,$F$19)</f>
        <v>215.82</v>
      </c>
      <c r="L153" s="36">
        <f>_xll.DBRW($E$12,$F$16,$F$17,$F$18,$E153,$F$20,L$22,$H153,$F$19)</f>
        <v>0</v>
      </c>
      <c r="M153" s="36">
        <f>_xll.DBRW($E$12,$F$16,$F$17,$F$18,$E153,$F$20,M$22,$H153,$F$19)</f>
        <v>1595.53</v>
      </c>
      <c r="N153" s="36">
        <f>_xll.DBRW($E$12,$F$16,$F$17,$F$18,$E153,$F$20,N$22,$H153,$F$19)</f>
        <v>0</v>
      </c>
      <c r="O153" s="36">
        <f>_xll.DBRW($E$12,$F$16,$F$17,$F$18,$E153,$F$20,O$22,$H153,$F$19)</f>
        <v>552.78</v>
      </c>
      <c r="P153" s="36">
        <f>_xll.DBRW($E$12,$F$16,$F$17,$F$18,$E153,$F$20,P$22,$H153,$F$19)</f>
        <v>0</v>
      </c>
      <c r="Q153" s="36">
        <f>_xll.DBRW($E$12,$F$16,$F$17,$F$18,$E153,$F$20,Q$22,$H153,$F$19)</f>
        <v>0</v>
      </c>
      <c r="R153" s="36">
        <f>_xll.DBRW($E$12,$F$16,$F$17,$F$18,$E153,$F$20,R$22,$H153,$F$19)</f>
        <v>0</v>
      </c>
      <c r="S153" s="36">
        <f>_xll.DBRW($E$12,$F$16,$F$17,$F$18,$E153,$F$20,S$22,$H153,$F$19)</f>
        <v>0</v>
      </c>
      <c r="T153" s="36">
        <f>_xll.DBRW($E$12,$F$16,$F$17,$F$18,$E153,$F$20,T$22,$H153,$F$19)</f>
        <v>0</v>
      </c>
      <c r="U153" s="36">
        <f>_xll.DBRW($E$12,$F$16,$F$17,$F$18,$E153,$F$20,U$22,$H153,$F$19)</f>
        <v>2505.91</v>
      </c>
    </row>
    <row r="154" spans="4:21" s="37" customFormat="1" ht="15" outlineLevel="1" thickBot="1" x14ac:dyDescent="0.35">
      <c r="D154" s="33" t="str">
        <f>IF(_xll.TM1RPTELISCONSOLIDATED($H$34,$H154),IF(_xll.TM1RPTELLEV($H$34,$H154)&lt;=5,_xll.TM1RPTELLEV($H$34,$H154),"Default"),"Leaf")</f>
        <v>Leaf</v>
      </c>
      <c r="E154" s="42" t="s">
        <v>670</v>
      </c>
      <c r="F154" s="34" t="str">
        <f>_xll.DBR($B$18,$H154,"Account_Type")</f>
        <v>NON LABOR</v>
      </c>
      <c r="G154" s="34" t="str">
        <f>_xll.DBR($B$18,$H154,"Description")</f>
        <v>Fuel to Company Owned Equipment</v>
      </c>
      <c r="H154" s="43" t="s">
        <v>437</v>
      </c>
      <c r="I154" s="36">
        <f>_xll.DBRW($E$12,$F$16,$F$17,$F$18,$E154,$F$20,I$22,$H154,$F$19)</f>
        <v>0</v>
      </c>
      <c r="J154" s="36">
        <f>_xll.DBRW($E$12,$F$16,$F$17,$F$18,$E154,$F$20,J$22,$H154,$F$19)</f>
        <v>47.61</v>
      </c>
      <c r="K154" s="36">
        <f>_xll.DBRW($E$12,$F$16,$F$17,$F$18,$E154,$F$20,K$22,$H154,$F$19)</f>
        <v>0</v>
      </c>
      <c r="L154" s="36">
        <f>_xll.DBRW($E$12,$F$16,$F$17,$F$18,$E154,$F$20,L$22,$H154,$F$19)</f>
        <v>0</v>
      </c>
      <c r="M154" s="36">
        <f>_xll.DBRW($E$12,$F$16,$F$17,$F$18,$E154,$F$20,M$22,$H154,$F$19)</f>
        <v>2498.6799999999998</v>
      </c>
      <c r="N154" s="36">
        <f>_xll.DBRW($E$12,$F$16,$F$17,$F$18,$E154,$F$20,N$22,$H154,$F$19)</f>
        <v>0</v>
      </c>
      <c r="O154" s="36">
        <f>_xll.DBRW($E$12,$F$16,$F$17,$F$18,$E154,$F$20,O$22,$H154,$F$19)</f>
        <v>0</v>
      </c>
      <c r="P154" s="36">
        <f>_xll.DBRW($E$12,$F$16,$F$17,$F$18,$E154,$F$20,P$22,$H154,$F$19)</f>
        <v>0</v>
      </c>
      <c r="Q154" s="36">
        <f>_xll.DBRW($E$12,$F$16,$F$17,$F$18,$E154,$F$20,Q$22,$H154,$F$19)</f>
        <v>0</v>
      </c>
      <c r="R154" s="36">
        <f>_xll.DBRW($E$12,$F$16,$F$17,$F$18,$E154,$F$20,R$22,$H154,$F$19)</f>
        <v>0</v>
      </c>
      <c r="S154" s="36">
        <f>_xll.DBRW($E$12,$F$16,$F$17,$F$18,$E154,$F$20,S$22,$H154,$F$19)</f>
        <v>0</v>
      </c>
      <c r="T154" s="36">
        <f>_xll.DBRW($E$12,$F$16,$F$17,$F$18,$E154,$F$20,T$22,$H154,$F$19)</f>
        <v>0</v>
      </c>
      <c r="U154" s="36">
        <f>_xll.DBRW($E$12,$F$16,$F$17,$F$18,$E154,$F$20,U$22,$H154,$F$19)</f>
        <v>2546.29</v>
      </c>
    </row>
    <row r="155" spans="4:21" s="37" customFormat="1" ht="15" outlineLevel="1" thickBot="1" x14ac:dyDescent="0.35">
      <c r="D155" s="33" t="str">
        <f>IF(_xll.TM1RPTELISCONSOLIDATED($H$34,$H155),IF(_xll.TM1RPTELLEV($H$34,$H155)&lt;=5,_xll.TM1RPTELLEV($H$34,$H155),"Default"),"Leaf")</f>
        <v>Leaf</v>
      </c>
      <c r="E155" s="42" t="s">
        <v>670</v>
      </c>
      <c r="F155" s="34" t="str">
        <f>_xll.DBR($B$18,$H155,"Account_Type")</f>
        <v>NON LABOR</v>
      </c>
      <c r="G155" s="34" t="str">
        <f>_xll.DBR($B$18,$H155,"Description")</f>
        <v>Fuel to Company Owned Equipment</v>
      </c>
      <c r="H155" s="43" t="s">
        <v>438</v>
      </c>
      <c r="I155" s="36">
        <f>_xll.DBRW($E$12,$F$16,$F$17,$F$18,$E155,$F$20,I$22,$H155,$F$19)</f>
        <v>0</v>
      </c>
      <c r="J155" s="36">
        <f>_xll.DBRW($E$12,$F$16,$F$17,$F$18,$E155,$F$20,J$22,$H155,$F$19)</f>
        <v>1546.01</v>
      </c>
      <c r="K155" s="36">
        <f>_xll.DBRW($E$12,$F$16,$F$17,$F$18,$E155,$F$20,K$22,$H155,$F$19)</f>
        <v>0</v>
      </c>
      <c r="L155" s="36">
        <f>_xll.DBRW($E$12,$F$16,$F$17,$F$18,$E155,$F$20,L$22,$H155,$F$19)</f>
        <v>0</v>
      </c>
      <c r="M155" s="36">
        <f>_xll.DBRW($E$12,$F$16,$F$17,$F$18,$E155,$F$20,M$22,$H155,$F$19)</f>
        <v>6140.43</v>
      </c>
      <c r="N155" s="36">
        <f>_xll.DBRW($E$12,$F$16,$F$17,$F$18,$E155,$F$20,N$22,$H155,$F$19)</f>
        <v>0</v>
      </c>
      <c r="O155" s="36">
        <f>_xll.DBRW($E$12,$F$16,$F$17,$F$18,$E155,$F$20,O$22,$H155,$F$19)</f>
        <v>0</v>
      </c>
      <c r="P155" s="36">
        <f>_xll.DBRW($E$12,$F$16,$F$17,$F$18,$E155,$F$20,P$22,$H155,$F$19)</f>
        <v>0</v>
      </c>
      <c r="Q155" s="36">
        <f>_xll.DBRW($E$12,$F$16,$F$17,$F$18,$E155,$F$20,Q$22,$H155,$F$19)</f>
        <v>0</v>
      </c>
      <c r="R155" s="36">
        <f>_xll.DBRW($E$12,$F$16,$F$17,$F$18,$E155,$F$20,R$22,$H155,$F$19)</f>
        <v>0</v>
      </c>
      <c r="S155" s="36">
        <f>_xll.DBRW($E$12,$F$16,$F$17,$F$18,$E155,$F$20,S$22,$H155,$F$19)</f>
        <v>0</v>
      </c>
      <c r="T155" s="36">
        <f>_xll.DBRW($E$12,$F$16,$F$17,$F$18,$E155,$F$20,T$22,$H155,$F$19)</f>
        <v>0</v>
      </c>
      <c r="U155" s="36">
        <f>_xll.DBRW($E$12,$F$16,$F$17,$F$18,$E155,$F$20,U$22,$H155,$F$19)</f>
        <v>7686.4400000000005</v>
      </c>
    </row>
    <row r="156" spans="4:21" s="37" customFormat="1" ht="15" outlineLevel="1" thickBot="1" x14ac:dyDescent="0.35">
      <c r="D156" s="33" t="str">
        <f>IF(_xll.TM1RPTELISCONSOLIDATED($H$34,$H156),IF(_xll.TM1RPTELLEV($H$34,$H156)&lt;=5,_xll.TM1RPTELLEV($H$34,$H156),"Default"),"Leaf")</f>
        <v>Leaf</v>
      </c>
      <c r="E156" s="42" t="s">
        <v>670</v>
      </c>
      <c r="F156" s="34" t="str">
        <f>_xll.DBR($B$18,$H156,"Account_Type")</f>
        <v>NON LABOR</v>
      </c>
      <c r="G156" s="34" t="str">
        <f>_xll.DBR($B$18,$H156,"Description")</f>
        <v>Fuel to Company Owned Equipment</v>
      </c>
      <c r="H156" s="43" t="s">
        <v>439</v>
      </c>
      <c r="I156" s="36">
        <f>_xll.DBRW($E$12,$F$16,$F$17,$F$18,$E156,$F$20,I$22,$H156,$F$19)</f>
        <v>0</v>
      </c>
      <c r="J156" s="36">
        <f>_xll.DBRW($E$12,$F$16,$F$17,$F$18,$E156,$F$20,J$22,$H156,$F$19)</f>
        <v>0</v>
      </c>
      <c r="K156" s="36">
        <f>_xll.DBRW($E$12,$F$16,$F$17,$F$18,$E156,$F$20,K$22,$H156,$F$19)</f>
        <v>0</v>
      </c>
      <c r="L156" s="36">
        <f>_xll.DBRW($E$12,$F$16,$F$17,$F$18,$E156,$F$20,L$22,$H156,$F$19)</f>
        <v>0</v>
      </c>
      <c r="M156" s="36">
        <f>_xll.DBRW($E$12,$F$16,$F$17,$F$18,$E156,$F$20,M$22,$H156,$F$19)</f>
        <v>1770.69</v>
      </c>
      <c r="N156" s="36">
        <f>_xll.DBRW($E$12,$F$16,$F$17,$F$18,$E156,$F$20,N$22,$H156,$F$19)</f>
        <v>0</v>
      </c>
      <c r="O156" s="36">
        <f>_xll.DBRW($E$12,$F$16,$F$17,$F$18,$E156,$F$20,O$22,$H156,$F$19)</f>
        <v>0</v>
      </c>
      <c r="P156" s="36">
        <f>_xll.DBRW($E$12,$F$16,$F$17,$F$18,$E156,$F$20,P$22,$H156,$F$19)</f>
        <v>0</v>
      </c>
      <c r="Q156" s="36">
        <f>_xll.DBRW($E$12,$F$16,$F$17,$F$18,$E156,$F$20,Q$22,$H156,$F$19)</f>
        <v>0</v>
      </c>
      <c r="R156" s="36">
        <f>_xll.DBRW($E$12,$F$16,$F$17,$F$18,$E156,$F$20,R$22,$H156,$F$19)</f>
        <v>0</v>
      </c>
      <c r="S156" s="36">
        <f>_xll.DBRW($E$12,$F$16,$F$17,$F$18,$E156,$F$20,S$22,$H156,$F$19)</f>
        <v>0</v>
      </c>
      <c r="T156" s="36">
        <f>_xll.DBRW($E$12,$F$16,$F$17,$F$18,$E156,$F$20,T$22,$H156,$F$19)</f>
        <v>0</v>
      </c>
      <c r="U156" s="36">
        <f>_xll.DBRW($E$12,$F$16,$F$17,$F$18,$E156,$F$20,U$22,$H156,$F$19)</f>
        <v>1770.69</v>
      </c>
    </row>
    <row r="157" spans="4:21" s="37" customFormat="1" ht="15" outlineLevel="1" thickBot="1" x14ac:dyDescent="0.35">
      <c r="D157" s="33" t="str">
        <f>IF(_xll.TM1RPTELISCONSOLIDATED($H$34,$H157),IF(_xll.TM1RPTELLEV($H$34,$H157)&lt;=5,_xll.TM1RPTELLEV($H$34,$H157),"Default"),"Leaf")</f>
        <v>Leaf</v>
      </c>
      <c r="E157" s="42" t="s">
        <v>670</v>
      </c>
      <c r="F157" s="34" t="str">
        <f>_xll.DBR($B$18,$H157,"Account_Type")</f>
        <v>NON LABOR</v>
      </c>
      <c r="G157" s="34" t="str">
        <f>_xll.DBR($B$18,$H157,"Description")</f>
        <v>Company Aircraft Usage</v>
      </c>
      <c r="H157" s="43" t="s">
        <v>445</v>
      </c>
      <c r="I157" s="36">
        <f>_xll.DBRW($E$12,$F$16,$F$17,$F$18,$E157,$F$20,I$22,$H157,$F$19)</f>
        <v>0</v>
      </c>
      <c r="J157" s="36">
        <f>_xll.DBRW($E$12,$F$16,$F$17,$F$18,$E157,$F$20,J$22,$H157,$F$19)</f>
        <v>0</v>
      </c>
      <c r="K157" s="36">
        <f>_xll.DBRW($E$12,$F$16,$F$17,$F$18,$E157,$F$20,K$22,$H157,$F$19)</f>
        <v>0</v>
      </c>
      <c r="L157" s="36">
        <f>_xll.DBRW($E$12,$F$16,$F$17,$F$18,$E157,$F$20,L$22,$H157,$F$19)</f>
        <v>585.29</v>
      </c>
      <c r="M157" s="36">
        <f>_xll.DBRW($E$12,$F$16,$F$17,$F$18,$E157,$F$20,M$22,$H157,$F$19)</f>
        <v>0</v>
      </c>
      <c r="N157" s="36">
        <f>_xll.DBRW($E$12,$F$16,$F$17,$F$18,$E157,$F$20,N$22,$H157,$F$19)</f>
        <v>0</v>
      </c>
      <c r="O157" s="36">
        <f>_xll.DBRW($E$12,$F$16,$F$17,$F$18,$E157,$F$20,O$22,$H157,$F$19)</f>
        <v>0</v>
      </c>
      <c r="P157" s="36">
        <f>_xll.DBRW($E$12,$F$16,$F$17,$F$18,$E157,$F$20,P$22,$H157,$F$19)</f>
        <v>0</v>
      </c>
      <c r="Q157" s="36">
        <f>_xll.DBRW($E$12,$F$16,$F$17,$F$18,$E157,$F$20,Q$22,$H157,$F$19)</f>
        <v>0</v>
      </c>
      <c r="R157" s="36">
        <f>_xll.DBRW($E$12,$F$16,$F$17,$F$18,$E157,$F$20,R$22,$H157,$F$19)</f>
        <v>0</v>
      </c>
      <c r="S157" s="36">
        <f>_xll.DBRW($E$12,$F$16,$F$17,$F$18,$E157,$F$20,S$22,$H157,$F$19)</f>
        <v>0</v>
      </c>
      <c r="T157" s="36">
        <f>_xll.DBRW($E$12,$F$16,$F$17,$F$18,$E157,$F$20,T$22,$H157,$F$19)</f>
        <v>0</v>
      </c>
      <c r="U157" s="36">
        <f>_xll.DBRW($E$12,$F$16,$F$17,$F$18,$E157,$F$20,U$22,$H157,$F$19)</f>
        <v>585.29</v>
      </c>
    </row>
    <row r="158" spans="4:21" s="37" customFormat="1" ht="15" outlineLevel="1" thickBot="1" x14ac:dyDescent="0.35">
      <c r="D158" s="33" t="str">
        <f>IF(_xll.TM1RPTELISCONSOLIDATED($H$34,$H158),IF(_xll.TM1RPTELLEV($H$34,$H158)&lt;=5,_xll.TM1RPTELLEV($H$34,$H158),"Default"),"Leaf")</f>
        <v>Leaf</v>
      </c>
      <c r="E158" s="42" t="s">
        <v>670</v>
      </c>
      <c r="F158" s="34" t="str">
        <f>_xll.DBR($B$18,$H158,"Account_Type")</f>
        <v>NON LABOR</v>
      </c>
      <c r="G158" s="34" t="str">
        <f>_xll.DBR($B$18,$H158,"Description")</f>
        <v>Sponsorships/Contributions</v>
      </c>
      <c r="H158" s="43" t="s">
        <v>447</v>
      </c>
      <c r="I158" s="36">
        <f>_xll.DBRW($E$12,$F$16,$F$17,$F$18,$E158,$F$20,I$22,$H158,$F$19)</f>
        <v>173.16</v>
      </c>
      <c r="J158" s="36">
        <f>_xll.DBRW($E$12,$F$16,$F$17,$F$18,$E158,$F$20,J$22,$H158,$F$19)</f>
        <v>500</v>
      </c>
      <c r="K158" s="36">
        <f>_xll.DBRW($E$12,$F$16,$F$17,$F$18,$E158,$F$20,K$22,$H158,$F$19)</f>
        <v>0</v>
      </c>
      <c r="L158" s="36">
        <f>_xll.DBRW($E$12,$F$16,$F$17,$F$18,$E158,$F$20,L$22,$H158,$F$19)</f>
        <v>0</v>
      </c>
      <c r="M158" s="36">
        <f>_xll.DBRW($E$12,$F$16,$F$17,$F$18,$E158,$F$20,M$22,$H158,$F$19)</f>
        <v>622.45000000000005</v>
      </c>
      <c r="N158" s="36">
        <f>_xll.DBRW($E$12,$F$16,$F$17,$F$18,$E158,$F$20,N$22,$H158,$F$19)</f>
        <v>0</v>
      </c>
      <c r="O158" s="36">
        <f>_xll.DBRW($E$12,$F$16,$F$17,$F$18,$E158,$F$20,O$22,$H158,$F$19)</f>
        <v>0</v>
      </c>
      <c r="P158" s="36">
        <f>_xll.DBRW($E$12,$F$16,$F$17,$F$18,$E158,$F$20,P$22,$H158,$F$19)</f>
        <v>0</v>
      </c>
      <c r="Q158" s="36">
        <f>_xll.DBRW($E$12,$F$16,$F$17,$F$18,$E158,$F$20,Q$22,$H158,$F$19)</f>
        <v>0</v>
      </c>
      <c r="R158" s="36">
        <f>_xll.DBRW($E$12,$F$16,$F$17,$F$18,$E158,$F$20,R$22,$H158,$F$19)</f>
        <v>0</v>
      </c>
      <c r="S158" s="36">
        <f>_xll.DBRW($E$12,$F$16,$F$17,$F$18,$E158,$F$20,S$22,$H158,$F$19)</f>
        <v>0</v>
      </c>
      <c r="T158" s="36">
        <f>_xll.DBRW($E$12,$F$16,$F$17,$F$18,$E158,$F$20,T$22,$H158,$F$19)</f>
        <v>0</v>
      </c>
      <c r="U158" s="36">
        <f>_xll.DBRW($E$12,$F$16,$F$17,$F$18,$E158,$F$20,U$22,$H158,$F$19)</f>
        <v>1295.6100000000001</v>
      </c>
    </row>
    <row r="159" spans="4:21" s="37" customFormat="1" ht="15" outlineLevel="1" thickBot="1" x14ac:dyDescent="0.35">
      <c r="D159" s="33" t="str">
        <f>IF(_xll.TM1RPTELISCONSOLIDATED($H$34,$H159),IF(_xll.TM1RPTELLEV($H$34,$H159)&lt;=5,_xll.TM1RPTELLEV($H$34,$H159),"Default"),"Leaf")</f>
        <v>Leaf</v>
      </c>
      <c r="E159" s="42" t="s">
        <v>670</v>
      </c>
      <c r="F159" s="34" t="str">
        <f>_xll.DBR($B$18,$H159,"Account_Type")</f>
        <v>NON LABOR</v>
      </c>
      <c r="G159" s="34" t="str">
        <f>_xll.DBR($B$18,$H159,"Description")</f>
        <v>Sponsorships/Contributions</v>
      </c>
      <c r="H159" s="43" t="s">
        <v>448</v>
      </c>
      <c r="I159" s="36">
        <f>_xll.DBRW($E$12,$F$16,$F$17,$F$18,$E159,$F$20,I$22,$H159,$F$19)</f>
        <v>0</v>
      </c>
      <c r="J159" s="36">
        <f>_xll.DBRW($E$12,$F$16,$F$17,$F$18,$E159,$F$20,J$22,$H159,$F$19)</f>
        <v>1250</v>
      </c>
      <c r="K159" s="36">
        <f>_xll.DBRW($E$12,$F$16,$F$17,$F$18,$E159,$F$20,K$22,$H159,$F$19)</f>
        <v>0</v>
      </c>
      <c r="L159" s="36">
        <f>_xll.DBRW($E$12,$F$16,$F$17,$F$18,$E159,$F$20,L$22,$H159,$F$19)</f>
        <v>500</v>
      </c>
      <c r="M159" s="36">
        <f>_xll.DBRW($E$12,$F$16,$F$17,$F$18,$E159,$F$20,M$22,$H159,$F$19)</f>
        <v>0</v>
      </c>
      <c r="N159" s="36">
        <f>_xll.DBRW($E$12,$F$16,$F$17,$F$18,$E159,$F$20,N$22,$H159,$F$19)</f>
        <v>0</v>
      </c>
      <c r="O159" s="36">
        <f>_xll.DBRW($E$12,$F$16,$F$17,$F$18,$E159,$F$20,O$22,$H159,$F$19)</f>
        <v>0</v>
      </c>
      <c r="P159" s="36">
        <f>_xll.DBRW($E$12,$F$16,$F$17,$F$18,$E159,$F$20,P$22,$H159,$F$19)</f>
        <v>0</v>
      </c>
      <c r="Q159" s="36">
        <f>_xll.DBRW($E$12,$F$16,$F$17,$F$18,$E159,$F$20,Q$22,$H159,$F$19)</f>
        <v>0</v>
      </c>
      <c r="R159" s="36">
        <f>_xll.DBRW($E$12,$F$16,$F$17,$F$18,$E159,$F$20,R$22,$H159,$F$19)</f>
        <v>0</v>
      </c>
      <c r="S159" s="36">
        <f>_xll.DBRW($E$12,$F$16,$F$17,$F$18,$E159,$F$20,S$22,$H159,$F$19)</f>
        <v>0</v>
      </c>
      <c r="T159" s="36">
        <f>_xll.DBRW($E$12,$F$16,$F$17,$F$18,$E159,$F$20,T$22,$H159,$F$19)</f>
        <v>0</v>
      </c>
      <c r="U159" s="36">
        <f>_xll.DBRW($E$12,$F$16,$F$17,$F$18,$E159,$F$20,U$22,$H159,$F$19)</f>
        <v>1750</v>
      </c>
    </row>
    <row r="160" spans="4:21" s="37" customFormat="1" ht="15" outlineLevel="1" thickBot="1" x14ac:dyDescent="0.35">
      <c r="D160" s="33" t="str">
        <f>IF(_xll.TM1RPTELISCONSOLIDATED($H$34,$H160),IF(_xll.TM1RPTELLEV($H$34,$H160)&lt;=5,_xll.TM1RPTELLEV($H$34,$H160),"Default"),"Leaf")</f>
        <v>Leaf</v>
      </c>
      <c r="E160" s="42" t="s">
        <v>670</v>
      </c>
      <c r="F160" s="34" t="str">
        <f>_xll.DBR($B$18,$H160,"Account_Type")</f>
        <v>NON LABOR</v>
      </c>
      <c r="G160" s="34" t="str">
        <f>_xll.DBR($B$18,$H160,"Description")</f>
        <v>Corporate Allocation</v>
      </c>
      <c r="H160" s="43" t="s">
        <v>458</v>
      </c>
      <c r="I160" s="36">
        <f>_xll.DBRW($E$12,$F$16,$F$17,$F$18,$E160,$F$20,I$22,$H160,$F$19)</f>
        <v>328991.28999999998</v>
      </c>
      <c r="J160" s="36">
        <f>_xll.DBRW($E$12,$F$16,$F$17,$F$18,$E160,$F$20,J$22,$H160,$F$19)</f>
        <v>314981.28999999998</v>
      </c>
      <c r="K160" s="36">
        <f>_xll.DBRW($E$12,$F$16,$F$17,$F$18,$E160,$F$20,K$22,$H160,$F$19)</f>
        <v>503887.61</v>
      </c>
      <c r="L160" s="36">
        <f>_xll.DBRW($E$12,$F$16,$F$17,$F$18,$E160,$F$20,L$22,$H160,$F$19)</f>
        <v>263839.33</v>
      </c>
      <c r="M160" s="36">
        <f>_xll.DBRW($E$12,$F$16,$F$17,$F$18,$E160,$F$20,M$22,$H160,$F$19)</f>
        <v>298557.43</v>
      </c>
      <c r="N160" s="36">
        <f>_xll.DBRW($E$12,$F$16,$F$17,$F$18,$E160,$F$20,N$22,$H160,$F$19)</f>
        <v>0</v>
      </c>
      <c r="O160" s="36">
        <f>_xll.DBRW($E$12,$F$16,$F$17,$F$18,$E160,$F$20,O$22,$H160,$F$19)</f>
        <v>0</v>
      </c>
      <c r="P160" s="36">
        <f>_xll.DBRW($E$12,$F$16,$F$17,$F$18,$E160,$F$20,P$22,$H160,$F$19)</f>
        <v>0</v>
      </c>
      <c r="Q160" s="36">
        <f>_xll.DBRW($E$12,$F$16,$F$17,$F$18,$E160,$F$20,Q$22,$H160,$F$19)</f>
        <v>0</v>
      </c>
      <c r="R160" s="36">
        <f>_xll.DBRW($E$12,$F$16,$F$17,$F$18,$E160,$F$20,R$22,$H160,$F$19)</f>
        <v>0</v>
      </c>
      <c r="S160" s="36">
        <f>_xll.DBRW($E$12,$F$16,$F$17,$F$18,$E160,$F$20,S$22,$H160,$F$19)</f>
        <v>0</v>
      </c>
      <c r="T160" s="36">
        <f>_xll.DBRW($E$12,$F$16,$F$17,$F$18,$E160,$F$20,T$22,$H160,$F$19)</f>
        <v>0</v>
      </c>
      <c r="U160" s="36">
        <f>_xll.DBRW($E$12,$F$16,$F$17,$F$18,$E160,$F$20,U$22,$H160,$F$19)</f>
        <v>1710256.95</v>
      </c>
    </row>
    <row r="161" spans="4:21" s="37" customFormat="1" ht="15" outlineLevel="1" thickBot="1" x14ac:dyDescent="0.35">
      <c r="D161" s="33" t="str">
        <f>IF(_xll.TM1RPTELISCONSOLIDATED($H$34,$H161),IF(_xll.TM1RPTELLEV($H$34,$H161)&lt;=5,_xll.TM1RPTELLEV($H$34,$H161),"Default"),"Leaf")</f>
        <v>Leaf</v>
      </c>
      <c r="E161" s="42" t="s">
        <v>671</v>
      </c>
      <c r="F161" s="34" t="str">
        <f>_xll.DBR($B$18,$H161,"Account_Type")</f>
        <v>NON LABOR</v>
      </c>
      <c r="G161" s="34" t="str">
        <f>_xll.DBR($B$18,$H161,"Description")</f>
        <v>Advertising &amp; Promotion</v>
      </c>
      <c r="H161" s="43" t="s">
        <v>477</v>
      </c>
      <c r="I161" s="36">
        <f>_xll.DBRW($E$12,$F$16,$F$17,$F$18,$E161,$F$20,I$22,$H161,$F$19)</f>
        <v>0</v>
      </c>
      <c r="J161" s="36">
        <f>_xll.DBRW($E$12,$F$16,$F$17,$F$18,$E161,$F$20,J$22,$H161,$F$19)</f>
        <v>0</v>
      </c>
      <c r="K161" s="36">
        <f>_xll.DBRW($E$12,$F$16,$F$17,$F$18,$E161,$F$20,K$22,$H161,$F$19)</f>
        <v>0</v>
      </c>
      <c r="L161" s="36">
        <f>_xll.DBRW($E$12,$F$16,$F$17,$F$18,$E161,$F$20,L$22,$H161,$F$19)</f>
        <v>0</v>
      </c>
      <c r="M161" s="36">
        <f>_xll.DBRW($E$12,$F$16,$F$17,$F$18,$E161,$F$20,M$22,$H161,$F$19)</f>
        <v>99.01</v>
      </c>
      <c r="N161" s="36">
        <f>_xll.DBRW($E$12,$F$16,$F$17,$F$18,$E161,$F$20,N$22,$H161,$F$19)</f>
        <v>0</v>
      </c>
      <c r="O161" s="36">
        <f>_xll.DBRW($E$12,$F$16,$F$17,$F$18,$E161,$F$20,O$22,$H161,$F$19)</f>
        <v>0</v>
      </c>
      <c r="P161" s="36">
        <f>_xll.DBRW($E$12,$F$16,$F$17,$F$18,$E161,$F$20,P$22,$H161,$F$19)</f>
        <v>0</v>
      </c>
      <c r="Q161" s="36">
        <f>_xll.DBRW($E$12,$F$16,$F$17,$F$18,$E161,$F$20,Q$22,$H161,$F$19)</f>
        <v>0</v>
      </c>
      <c r="R161" s="36">
        <f>_xll.DBRW($E$12,$F$16,$F$17,$F$18,$E161,$F$20,R$22,$H161,$F$19)</f>
        <v>0</v>
      </c>
      <c r="S161" s="36">
        <f>_xll.DBRW($E$12,$F$16,$F$17,$F$18,$E161,$F$20,S$22,$H161,$F$19)</f>
        <v>0</v>
      </c>
      <c r="T161" s="36">
        <f>_xll.DBRW($E$12,$F$16,$F$17,$F$18,$E161,$F$20,T$22,$H161,$F$19)</f>
        <v>0</v>
      </c>
      <c r="U161" s="36">
        <f>_xll.DBRW($E$12,$F$16,$F$17,$F$18,$E161,$F$20,U$22,$H161,$F$19)</f>
        <v>99.01</v>
      </c>
    </row>
    <row r="162" spans="4:21" s="37" customFormat="1" ht="15" outlineLevel="1" thickBot="1" x14ac:dyDescent="0.35">
      <c r="D162" s="33" t="str">
        <f>IF(_xll.TM1RPTELISCONSOLIDATED($H$34,$H162),IF(_xll.TM1RPTELLEV($H$34,$H162)&lt;=5,_xll.TM1RPTELLEV($H$34,$H162),"Default"),"Leaf")</f>
        <v>Leaf</v>
      </c>
      <c r="E162" s="42" t="s">
        <v>671</v>
      </c>
      <c r="F162" s="34" t="str">
        <f>_xll.DBR($B$18,$H162,"Account_Type")</f>
        <v>NON LABOR</v>
      </c>
      <c r="G162" s="34" t="str">
        <f>_xll.DBR($B$18,$H162,"Description")</f>
        <v>Business Meals &amp; Entertainment</v>
      </c>
      <c r="H162" s="43" t="s">
        <v>483</v>
      </c>
      <c r="I162" s="36">
        <f>_xll.DBRW($E$12,$F$16,$F$17,$F$18,$E162,$F$20,I$22,$H162,$F$19)</f>
        <v>0</v>
      </c>
      <c r="J162" s="36">
        <f>_xll.DBRW($E$12,$F$16,$F$17,$F$18,$E162,$F$20,J$22,$H162,$F$19)</f>
        <v>0</v>
      </c>
      <c r="K162" s="36">
        <f>_xll.DBRW($E$12,$F$16,$F$17,$F$18,$E162,$F$20,K$22,$H162,$F$19)</f>
        <v>21.64</v>
      </c>
      <c r="L162" s="36">
        <f>_xll.DBRW($E$12,$F$16,$F$17,$F$18,$E162,$F$20,L$22,$H162,$F$19)</f>
        <v>0</v>
      </c>
      <c r="M162" s="36">
        <f>_xll.DBRW($E$12,$F$16,$F$17,$F$18,$E162,$F$20,M$22,$H162,$F$19)</f>
        <v>67.069999999999993</v>
      </c>
      <c r="N162" s="36">
        <f>_xll.DBRW($E$12,$F$16,$F$17,$F$18,$E162,$F$20,N$22,$H162,$F$19)</f>
        <v>51.96</v>
      </c>
      <c r="O162" s="36">
        <f>_xll.DBRW($E$12,$F$16,$F$17,$F$18,$E162,$F$20,O$22,$H162,$F$19)</f>
        <v>0</v>
      </c>
      <c r="P162" s="36">
        <f>_xll.DBRW($E$12,$F$16,$F$17,$F$18,$E162,$F$20,P$22,$H162,$F$19)</f>
        <v>0</v>
      </c>
      <c r="Q162" s="36">
        <f>_xll.DBRW($E$12,$F$16,$F$17,$F$18,$E162,$F$20,Q$22,$H162,$F$19)</f>
        <v>0</v>
      </c>
      <c r="R162" s="36">
        <f>_xll.DBRW($E$12,$F$16,$F$17,$F$18,$E162,$F$20,R$22,$H162,$F$19)</f>
        <v>0</v>
      </c>
      <c r="S162" s="36">
        <f>_xll.DBRW($E$12,$F$16,$F$17,$F$18,$E162,$F$20,S$22,$H162,$F$19)</f>
        <v>0</v>
      </c>
      <c r="T162" s="36">
        <f>_xll.DBRW($E$12,$F$16,$F$17,$F$18,$E162,$F$20,T$22,$H162,$F$19)</f>
        <v>0</v>
      </c>
      <c r="U162" s="36">
        <f>_xll.DBRW($E$12,$F$16,$F$17,$F$18,$E162,$F$20,U$22,$H162,$F$19)</f>
        <v>140.66999999999999</v>
      </c>
    </row>
    <row r="163" spans="4:21" s="37" customFormat="1" ht="15" outlineLevel="1" thickBot="1" x14ac:dyDescent="0.35">
      <c r="D163" s="33" t="str">
        <f>IF(_xll.TM1RPTELISCONSOLIDATED($H$34,$H163),IF(_xll.TM1RPTELLEV($H$34,$H163)&lt;=5,_xll.TM1RPTELLEV($H$34,$H163),"Default"),"Leaf")</f>
        <v>Leaf</v>
      </c>
      <c r="E163" s="42" t="s">
        <v>671</v>
      </c>
      <c r="F163" s="34" t="str">
        <f>_xll.DBR($B$18,$H163,"Account_Type")</f>
        <v>NON LABOR</v>
      </c>
      <c r="G163" s="34" t="str">
        <f>_xll.DBR($B$18,$H163,"Description")</f>
        <v>Telecommunications / Internet</v>
      </c>
      <c r="H163" s="43" t="s">
        <v>502</v>
      </c>
      <c r="I163" s="36">
        <f>_xll.DBRW($E$12,$F$16,$F$17,$F$18,$E163,$F$20,I$22,$H163,$F$19)</f>
        <v>1403.41</v>
      </c>
      <c r="J163" s="36">
        <f>_xll.DBRW($E$12,$F$16,$F$17,$F$18,$E163,$F$20,J$22,$H163,$F$19)</f>
        <v>1267.3900000000001</v>
      </c>
      <c r="K163" s="36">
        <f>_xll.DBRW($E$12,$F$16,$F$17,$F$18,$E163,$F$20,K$22,$H163,$F$19)</f>
        <v>1322.67</v>
      </c>
      <c r="L163" s="36">
        <f>_xll.DBRW($E$12,$F$16,$F$17,$F$18,$E163,$F$20,L$22,$H163,$F$19)</f>
        <v>1086.69</v>
      </c>
      <c r="M163" s="36">
        <f>_xll.DBRW($E$12,$F$16,$F$17,$F$18,$E163,$F$20,M$22,$H163,$F$19)</f>
        <v>1518.49</v>
      </c>
      <c r="N163" s="36">
        <f>_xll.DBRW($E$12,$F$16,$F$17,$F$18,$E163,$F$20,N$22,$H163,$F$19)</f>
        <v>1563.86</v>
      </c>
      <c r="O163" s="36">
        <f>_xll.DBRW($E$12,$F$16,$F$17,$F$18,$E163,$F$20,O$22,$H163,$F$19)</f>
        <v>-154.82</v>
      </c>
      <c r="P163" s="36">
        <f>_xll.DBRW($E$12,$F$16,$F$17,$F$18,$E163,$F$20,P$22,$H163,$F$19)</f>
        <v>0</v>
      </c>
      <c r="Q163" s="36">
        <f>_xll.DBRW($E$12,$F$16,$F$17,$F$18,$E163,$F$20,Q$22,$H163,$F$19)</f>
        <v>0</v>
      </c>
      <c r="R163" s="36">
        <f>_xll.DBRW($E$12,$F$16,$F$17,$F$18,$E163,$F$20,R$22,$H163,$F$19)</f>
        <v>0</v>
      </c>
      <c r="S163" s="36">
        <f>_xll.DBRW($E$12,$F$16,$F$17,$F$18,$E163,$F$20,S$22,$H163,$F$19)</f>
        <v>0</v>
      </c>
      <c r="T163" s="36">
        <f>_xll.DBRW($E$12,$F$16,$F$17,$F$18,$E163,$F$20,T$22,$H163,$F$19)</f>
        <v>0</v>
      </c>
      <c r="U163" s="36">
        <f>_xll.DBRW($E$12,$F$16,$F$17,$F$18,$E163,$F$20,U$22,$H163,$F$19)</f>
        <v>8007.69</v>
      </c>
    </row>
    <row r="164" spans="4:21" s="37" customFormat="1" ht="15" outlineLevel="1" thickBot="1" x14ac:dyDescent="0.35">
      <c r="D164" s="33" t="str">
        <f>IF(_xll.TM1RPTELISCONSOLIDATED($H$34,$H164),IF(_xll.TM1RPTELLEV($H$34,$H164)&lt;=5,_xll.TM1RPTELLEV($H$34,$H164),"Default"),"Leaf")</f>
        <v>Leaf</v>
      </c>
      <c r="E164" s="42" t="s">
        <v>671</v>
      </c>
      <c r="F164" s="34" t="str">
        <f>_xll.DBR($B$18,$H164,"Account_Type")</f>
        <v>NON LABOR</v>
      </c>
      <c r="G164" s="34" t="str">
        <f>_xll.DBR($B$18,$H164,"Description")</f>
        <v>Telecommunications / Internet</v>
      </c>
      <c r="H164" s="43" t="s">
        <v>513</v>
      </c>
      <c r="I164" s="36">
        <f>_xll.DBRW($E$12,$F$16,$F$17,$F$18,$E164,$F$20,I$22,$H164,$F$19)</f>
        <v>63.9</v>
      </c>
      <c r="J164" s="36">
        <f>_xll.DBRW($E$12,$F$16,$F$17,$F$18,$E164,$F$20,J$22,$H164,$F$19)</f>
        <v>2172.31</v>
      </c>
      <c r="K164" s="36">
        <f>_xll.DBRW($E$12,$F$16,$F$17,$F$18,$E164,$F$20,K$22,$H164,$F$19)</f>
        <v>1207.79</v>
      </c>
      <c r="L164" s="36">
        <f>_xll.DBRW($E$12,$F$16,$F$17,$F$18,$E164,$F$20,L$22,$H164,$F$19)</f>
        <v>1210.06</v>
      </c>
      <c r="M164" s="36">
        <f>_xll.DBRW($E$12,$F$16,$F$17,$F$18,$E164,$F$20,M$22,$H164,$F$19)</f>
        <v>290.64</v>
      </c>
      <c r="N164" s="36">
        <f>_xll.DBRW($E$12,$F$16,$F$17,$F$18,$E164,$F$20,N$22,$H164,$F$19)</f>
        <v>1224.03</v>
      </c>
      <c r="O164" s="36">
        <f>_xll.DBRW($E$12,$F$16,$F$17,$F$18,$E164,$F$20,O$22,$H164,$F$19)</f>
        <v>947.94</v>
      </c>
      <c r="P164" s="36">
        <f>_xll.DBRW($E$12,$F$16,$F$17,$F$18,$E164,$F$20,P$22,$H164,$F$19)</f>
        <v>0</v>
      </c>
      <c r="Q164" s="36">
        <f>_xll.DBRW($E$12,$F$16,$F$17,$F$18,$E164,$F$20,Q$22,$H164,$F$19)</f>
        <v>0</v>
      </c>
      <c r="R164" s="36">
        <f>_xll.DBRW($E$12,$F$16,$F$17,$F$18,$E164,$F$20,R$22,$H164,$F$19)</f>
        <v>0</v>
      </c>
      <c r="S164" s="36">
        <f>_xll.DBRW($E$12,$F$16,$F$17,$F$18,$E164,$F$20,S$22,$H164,$F$19)</f>
        <v>0</v>
      </c>
      <c r="T164" s="36">
        <f>_xll.DBRW($E$12,$F$16,$F$17,$F$18,$E164,$F$20,T$22,$H164,$F$19)</f>
        <v>0</v>
      </c>
      <c r="U164" s="36">
        <f>_xll.DBRW($E$12,$F$16,$F$17,$F$18,$E164,$F$20,U$22,$H164,$F$19)</f>
        <v>7116.67</v>
      </c>
    </row>
    <row r="165" spans="4:21" s="37" customFormat="1" ht="15" outlineLevel="1" thickBot="1" x14ac:dyDescent="0.35">
      <c r="D165" s="33" t="str">
        <f>IF(_xll.TM1RPTELISCONSOLIDATED($H$34,$H165),IF(_xll.TM1RPTELLEV($H$34,$H165)&lt;=5,_xll.TM1RPTELLEV($H$34,$H165),"Default"),"Leaf")</f>
        <v>Leaf</v>
      </c>
      <c r="E165" s="42" t="s">
        <v>671</v>
      </c>
      <c r="F165" s="34" t="str">
        <f>_xll.DBR($B$18,$H165,"Account_Type")</f>
        <v>NON LABOR</v>
      </c>
      <c r="G165" s="34" t="str">
        <f>_xll.DBR($B$18,$H165,"Description")</f>
        <v>Office/Computer Supplies &amp; Eqpt</v>
      </c>
      <c r="H165" s="43" t="s">
        <v>529</v>
      </c>
      <c r="I165" s="36">
        <f>_xll.DBRW($E$12,$F$16,$F$17,$F$18,$E165,$F$20,I$22,$H165,$F$19)</f>
        <v>1536.18</v>
      </c>
      <c r="J165" s="36">
        <f>_xll.DBRW($E$12,$F$16,$F$17,$F$18,$E165,$F$20,J$22,$H165,$F$19)</f>
        <v>220.57</v>
      </c>
      <c r="K165" s="36">
        <f>_xll.DBRW($E$12,$F$16,$F$17,$F$18,$E165,$F$20,K$22,$H165,$F$19)</f>
        <v>835.76</v>
      </c>
      <c r="L165" s="36">
        <f>_xll.DBRW($E$12,$F$16,$F$17,$F$18,$E165,$F$20,L$22,$H165,$F$19)</f>
        <v>728.25</v>
      </c>
      <c r="M165" s="36">
        <f>_xll.DBRW($E$12,$F$16,$F$17,$F$18,$E165,$F$20,M$22,$H165,$F$19)</f>
        <v>1127.33</v>
      </c>
      <c r="N165" s="36">
        <f>_xll.DBRW($E$12,$F$16,$F$17,$F$18,$E165,$F$20,N$22,$H165,$F$19)</f>
        <v>1450.21</v>
      </c>
      <c r="O165" s="36">
        <f>_xll.DBRW($E$12,$F$16,$F$17,$F$18,$E165,$F$20,O$22,$H165,$F$19)</f>
        <v>0</v>
      </c>
      <c r="P165" s="36">
        <f>_xll.DBRW($E$12,$F$16,$F$17,$F$18,$E165,$F$20,P$22,$H165,$F$19)</f>
        <v>0</v>
      </c>
      <c r="Q165" s="36">
        <f>_xll.DBRW($E$12,$F$16,$F$17,$F$18,$E165,$F$20,Q$22,$H165,$F$19)</f>
        <v>0</v>
      </c>
      <c r="R165" s="36">
        <f>_xll.DBRW($E$12,$F$16,$F$17,$F$18,$E165,$F$20,R$22,$H165,$F$19)</f>
        <v>0</v>
      </c>
      <c r="S165" s="36">
        <f>_xll.DBRW($E$12,$F$16,$F$17,$F$18,$E165,$F$20,S$22,$H165,$F$19)</f>
        <v>0</v>
      </c>
      <c r="T165" s="36">
        <f>_xll.DBRW($E$12,$F$16,$F$17,$F$18,$E165,$F$20,T$22,$H165,$F$19)</f>
        <v>0</v>
      </c>
      <c r="U165" s="36">
        <f>_xll.DBRW($E$12,$F$16,$F$17,$F$18,$E165,$F$20,U$22,$H165,$F$19)</f>
        <v>5898.3</v>
      </c>
    </row>
    <row r="166" spans="4:21" s="37" customFormat="1" ht="15" outlineLevel="1" thickBot="1" x14ac:dyDescent="0.35">
      <c r="D166" s="33" t="str">
        <f>IF(_xll.TM1RPTELISCONSOLIDATED($H$34,$H166),IF(_xll.TM1RPTELLEV($H$34,$H166)&lt;=5,_xll.TM1RPTELLEV($H$34,$H166),"Default"),"Leaf")</f>
        <v>Leaf</v>
      </c>
      <c r="E166" s="42" t="s">
        <v>671</v>
      </c>
      <c r="F166" s="34" t="str">
        <f>_xll.DBR($B$18,$H166,"Account_Type")</f>
        <v>NON LABOR</v>
      </c>
      <c r="G166" s="34" t="str">
        <f>_xll.DBR($B$18,$H166,"Description")</f>
        <v>Office/Computer Supplies &amp; Eqpt</v>
      </c>
      <c r="H166" s="43" t="s">
        <v>541</v>
      </c>
      <c r="I166" s="36">
        <f>_xll.DBRW($E$12,$F$16,$F$17,$F$18,$E166,$F$20,I$22,$H166,$F$19)</f>
        <v>191.7</v>
      </c>
      <c r="J166" s="36">
        <f>_xll.DBRW($E$12,$F$16,$F$17,$F$18,$E166,$F$20,J$22,$H166,$F$19)</f>
        <v>286.38</v>
      </c>
      <c r="K166" s="36">
        <f>_xll.DBRW($E$12,$F$16,$F$17,$F$18,$E166,$F$20,K$22,$H166,$F$19)</f>
        <v>0</v>
      </c>
      <c r="L166" s="36">
        <f>_xll.DBRW($E$12,$F$16,$F$17,$F$18,$E166,$F$20,L$22,$H166,$F$19)</f>
        <v>0</v>
      </c>
      <c r="M166" s="36">
        <f>_xll.DBRW($E$12,$F$16,$F$17,$F$18,$E166,$F$20,M$22,$H166,$F$19)</f>
        <v>0</v>
      </c>
      <c r="N166" s="36">
        <f>_xll.DBRW($E$12,$F$16,$F$17,$F$18,$E166,$F$20,N$22,$H166,$F$19)</f>
        <v>0</v>
      </c>
      <c r="O166" s="36">
        <f>_xll.DBRW($E$12,$F$16,$F$17,$F$18,$E166,$F$20,O$22,$H166,$F$19)</f>
        <v>0</v>
      </c>
      <c r="P166" s="36">
        <f>_xll.DBRW($E$12,$F$16,$F$17,$F$18,$E166,$F$20,P$22,$H166,$F$19)</f>
        <v>0</v>
      </c>
      <c r="Q166" s="36">
        <f>_xll.DBRW($E$12,$F$16,$F$17,$F$18,$E166,$F$20,Q$22,$H166,$F$19)</f>
        <v>0</v>
      </c>
      <c r="R166" s="36">
        <f>_xll.DBRW($E$12,$F$16,$F$17,$F$18,$E166,$F$20,R$22,$H166,$F$19)</f>
        <v>0</v>
      </c>
      <c r="S166" s="36">
        <f>_xll.DBRW($E$12,$F$16,$F$17,$F$18,$E166,$F$20,S$22,$H166,$F$19)</f>
        <v>0</v>
      </c>
      <c r="T166" s="36">
        <f>_xll.DBRW($E$12,$F$16,$F$17,$F$18,$E166,$F$20,T$22,$H166,$F$19)</f>
        <v>0</v>
      </c>
      <c r="U166" s="36">
        <f>_xll.DBRW($E$12,$F$16,$F$17,$F$18,$E166,$F$20,U$22,$H166,$F$19)</f>
        <v>478.08</v>
      </c>
    </row>
    <row r="167" spans="4:21" s="37" customFormat="1" ht="15" outlineLevel="1" thickBot="1" x14ac:dyDescent="0.35">
      <c r="D167" s="33" t="str">
        <f>IF(_xll.TM1RPTELISCONSOLIDATED($H$34,$H167),IF(_xll.TM1RPTELLEV($H$34,$H167)&lt;=5,_xll.TM1RPTELLEV($H$34,$H167),"Default"),"Leaf")</f>
        <v>Leaf</v>
      </c>
      <c r="E167" s="42" t="s">
        <v>671</v>
      </c>
      <c r="F167" s="34" t="str">
        <f>_xll.DBR($B$18,$H167,"Account_Type")</f>
        <v>NON LABOR</v>
      </c>
      <c r="G167" s="34" t="str">
        <f>_xll.DBR($B$18,$H167,"Description")</f>
        <v>Office/Computer Supplies &amp; Eqpt</v>
      </c>
      <c r="H167" s="43" t="s">
        <v>544</v>
      </c>
      <c r="I167" s="36">
        <f>_xll.DBRW($E$12,$F$16,$F$17,$F$18,$E167,$F$20,I$22,$H167,$F$19)</f>
        <v>497.23</v>
      </c>
      <c r="J167" s="36">
        <f>_xll.DBRW($E$12,$F$16,$F$17,$F$18,$E167,$F$20,J$22,$H167,$F$19)</f>
        <v>132.51</v>
      </c>
      <c r="K167" s="36">
        <f>_xll.DBRW($E$12,$F$16,$F$17,$F$18,$E167,$F$20,K$22,$H167,$F$19)</f>
        <v>132.51</v>
      </c>
      <c r="L167" s="36">
        <f>_xll.DBRW($E$12,$F$16,$F$17,$F$18,$E167,$F$20,L$22,$H167,$F$19)</f>
        <v>132.51</v>
      </c>
      <c r="M167" s="36">
        <f>_xll.DBRW($E$12,$F$16,$F$17,$F$18,$E167,$F$20,M$22,$H167,$F$19)</f>
        <v>132.51</v>
      </c>
      <c r="N167" s="36">
        <f>_xll.DBRW($E$12,$F$16,$F$17,$F$18,$E167,$F$20,N$22,$H167,$F$19)</f>
        <v>0</v>
      </c>
      <c r="O167" s="36">
        <f>_xll.DBRW($E$12,$F$16,$F$17,$F$18,$E167,$F$20,O$22,$H167,$F$19)</f>
        <v>0</v>
      </c>
      <c r="P167" s="36">
        <f>_xll.DBRW($E$12,$F$16,$F$17,$F$18,$E167,$F$20,P$22,$H167,$F$19)</f>
        <v>0</v>
      </c>
      <c r="Q167" s="36">
        <f>_xll.DBRW($E$12,$F$16,$F$17,$F$18,$E167,$F$20,Q$22,$H167,$F$19)</f>
        <v>0</v>
      </c>
      <c r="R167" s="36">
        <f>_xll.DBRW($E$12,$F$16,$F$17,$F$18,$E167,$F$20,R$22,$H167,$F$19)</f>
        <v>0</v>
      </c>
      <c r="S167" s="36">
        <f>_xll.DBRW($E$12,$F$16,$F$17,$F$18,$E167,$F$20,S$22,$H167,$F$19)</f>
        <v>0</v>
      </c>
      <c r="T167" s="36">
        <f>_xll.DBRW($E$12,$F$16,$F$17,$F$18,$E167,$F$20,T$22,$H167,$F$19)</f>
        <v>0</v>
      </c>
      <c r="U167" s="36">
        <f>_xll.DBRW($E$12,$F$16,$F$17,$F$18,$E167,$F$20,U$22,$H167,$F$19)</f>
        <v>1027.27</v>
      </c>
    </row>
    <row r="168" spans="4:21" s="37" customFormat="1" ht="15" outlineLevel="1" thickBot="1" x14ac:dyDescent="0.35">
      <c r="D168" s="33" t="str">
        <f>IF(_xll.TM1RPTELISCONSOLIDATED($H$34,$H168),IF(_xll.TM1RPTELLEV($H$34,$H168)&lt;=5,_xll.TM1RPTELLEV($H$34,$H168),"Default"),"Leaf")</f>
        <v>Leaf</v>
      </c>
      <c r="E168" s="42" t="s">
        <v>671</v>
      </c>
      <c r="F168" s="34" t="str">
        <f>_xll.DBR($B$18,$H168,"Account_Type")</f>
        <v>NON LABOR</v>
      </c>
      <c r="G168" s="34" t="str">
        <f>_xll.DBR($B$18,$H168,"Description")</f>
        <v>Postage &amp; Courier Fees</v>
      </c>
      <c r="H168" s="43" t="s">
        <v>548</v>
      </c>
      <c r="I168" s="36">
        <f>_xll.DBRW($E$12,$F$16,$F$17,$F$18,$E168,$F$20,I$22,$H168,$F$19)</f>
        <v>0</v>
      </c>
      <c r="J168" s="36">
        <f>_xll.DBRW($E$12,$F$16,$F$17,$F$18,$E168,$F$20,J$22,$H168,$F$19)</f>
        <v>0</v>
      </c>
      <c r="K168" s="36">
        <f>_xll.DBRW($E$12,$F$16,$F$17,$F$18,$E168,$F$20,K$22,$H168,$F$19)</f>
        <v>0</v>
      </c>
      <c r="L168" s="36">
        <f>_xll.DBRW($E$12,$F$16,$F$17,$F$18,$E168,$F$20,L$22,$H168,$F$19)</f>
        <v>27.5</v>
      </c>
      <c r="M168" s="36">
        <f>_xll.DBRW($E$12,$F$16,$F$17,$F$18,$E168,$F$20,M$22,$H168,$F$19)</f>
        <v>20.059999999999999</v>
      </c>
      <c r="N168" s="36">
        <f>_xll.DBRW($E$12,$F$16,$F$17,$F$18,$E168,$F$20,N$22,$H168,$F$19)</f>
        <v>0</v>
      </c>
      <c r="O168" s="36">
        <f>_xll.DBRW($E$12,$F$16,$F$17,$F$18,$E168,$F$20,O$22,$H168,$F$19)</f>
        <v>0</v>
      </c>
      <c r="P168" s="36">
        <f>_xll.DBRW($E$12,$F$16,$F$17,$F$18,$E168,$F$20,P$22,$H168,$F$19)</f>
        <v>0</v>
      </c>
      <c r="Q168" s="36">
        <f>_xll.DBRW($E$12,$F$16,$F$17,$F$18,$E168,$F$20,Q$22,$H168,$F$19)</f>
        <v>0</v>
      </c>
      <c r="R168" s="36">
        <f>_xll.DBRW($E$12,$F$16,$F$17,$F$18,$E168,$F$20,R$22,$H168,$F$19)</f>
        <v>0</v>
      </c>
      <c r="S168" s="36">
        <f>_xll.DBRW($E$12,$F$16,$F$17,$F$18,$E168,$F$20,S$22,$H168,$F$19)</f>
        <v>0</v>
      </c>
      <c r="T168" s="36">
        <f>_xll.DBRW($E$12,$F$16,$F$17,$F$18,$E168,$F$20,T$22,$H168,$F$19)</f>
        <v>0</v>
      </c>
      <c r="U168" s="36">
        <f>_xll.DBRW($E$12,$F$16,$F$17,$F$18,$E168,$F$20,U$22,$H168,$F$19)</f>
        <v>47.56</v>
      </c>
    </row>
    <row r="169" spans="4:21" s="37" customFormat="1" ht="15" outlineLevel="1" thickBot="1" x14ac:dyDescent="0.35">
      <c r="D169" s="33" t="str">
        <f>IF(_xll.TM1RPTELISCONSOLIDATED($H$34,$H169),IF(_xll.TM1RPTELLEV($H$34,$H169)&lt;=5,_xll.TM1RPTELLEV($H$34,$H169),"Default"),"Leaf")</f>
        <v>Leaf</v>
      </c>
      <c r="E169" s="42" t="s">
        <v>671</v>
      </c>
      <c r="F169" s="34" t="str">
        <f>_xll.DBR($B$18,$H169,"Account_Type")</f>
        <v>NON LABOR</v>
      </c>
      <c r="G169" s="34" t="str">
        <f>_xll.DBR($B$18,$H169,"Description")</f>
        <v>Postage &amp; Courier Fees</v>
      </c>
      <c r="H169" s="43" t="s">
        <v>555</v>
      </c>
      <c r="I169" s="36">
        <f>_xll.DBRW($E$12,$F$16,$F$17,$F$18,$E169,$F$20,I$22,$H169,$F$19)</f>
        <v>0</v>
      </c>
      <c r="J169" s="36">
        <f>_xll.DBRW($E$12,$F$16,$F$17,$F$18,$E169,$F$20,J$22,$H169,$F$19)</f>
        <v>0</v>
      </c>
      <c r="K169" s="36">
        <f>_xll.DBRW($E$12,$F$16,$F$17,$F$18,$E169,$F$20,K$22,$H169,$F$19)</f>
        <v>0</v>
      </c>
      <c r="L169" s="36">
        <f>_xll.DBRW($E$12,$F$16,$F$17,$F$18,$E169,$F$20,L$22,$H169,$F$19)</f>
        <v>47.39</v>
      </c>
      <c r="M169" s="36">
        <f>_xll.DBRW($E$12,$F$16,$F$17,$F$18,$E169,$F$20,M$22,$H169,$F$19)</f>
        <v>0</v>
      </c>
      <c r="N169" s="36">
        <f>_xll.DBRW($E$12,$F$16,$F$17,$F$18,$E169,$F$20,N$22,$H169,$F$19)</f>
        <v>0</v>
      </c>
      <c r="O169" s="36">
        <f>_xll.DBRW($E$12,$F$16,$F$17,$F$18,$E169,$F$20,O$22,$H169,$F$19)</f>
        <v>0</v>
      </c>
      <c r="P169" s="36">
        <f>_xll.DBRW($E$12,$F$16,$F$17,$F$18,$E169,$F$20,P$22,$H169,$F$19)</f>
        <v>0</v>
      </c>
      <c r="Q169" s="36">
        <f>_xll.DBRW($E$12,$F$16,$F$17,$F$18,$E169,$F$20,Q$22,$H169,$F$19)</f>
        <v>0</v>
      </c>
      <c r="R169" s="36">
        <f>_xll.DBRW($E$12,$F$16,$F$17,$F$18,$E169,$F$20,R$22,$H169,$F$19)</f>
        <v>0</v>
      </c>
      <c r="S169" s="36">
        <f>_xll.DBRW($E$12,$F$16,$F$17,$F$18,$E169,$F$20,S$22,$H169,$F$19)</f>
        <v>0</v>
      </c>
      <c r="T169" s="36">
        <f>_xll.DBRW($E$12,$F$16,$F$17,$F$18,$E169,$F$20,T$22,$H169,$F$19)</f>
        <v>0</v>
      </c>
      <c r="U169" s="36">
        <f>_xll.DBRW($E$12,$F$16,$F$17,$F$18,$E169,$F$20,U$22,$H169,$F$19)</f>
        <v>47.39</v>
      </c>
    </row>
    <row r="170" spans="4:21" s="37" customFormat="1" ht="15" outlineLevel="1" thickBot="1" x14ac:dyDescent="0.35">
      <c r="D170" s="33" t="str">
        <f>IF(_xll.TM1RPTELISCONSOLIDATED($H$34,$H170),IF(_xll.TM1RPTELLEV($H$34,$H170)&lt;=5,_xll.TM1RPTELLEV($H$34,$H170),"Default"),"Leaf")</f>
        <v>Leaf</v>
      </c>
      <c r="E170" s="42" t="s">
        <v>671</v>
      </c>
      <c r="F170" s="34" t="str">
        <f>_xll.DBR($B$18,$H170,"Account_Type")</f>
        <v>NON LABOR</v>
      </c>
      <c r="G170" s="34" t="str">
        <f>_xll.DBR($B$18,$H170,"Description")</f>
        <v>Printing &amp; Reproduction</v>
      </c>
      <c r="H170" s="43" t="s">
        <v>560</v>
      </c>
      <c r="I170" s="36">
        <f>_xll.DBRW($E$12,$F$16,$F$17,$F$18,$E170,$F$20,I$22,$H170,$F$19)</f>
        <v>90.96</v>
      </c>
      <c r="J170" s="36">
        <f>_xll.DBRW($E$12,$F$16,$F$17,$F$18,$E170,$F$20,J$22,$H170,$F$19)</f>
        <v>0</v>
      </c>
      <c r="K170" s="36">
        <f>_xll.DBRW($E$12,$F$16,$F$17,$F$18,$E170,$F$20,K$22,$H170,$F$19)</f>
        <v>0</v>
      </c>
      <c r="L170" s="36">
        <f>_xll.DBRW($E$12,$F$16,$F$17,$F$18,$E170,$F$20,L$22,$H170,$F$19)</f>
        <v>0</v>
      </c>
      <c r="M170" s="36">
        <f>_xll.DBRW($E$12,$F$16,$F$17,$F$18,$E170,$F$20,M$22,$H170,$F$19)</f>
        <v>0</v>
      </c>
      <c r="N170" s="36">
        <f>_xll.DBRW($E$12,$F$16,$F$17,$F$18,$E170,$F$20,N$22,$H170,$F$19)</f>
        <v>84.34</v>
      </c>
      <c r="O170" s="36">
        <f>_xll.DBRW($E$12,$F$16,$F$17,$F$18,$E170,$F$20,O$22,$H170,$F$19)</f>
        <v>0</v>
      </c>
      <c r="P170" s="36">
        <f>_xll.DBRW($E$12,$F$16,$F$17,$F$18,$E170,$F$20,P$22,$H170,$F$19)</f>
        <v>0</v>
      </c>
      <c r="Q170" s="36">
        <f>_xll.DBRW($E$12,$F$16,$F$17,$F$18,$E170,$F$20,Q$22,$H170,$F$19)</f>
        <v>0</v>
      </c>
      <c r="R170" s="36">
        <f>_xll.DBRW($E$12,$F$16,$F$17,$F$18,$E170,$F$20,R$22,$H170,$F$19)</f>
        <v>0</v>
      </c>
      <c r="S170" s="36">
        <f>_xll.DBRW($E$12,$F$16,$F$17,$F$18,$E170,$F$20,S$22,$H170,$F$19)</f>
        <v>0</v>
      </c>
      <c r="T170" s="36">
        <f>_xll.DBRW($E$12,$F$16,$F$17,$F$18,$E170,$F$20,T$22,$H170,$F$19)</f>
        <v>0</v>
      </c>
      <c r="U170" s="36">
        <f>_xll.DBRW($E$12,$F$16,$F$17,$F$18,$E170,$F$20,U$22,$H170,$F$19)</f>
        <v>175.3</v>
      </c>
    </row>
    <row r="171" spans="4:21" s="37" customFormat="1" ht="15" outlineLevel="1" thickBot="1" x14ac:dyDescent="0.35">
      <c r="D171" s="33" t="str">
        <f>IF(_xll.TM1RPTELISCONSOLIDATED($H$34,$H171),IF(_xll.TM1RPTELLEV($H$34,$H171)&lt;=5,_xll.TM1RPTELLEV($H$34,$H171),"Default"),"Leaf")</f>
        <v>Leaf</v>
      </c>
      <c r="E171" s="42" t="s">
        <v>671</v>
      </c>
      <c r="F171" s="34" t="str">
        <f>_xll.DBR($B$18,$H171,"Account_Type")</f>
        <v>NON LABOR</v>
      </c>
      <c r="G171" s="34" t="str">
        <f>_xll.DBR($B$18,$H171,"Description")</f>
        <v>Education/Training/Dues/Subscriptions</v>
      </c>
      <c r="H171" s="43" t="s">
        <v>568</v>
      </c>
      <c r="I171" s="36">
        <f>_xll.DBRW($E$12,$F$16,$F$17,$F$18,$E171,$F$20,I$22,$H171,$F$19)</f>
        <v>273.93</v>
      </c>
      <c r="J171" s="36">
        <f>_xll.DBRW($E$12,$F$16,$F$17,$F$18,$E171,$F$20,J$22,$H171,$F$19)</f>
        <v>0</v>
      </c>
      <c r="K171" s="36">
        <f>_xll.DBRW($E$12,$F$16,$F$17,$F$18,$E171,$F$20,K$22,$H171,$F$19)</f>
        <v>0</v>
      </c>
      <c r="L171" s="36">
        <f>_xll.DBRW($E$12,$F$16,$F$17,$F$18,$E171,$F$20,L$22,$H171,$F$19)</f>
        <v>0</v>
      </c>
      <c r="M171" s="36">
        <f>_xll.DBRW($E$12,$F$16,$F$17,$F$18,$E171,$F$20,M$22,$H171,$F$19)</f>
        <v>0</v>
      </c>
      <c r="N171" s="36">
        <f>_xll.DBRW($E$12,$F$16,$F$17,$F$18,$E171,$F$20,N$22,$H171,$F$19)</f>
        <v>0</v>
      </c>
      <c r="O171" s="36">
        <f>_xll.DBRW($E$12,$F$16,$F$17,$F$18,$E171,$F$20,O$22,$H171,$F$19)</f>
        <v>0</v>
      </c>
      <c r="P171" s="36">
        <f>_xll.DBRW($E$12,$F$16,$F$17,$F$18,$E171,$F$20,P$22,$H171,$F$19)</f>
        <v>0</v>
      </c>
      <c r="Q171" s="36">
        <f>_xll.DBRW($E$12,$F$16,$F$17,$F$18,$E171,$F$20,Q$22,$H171,$F$19)</f>
        <v>0</v>
      </c>
      <c r="R171" s="36">
        <f>_xll.DBRW($E$12,$F$16,$F$17,$F$18,$E171,$F$20,R$22,$H171,$F$19)</f>
        <v>0</v>
      </c>
      <c r="S171" s="36">
        <f>_xll.DBRW($E$12,$F$16,$F$17,$F$18,$E171,$F$20,S$22,$H171,$F$19)</f>
        <v>0</v>
      </c>
      <c r="T171" s="36">
        <f>_xll.DBRW($E$12,$F$16,$F$17,$F$18,$E171,$F$20,T$22,$H171,$F$19)</f>
        <v>0</v>
      </c>
      <c r="U171" s="36">
        <f>_xll.DBRW($E$12,$F$16,$F$17,$F$18,$E171,$F$20,U$22,$H171,$F$19)</f>
        <v>273.93</v>
      </c>
    </row>
    <row r="172" spans="4:21" s="37" customFormat="1" ht="15" outlineLevel="1" thickBot="1" x14ac:dyDescent="0.35">
      <c r="D172" s="33" t="str">
        <f>IF(_xll.TM1RPTELISCONSOLIDATED($H$34,$H172),IF(_xll.TM1RPTELLEV($H$34,$H172)&lt;=5,_xll.TM1RPTELLEV($H$34,$H172),"Default"),"Leaf")</f>
        <v>Leaf</v>
      </c>
      <c r="E172" s="42" t="s">
        <v>671</v>
      </c>
      <c r="F172" s="34" t="str">
        <f>_xll.DBR($B$18,$H172,"Account_Type")</f>
        <v>NON LABOR</v>
      </c>
      <c r="G172" s="34" t="str">
        <f>_xll.DBR($B$18,$H172,"Description")</f>
        <v>Temporary Service/Recruiting/Relocation</v>
      </c>
      <c r="H172" s="43" t="s">
        <v>578</v>
      </c>
      <c r="I172" s="36">
        <f>_xll.DBRW($E$12,$F$16,$F$17,$F$18,$E172,$F$20,I$22,$H172,$F$19)</f>
        <v>288.95</v>
      </c>
      <c r="J172" s="36">
        <f>_xll.DBRW($E$12,$F$16,$F$17,$F$18,$E172,$F$20,J$22,$H172,$F$19)</f>
        <v>0</v>
      </c>
      <c r="K172" s="36">
        <f>_xll.DBRW($E$12,$F$16,$F$17,$F$18,$E172,$F$20,K$22,$H172,$F$19)</f>
        <v>0</v>
      </c>
      <c r="L172" s="36">
        <f>_xll.DBRW($E$12,$F$16,$F$17,$F$18,$E172,$F$20,L$22,$H172,$F$19)</f>
        <v>208.94</v>
      </c>
      <c r="M172" s="36">
        <f>_xll.DBRW($E$12,$F$16,$F$17,$F$18,$E172,$F$20,M$22,$H172,$F$19)</f>
        <v>360.73</v>
      </c>
      <c r="N172" s="36">
        <f>_xll.DBRW($E$12,$F$16,$F$17,$F$18,$E172,$F$20,N$22,$H172,$F$19)</f>
        <v>53.88</v>
      </c>
      <c r="O172" s="36">
        <f>_xll.DBRW($E$12,$F$16,$F$17,$F$18,$E172,$F$20,O$22,$H172,$F$19)</f>
        <v>0</v>
      </c>
      <c r="P172" s="36">
        <f>_xll.DBRW($E$12,$F$16,$F$17,$F$18,$E172,$F$20,P$22,$H172,$F$19)</f>
        <v>0</v>
      </c>
      <c r="Q172" s="36">
        <f>_xll.DBRW($E$12,$F$16,$F$17,$F$18,$E172,$F$20,Q$22,$H172,$F$19)</f>
        <v>0</v>
      </c>
      <c r="R172" s="36">
        <f>_xll.DBRW($E$12,$F$16,$F$17,$F$18,$E172,$F$20,R$22,$H172,$F$19)</f>
        <v>0</v>
      </c>
      <c r="S172" s="36">
        <f>_xll.DBRW($E$12,$F$16,$F$17,$F$18,$E172,$F$20,S$22,$H172,$F$19)</f>
        <v>0</v>
      </c>
      <c r="T172" s="36">
        <f>_xll.DBRW($E$12,$F$16,$F$17,$F$18,$E172,$F$20,T$22,$H172,$F$19)</f>
        <v>0</v>
      </c>
      <c r="U172" s="36">
        <f>_xll.DBRW($E$12,$F$16,$F$17,$F$18,$E172,$F$20,U$22,$H172,$F$19)</f>
        <v>912.5</v>
      </c>
    </row>
    <row r="173" spans="4:21" s="37" customFormat="1" ht="15" outlineLevel="1" thickBot="1" x14ac:dyDescent="0.35">
      <c r="D173" s="33" t="str">
        <f>IF(_xll.TM1RPTELISCONSOLIDATED($H$34,$H173),IF(_xll.TM1RPTELLEV($H$34,$H173)&lt;=5,_xll.TM1RPTELLEV($H$34,$H173),"Default"),"Leaf")</f>
        <v>Leaf</v>
      </c>
      <c r="E173" s="42" t="s">
        <v>671</v>
      </c>
      <c r="F173" s="34" t="str">
        <f>_xll.DBR($B$18,$H173,"Account_Type")</f>
        <v>NON LABOR</v>
      </c>
      <c r="G173" s="34" t="str">
        <f>_xll.DBR($B$18,$H173,"Description")</f>
        <v>Office Rent</v>
      </c>
      <c r="H173" s="43" t="s">
        <v>581</v>
      </c>
      <c r="I173" s="36">
        <f>_xll.DBRW($E$12,$F$16,$F$17,$F$18,$E173,$F$20,I$22,$H173,$F$19)</f>
        <v>0</v>
      </c>
      <c r="J173" s="36">
        <f>_xll.DBRW($E$12,$F$16,$F$17,$F$18,$E173,$F$20,J$22,$H173,$F$19)</f>
        <v>0</v>
      </c>
      <c r="K173" s="36">
        <f>_xll.DBRW($E$12,$F$16,$F$17,$F$18,$E173,$F$20,K$22,$H173,$F$19)</f>
        <v>0</v>
      </c>
      <c r="L173" s="36">
        <f>_xll.DBRW($E$12,$F$16,$F$17,$F$18,$E173,$F$20,L$22,$H173,$F$19)</f>
        <v>0</v>
      </c>
      <c r="M173" s="36">
        <f>_xll.DBRW($E$12,$F$16,$F$17,$F$18,$E173,$F$20,M$22,$H173,$F$19)</f>
        <v>13961.99</v>
      </c>
      <c r="N173" s="36">
        <f>_xll.DBRW($E$12,$F$16,$F$17,$F$18,$E173,$F$20,N$22,$H173,$F$19)</f>
        <v>19052</v>
      </c>
      <c r="O173" s="36">
        <f>_xll.DBRW($E$12,$F$16,$F$17,$F$18,$E173,$F$20,O$22,$H173,$F$19)</f>
        <v>0</v>
      </c>
      <c r="P173" s="36">
        <f>_xll.DBRW($E$12,$F$16,$F$17,$F$18,$E173,$F$20,P$22,$H173,$F$19)</f>
        <v>2992.85</v>
      </c>
      <c r="Q173" s="36">
        <f>_xll.DBRW($E$12,$F$16,$F$17,$F$18,$E173,$F$20,Q$22,$H173,$F$19)</f>
        <v>0</v>
      </c>
      <c r="R173" s="36">
        <f>_xll.DBRW($E$12,$F$16,$F$17,$F$18,$E173,$F$20,R$22,$H173,$F$19)</f>
        <v>0</v>
      </c>
      <c r="S173" s="36">
        <f>_xll.DBRW($E$12,$F$16,$F$17,$F$18,$E173,$F$20,S$22,$H173,$F$19)</f>
        <v>0</v>
      </c>
      <c r="T173" s="36">
        <f>_xll.DBRW($E$12,$F$16,$F$17,$F$18,$E173,$F$20,T$22,$H173,$F$19)</f>
        <v>0</v>
      </c>
      <c r="U173" s="36">
        <f>_xll.DBRW($E$12,$F$16,$F$17,$F$18,$E173,$F$20,U$22,$H173,$F$19)</f>
        <v>36006.839999999997</v>
      </c>
    </row>
    <row r="174" spans="4:21" s="37" customFormat="1" ht="15" outlineLevel="1" thickBot="1" x14ac:dyDescent="0.35">
      <c r="D174" s="33" t="str">
        <f>IF(_xll.TM1RPTELISCONSOLIDATED($H$34,$H174),IF(_xll.TM1RPTELLEV($H$34,$H174)&lt;=5,_xll.TM1RPTELLEV($H$34,$H174),"Default"),"Leaf")</f>
        <v>Leaf</v>
      </c>
      <c r="E174" s="42" t="s">
        <v>671</v>
      </c>
      <c r="F174" s="34" t="str">
        <f>_xll.DBR($B$18,$H174,"Account_Type")</f>
        <v>NON LABOR</v>
      </c>
      <c r="G174" s="34" t="str">
        <f>_xll.DBR($B$18,$H174,"Description")</f>
        <v>Office Rent</v>
      </c>
      <c r="H174" s="43" t="s">
        <v>583</v>
      </c>
      <c r="I174" s="36">
        <f>_xll.DBRW($E$12,$F$16,$F$17,$F$18,$E174,$F$20,I$22,$H174,$F$19)</f>
        <v>4216.62</v>
      </c>
      <c r="J174" s="36">
        <f>_xll.DBRW($E$12,$F$16,$F$17,$F$18,$E174,$F$20,J$22,$H174,$F$19)</f>
        <v>4216.62</v>
      </c>
      <c r="K174" s="36">
        <f>_xll.DBRW($E$12,$F$16,$F$17,$F$18,$E174,$F$20,K$22,$H174,$F$19)</f>
        <v>4216.62</v>
      </c>
      <c r="L174" s="36">
        <f>_xll.DBRW($E$12,$F$16,$F$17,$F$18,$E174,$F$20,L$22,$H174,$F$19)</f>
        <v>4216.62</v>
      </c>
      <c r="M174" s="36">
        <f>_xll.DBRW($E$12,$F$16,$F$17,$F$18,$E174,$F$20,M$22,$H174,$F$19)</f>
        <v>4216.62</v>
      </c>
      <c r="N174" s="36">
        <f>_xll.DBRW($E$12,$F$16,$F$17,$F$18,$E174,$F$20,N$22,$H174,$F$19)</f>
        <v>4216.62</v>
      </c>
      <c r="O174" s="36">
        <f>_xll.DBRW($E$12,$F$16,$F$17,$F$18,$E174,$F$20,O$22,$H174,$F$19)</f>
        <v>0</v>
      </c>
      <c r="P174" s="36">
        <f>_xll.DBRW($E$12,$F$16,$F$17,$F$18,$E174,$F$20,P$22,$H174,$F$19)</f>
        <v>0</v>
      </c>
      <c r="Q174" s="36">
        <f>_xll.DBRW($E$12,$F$16,$F$17,$F$18,$E174,$F$20,Q$22,$H174,$F$19)</f>
        <v>0</v>
      </c>
      <c r="R174" s="36">
        <f>_xll.DBRW($E$12,$F$16,$F$17,$F$18,$E174,$F$20,R$22,$H174,$F$19)</f>
        <v>0</v>
      </c>
      <c r="S174" s="36">
        <f>_xll.DBRW($E$12,$F$16,$F$17,$F$18,$E174,$F$20,S$22,$H174,$F$19)</f>
        <v>0</v>
      </c>
      <c r="T174" s="36">
        <f>_xll.DBRW($E$12,$F$16,$F$17,$F$18,$E174,$F$20,T$22,$H174,$F$19)</f>
        <v>0</v>
      </c>
      <c r="U174" s="36">
        <f>_xll.DBRW($E$12,$F$16,$F$17,$F$18,$E174,$F$20,U$22,$H174,$F$19)</f>
        <v>25299.719999999998</v>
      </c>
    </row>
    <row r="175" spans="4:21" s="37" customFormat="1" ht="15" outlineLevel="1" thickBot="1" x14ac:dyDescent="0.35">
      <c r="D175" s="33" t="str">
        <f>IF(_xll.TM1RPTELISCONSOLIDATED($H$34,$H175),IF(_xll.TM1RPTELLEV($H$34,$H175)&lt;=5,_xll.TM1RPTELLEV($H$34,$H175),"Default"),"Leaf")</f>
        <v>Leaf</v>
      </c>
      <c r="E175" s="42" t="s">
        <v>671</v>
      </c>
      <c r="F175" s="34" t="str">
        <f>_xll.DBR($B$18,$H175,"Account_Type")</f>
        <v>NON LABOR</v>
      </c>
      <c r="G175" s="34" t="str">
        <f>_xll.DBR($B$18,$H175,"Description")</f>
        <v>Utilities</v>
      </c>
      <c r="H175" s="43" t="s">
        <v>584</v>
      </c>
      <c r="I175" s="36">
        <f>_xll.DBRW($E$12,$F$16,$F$17,$F$18,$E175,$F$20,I$22,$H175,$F$19)</f>
        <v>879.87</v>
      </c>
      <c r="J175" s="36">
        <f>_xll.DBRW($E$12,$F$16,$F$17,$F$18,$E175,$F$20,J$22,$H175,$F$19)</f>
        <v>27.55</v>
      </c>
      <c r="K175" s="36">
        <f>_xll.DBRW($E$12,$F$16,$F$17,$F$18,$E175,$F$20,K$22,$H175,$F$19)</f>
        <v>1039.55</v>
      </c>
      <c r="L175" s="36">
        <f>_xll.DBRW($E$12,$F$16,$F$17,$F$18,$E175,$F$20,L$22,$H175,$F$19)</f>
        <v>1639.98</v>
      </c>
      <c r="M175" s="36">
        <f>_xll.DBRW($E$12,$F$16,$F$17,$F$18,$E175,$F$20,M$22,$H175,$F$19)</f>
        <v>38.39</v>
      </c>
      <c r="N175" s="36">
        <f>_xll.DBRW($E$12,$F$16,$F$17,$F$18,$E175,$F$20,N$22,$H175,$F$19)</f>
        <v>1727.29</v>
      </c>
      <c r="O175" s="36">
        <f>_xll.DBRW($E$12,$F$16,$F$17,$F$18,$E175,$F$20,O$22,$H175,$F$19)</f>
        <v>0</v>
      </c>
      <c r="P175" s="36">
        <f>_xll.DBRW($E$12,$F$16,$F$17,$F$18,$E175,$F$20,P$22,$H175,$F$19)</f>
        <v>0</v>
      </c>
      <c r="Q175" s="36">
        <f>_xll.DBRW($E$12,$F$16,$F$17,$F$18,$E175,$F$20,Q$22,$H175,$F$19)</f>
        <v>0</v>
      </c>
      <c r="R175" s="36">
        <f>_xll.DBRW($E$12,$F$16,$F$17,$F$18,$E175,$F$20,R$22,$H175,$F$19)</f>
        <v>0</v>
      </c>
      <c r="S175" s="36">
        <f>_xll.DBRW($E$12,$F$16,$F$17,$F$18,$E175,$F$20,S$22,$H175,$F$19)</f>
        <v>0</v>
      </c>
      <c r="T175" s="36">
        <f>_xll.DBRW($E$12,$F$16,$F$17,$F$18,$E175,$F$20,T$22,$H175,$F$19)</f>
        <v>0</v>
      </c>
      <c r="U175" s="36">
        <f>_xll.DBRW($E$12,$F$16,$F$17,$F$18,$E175,$F$20,U$22,$H175,$F$19)</f>
        <v>5352.6299999999992</v>
      </c>
    </row>
    <row r="176" spans="4:21" s="37" customFormat="1" ht="15" outlineLevel="1" thickBot="1" x14ac:dyDescent="0.35">
      <c r="D176" s="33" t="str">
        <f>IF(_xll.TM1RPTELISCONSOLIDATED($H$34,$H176),IF(_xll.TM1RPTELLEV($H$34,$H176)&lt;=5,_xll.TM1RPTELLEV($H$34,$H176),"Default"),"Leaf")</f>
        <v>Leaf</v>
      </c>
      <c r="E176" s="42" t="s">
        <v>671</v>
      </c>
      <c r="F176" s="34" t="str">
        <f>_xll.DBR($B$18,$H176,"Account_Type")</f>
        <v>NON LABOR</v>
      </c>
      <c r="G176" s="34" t="str">
        <f>_xll.DBR($B$18,$H176,"Description")</f>
        <v>Security / Janitorial Charges</v>
      </c>
      <c r="H176" s="43" t="s">
        <v>588</v>
      </c>
      <c r="I176" s="36">
        <f>_xll.DBRW($E$12,$F$16,$F$17,$F$18,$E176,$F$20,I$22,$H176,$F$19)</f>
        <v>51.24</v>
      </c>
      <c r="J176" s="36">
        <f>_xll.DBRW($E$12,$F$16,$F$17,$F$18,$E176,$F$20,J$22,$H176,$F$19)</f>
        <v>0</v>
      </c>
      <c r="K176" s="36">
        <f>_xll.DBRW($E$12,$F$16,$F$17,$F$18,$E176,$F$20,K$22,$H176,$F$19)</f>
        <v>51.96</v>
      </c>
      <c r="L176" s="36">
        <f>_xll.DBRW($E$12,$F$16,$F$17,$F$18,$E176,$F$20,L$22,$H176,$F$19)</f>
        <v>96.1</v>
      </c>
      <c r="M176" s="36">
        <f>_xll.DBRW($E$12,$F$16,$F$17,$F$18,$E176,$F$20,M$22,$H176,$F$19)</f>
        <v>367.85</v>
      </c>
      <c r="N176" s="36">
        <f>_xll.DBRW($E$12,$F$16,$F$17,$F$18,$E176,$F$20,N$22,$H176,$F$19)</f>
        <v>2207.81</v>
      </c>
      <c r="O176" s="36">
        <f>_xll.DBRW($E$12,$F$16,$F$17,$F$18,$E176,$F$20,O$22,$H176,$F$19)</f>
        <v>0</v>
      </c>
      <c r="P176" s="36">
        <f>_xll.DBRW($E$12,$F$16,$F$17,$F$18,$E176,$F$20,P$22,$H176,$F$19)</f>
        <v>0</v>
      </c>
      <c r="Q176" s="36">
        <f>_xll.DBRW($E$12,$F$16,$F$17,$F$18,$E176,$F$20,Q$22,$H176,$F$19)</f>
        <v>0</v>
      </c>
      <c r="R176" s="36">
        <f>_xll.DBRW($E$12,$F$16,$F$17,$F$18,$E176,$F$20,R$22,$H176,$F$19)</f>
        <v>0</v>
      </c>
      <c r="S176" s="36">
        <f>_xll.DBRW($E$12,$F$16,$F$17,$F$18,$E176,$F$20,S$22,$H176,$F$19)</f>
        <v>0</v>
      </c>
      <c r="T176" s="36">
        <f>_xll.DBRW($E$12,$F$16,$F$17,$F$18,$E176,$F$20,T$22,$H176,$F$19)</f>
        <v>0</v>
      </c>
      <c r="U176" s="36">
        <f>_xll.DBRW($E$12,$F$16,$F$17,$F$18,$E176,$F$20,U$22,$H176,$F$19)</f>
        <v>2774.96</v>
      </c>
    </row>
    <row r="177" spans="4:21" s="37" customFormat="1" ht="15" outlineLevel="1" thickBot="1" x14ac:dyDescent="0.35">
      <c r="D177" s="33" t="str">
        <f>IF(_xll.TM1RPTELISCONSOLIDATED($H$34,$H177),IF(_xll.TM1RPTELLEV($H$34,$H177)&lt;=5,_xll.TM1RPTELLEV($H$34,$H177),"Default"),"Leaf")</f>
        <v>Leaf</v>
      </c>
      <c r="E177" s="42" t="s">
        <v>671</v>
      </c>
      <c r="F177" s="34" t="str">
        <f>_xll.DBR($B$18,$H177,"Account_Type")</f>
        <v>NON LABOR</v>
      </c>
      <c r="G177" s="34" t="str">
        <f>_xll.DBR($B$18,$H177,"Description")</f>
        <v>Professional Services / Consultants</v>
      </c>
      <c r="H177" s="43" t="s">
        <v>596</v>
      </c>
      <c r="I177" s="36">
        <f>_xll.DBRW($E$12,$F$16,$F$17,$F$18,$E177,$F$20,I$22,$H177,$F$19)</f>
        <v>531.29</v>
      </c>
      <c r="J177" s="36">
        <f>_xll.DBRW($E$12,$F$16,$F$17,$F$18,$E177,$F$20,J$22,$H177,$F$19)</f>
        <v>654.63</v>
      </c>
      <c r="K177" s="36">
        <f>_xll.DBRW($E$12,$F$16,$F$17,$F$18,$E177,$F$20,K$22,$H177,$F$19)</f>
        <v>611.94000000000005</v>
      </c>
      <c r="L177" s="36">
        <f>_xll.DBRW($E$12,$F$16,$F$17,$F$18,$E177,$F$20,L$22,$H177,$F$19)</f>
        <v>436.42</v>
      </c>
      <c r="M177" s="36">
        <f>_xll.DBRW($E$12,$F$16,$F$17,$F$18,$E177,$F$20,M$22,$H177,$F$19)</f>
        <v>735.27</v>
      </c>
      <c r="N177" s="36">
        <f>_xll.DBRW($E$12,$F$16,$F$17,$F$18,$E177,$F$20,N$22,$H177,$F$19)</f>
        <v>659.37</v>
      </c>
      <c r="O177" s="36">
        <f>_xll.DBRW($E$12,$F$16,$F$17,$F$18,$E177,$F$20,O$22,$H177,$F$19)</f>
        <v>863.3</v>
      </c>
      <c r="P177" s="36">
        <f>_xll.DBRW($E$12,$F$16,$F$17,$F$18,$E177,$F$20,P$22,$H177,$F$19)</f>
        <v>0</v>
      </c>
      <c r="Q177" s="36">
        <f>_xll.DBRW($E$12,$F$16,$F$17,$F$18,$E177,$F$20,Q$22,$H177,$F$19)</f>
        <v>0</v>
      </c>
      <c r="R177" s="36">
        <f>_xll.DBRW($E$12,$F$16,$F$17,$F$18,$E177,$F$20,R$22,$H177,$F$19)</f>
        <v>0</v>
      </c>
      <c r="S177" s="36">
        <f>_xll.DBRW($E$12,$F$16,$F$17,$F$18,$E177,$F$20,S$22,$H177,$F$19)</f>
        <v>0</v>
      </c>
      <c r="T177" s="36">
        <f>_xll.DBRW($E$12,$F$16,$F$17,$F$18,$E177,$F$20,T$22,$H177,$F$19)</f>
        <v>0</v>
      </c>
      <c r="U177" s="36">
        <f>_xll.DBRW($E$12,$F$16,$F$17,$F$18,$E177,$F$20,U$22,$H177,$F$19)</f>
        <v>4492.22</v>
      </c>
    </row>
    <row r="178" spans="4:21" s="37" customFormat="1" ht="15" outlineLevel="1" thickBot="1" x14ac:dyDescent="0.35">
      <c r="D178" s="33" t="str">
        <f>IF(_xll.TM1RPTELISCONSOLIDATED($H$34,$H178),IF(_xll.TM1RPTELLEV($H$34,$H178)&lt;=5,_xll.TM1RPTELLEV($H$34,$H178),"Default"),"Leaf")</f>
        <v>Leaf</v>
      </c>
      <c r="E178" s="42" t="s">
        <v>671</v>
      </c>
      <c r="F178" s="34" t="str">
        <f>_xll.DBR($B$18,$H178,"Account_Type")</f>
        <v>NON LABOR</v>
      </c>
      <c r="G178" s="34" t="str">
        <f>_xll.DBR($B$18,$H178,"Description")</f>
        <v>Legal Fees</v>
      </c>
      <c r="H178" s="43" t="s">
        <v>600</v>
      </c>
      <c r="I178" s="36">
        <f>_xll.DBRW($E$12,$F$16,$F$17,$F$18,$E178,$F$20,I$22,$H178,$F$19)</f>
        <v>225</v>
      </c>
      <c r="J178" s="36">
        <f>_xll.DBRW($E$12,$F$16,$F$17,$F$18,$E178,$F$20,J$22,$H178,$F$19)</f>
        <v>225</v>
      </c>
      <c r="K178" s="36">
        <f>_xll.DBRW($E$12,$F$16,$F$17,$F$18,$E178,$F$20,K$22,$H178,$F$19)</f>
        <v>0</v>
      </c>
      <c r="L178" s="36">
        <f>_xll.DBRW($E$12,$F$16,$F$17,$F$18,$E178,$F$20,L$22,$H178,$F$19)</f>
        <v>180</v>
      </c>
      <c r="M178" s="36">
        <f>_xll.DBRW($E$12,$F$16,$F$17,$F$18,$E178,$F$20,M$22,$H178,$F$19)</f>
        <v>10482.01</v>
      </c>
      <c r="N178" s="36">
        <f>_xll.DBRW($E$12,$F$16,$F$17,$F$18,$E178,$F$20,N$22,$H178,$F$19)</f>
        <v>-4053.51</v>
      </c>
      <c r="O178" s="36">
        <f>_xll.DBRW($E$12,$F$16,$F$17,$F$18,$E178,$F$20,O$22,$H178,$F$19)</f>
        <v>2680</v>
      </c>
      <c r="P178" s="36">
        <f>_xll.DBRW($E$12,$F$16,$F$17,$F$18,$E178,$F$20,P$22,$H178,$F$19)</f>
        <v>0</v>
      </c>
      <c r="Q178" s="36">
        <f>_xll.DBRW($E$12,$F$16,$F$17,$F$18,$E178,$F$20,Q$22,$H178,$F$19)</f>
        <v>0</v>
      </c>
      <c r="R178" s="36">
        <f>_xll.DBRW($E$12,$F$16,$F$17,$F$18,$E178,$F$20,R$22,$H178,$F$19)</f>
        <v>0</v>
      </c>
      <c r="S178" s="36">
        <f>_xll.DBRW($E$12,$F$16,$F$17,$F$18,$E178,$F$20,S$22,$H178,$F$19)</f>
        <v>0</v>
      </c>
      <c r="T178" s="36">
        <f>_xll.DBRW($E$12,$F$16,$F$17,$F$18,$E178,$F$20,T$22,$H178,$F$19)</f>
        <v>0</v>
      </c>
      <c r="U178" s="36">
        <f>_xll.DBRW($E$12,$F$16,$F$17,$F$18,$E178,$F$20,U$22,$H178,$F$19)</f>
        <v>9738.5</v>
      </c>
    </row>
    <row r="179" spans="4:21" s="37" customFormat="1" ht="15" outlineLevel="1" thickBot="1" x14ac:dyDescent="0.35">
      <c r="D179" s="33" t="str">
        <f>IF(_xll.TM1RPTELISCONSOLIDATED($H$34,$H179),IF(_xll.TM1RPTELLEV($H$34,$H179)&lt;=5,_xll.TM1RPTELLEV($H$34,$H179),"Default"),"Leaf")</f>
        <v>Leaf</v>
      </c>
      <c r="E179" s="42" t="s">
        <v>671</v>
      </c>
      <c r="F179" s="34" t="str">
        <f>_xll.DBR($B$18,$H179,"Account_Type")</f>
        <v>NON LABOR</v>
      </c>
      <c r="G179" s="34" t="str">
        <f>_xll.DBR($B$18,$H179,"Description")</f>
        <v>Employee Morale &amp; Welfare</v>
      </c>
      <c r="H179" s="43" t="s">
        <v>616</v>
      </c>
      <c r="I179" s="36">
        <f>_xll.DBRW($E$12,$F$16,$F$17,$F$18,$E179,$F$20,I$22,$H179,$F$19)</f>
        <v>73.37</v>
      </c>
      <c r="J179" s="36">
        <f>_xll.DBRW($E$12,$F$16,$F$17,$F$18,$E179,$F$20,J$22,$H179,$F$19)</f>
        <v>0</v>
      </c>
      <c r="K179" s="36">
        <f>_xll.DBRW($E$12,$F$16,$F$17,$F$18,$E179,$F$20,K$22,$H179,$F$19)</f>
        <v>0</v>
      </c>
      <c r="L179" s="36">
        <f>_xll.DBRW($E$12,$F$16,$F$17,$F$18,$E179,$F$20,L$22,$H179,$F$19)</f>
        <v>0</v>
      </c>
      <c r="M179" s="36">
        <f>_xll.DBRW($E$12,$F$16,$F$17,$F$18,$E179,$F$20,M$22,$H179,$F$19)</f>
        <v>0</v>
      </c>
      <c r="N179" s="36">
        <f>_xll.DBRW($E$12,$F$16,$F$17,$F$18,$E179,$F$20,N$22,$H179,$F$19)</f>
        <v>0</v>
      </c>
      <c r="O179" s="36">
        <f>_xll.DBRW($E$12,$F$16,$F$17,$F$18,$E179,$F$20,O$22,$H179,$F$19)</f>
        <v>0</v>
      </c>
      <c r="P179" s="36">
        <f>_xll.DBRW($E$12,$F$16,$F$17,$F$18,$E179,$F$20,P$22,$H179,$F$19)</f>
        <v>0</v>
      </c>
      <c r="Q179" s="36">
        <f>_xll.DBRW($E$12,$F$16,$F$17,$F$18,$E179,$F$20,Q$22,$H179,$F$19)</f>
        <v>0</v>
      </c>
      <c r="R179" s="36">
        <f>_xll.DBRW($E$12,$F$16,$F$17,$F$18,$E179,$F$20,R$22,$H179,$F$19)</f>
        <v>0</v>
      </c>
      <c r="S179" s="36">
        <f>_xll.DBRW($E$12,$F$16,$F$17,$F$18,$E179,$F$20,S$22,$H179,$F$19)</f>
        <v>0</v>
      </c>
      <c r="T179" s="36">
        <f>_xll.DBRW($E$12,$F$16,$F$17,$F$18,$E179,$F$20,T$22,$H179,$F$19)</f>
        <v>0</v>
      </c>
      <c r="U179" s="36">
        <f>_xll.DBRW($E$12,$F$16,$F$17,$F$18,$E179,$F$20,U$22,$H179,$F$19)</f>
        <v>73.37</v>
      </c>
    </row>
    <row r="180" spans="4:21" s="37" customFormat="1" ht="15" outlineLevel="1" thickBot="1" x14ac:dyDescent="0.35">
      <c r="D180" s="33" t="str">
        <f>IF(_xll.TM1RPTELISCONSOLIDATED($H$34,$H180),IF(_xll.TM1RPTELLEV($H$34,$H180)&lt;=5,_xll.TM1RPTELLEV($H$34,$H180),"Default"),"Leaf")</f>
        <v>Leaf</v>
      </c>
      <c r="E180" s="42" t="s">
        <v>671</v>
      </c>
      <c r="F180" s="34" t="str">
        <f>_xll.DBR($B$18,$H180,"Account_Type")</f>
        <v>NON LABOR</v>
      </c>
      <c r="G180" s="34" t="str">
        <f>_xll.DBR($B$18,$H180,"Description")</f>
        <v>Consumable Purchases</v>
      </c>
      <c r="H180" s="43" t="s">
        <v>622</v>
      </c>
      <c r="I180" s="36">
        <f>_xll.DBRW($E$12,$F$16,$F$17,$F$18,$E180,$F$20,I$22,$H180,$F$19)</f>
        <v>23.92</v>
      </c>
      <c r="J180" s="36">
        <f>_xll.DBRW($E$12,$F$16,$F$17,$F$18,$E180,$F$20,J$22,$H180,$F$19)</f>
        <v>0</v>
      </c>
      <c r="K180" s="36">
        <f>_xll.DBRW($E$12,$F$16,$F$17,$F$18,$E180,$F$20,K$22,$H180,$F$19)</f>
        <v>31.92</v>
      </c>
      <c r="L180" s="36">
        <f>_xll.DBRW($E$12,$F$16,$F$17,$F$18,$E180,$F$20,L$22,$H180,$F$19)</f>
        <v>41.97</v>
      </c>
      <c r="M180" s="36">
        <f>_xll.DBRW($E$12,$F$16,$F$17,$F$18,$E180,$F$20,M$22,$H180,$F$19)</f>
        <v>17.940000000000001</v>
      </c>
      <c r="N180" s="36">
        <f>_xll.DBRW($E$12,$F$16,$F$17,$F$18,$E180,$F$20,N$22,$H180,$F$19)</f>
        <v>62.37</v>
      </c>
      <c r="O180" s="36">
        <f>_xll.DBRW($E$12,$F$16,$F$17,$F$18,$E180,$F$20,O$22,$H180,$F$19)</f>
        <v>0</v>
      </c>
      <c r="P180" s="36">
        <f>_xll.DBRW($E$12,$F$16,$F$17,$F$18,$E180,$F$20,P$22,$H180,$F$19)</f>
        <v>0</v>
      </c>
      <c r="Q180" s="36">
        <f>_xll.DBRW($E$12,$F$16,$F$17,$F$18,$E180,$F$20,Q$22,$H180,$F$19)</f>
        <v>0</v>
      </c>
      <c r="R180" s="36">
        <f>_xll.DBRW($E$12,$F$16,$F$17,$F$18,$E180,$F$20,R$22,$H180,$F$19)</f>
        <v>0</v>
      </c>
      <c r="S180" s="36">
        <f>_xll.DBRW($E$12,$F$16,$F$17,$F$18,$E180,$F$20,S$22,$H180,$F$19)</f>
        <v>0</v>
      </c>
      <c r="T180" s="36">
        <f>_xll.DBRW($E$12,$F$16,$F$17,$F$18,$E180,$F$20,T$22,$H180,$F$19)</f>
        <v>0</v>
      </c>
      <c r="U180" s="36">
        <f>_xll.DBRW($E$12,$F$16,$F$17,$F$18,$E180,$F$20,U$22,$H180,$F$19)</f>
        <v>178.12</v>
      </c>
    </row>
    <row r="181" spans="4:21" s="37" customFormat="1" ht="15" outlineLevel="1" thickBot="1" x14ac:dyDescent="0.35">
      <c r="D181" s="33" t="str">
        <f>IF(_xll.TM1RPTELISCONSOLIDATED($H$34,$H181),IF(_xll.TM1RPTELLEV($H$34,$H181)&lt;=5,_xll.TM1RPTELLEV($H$34,$H181),"Default"),"Leaf")</f>
        <v>Leaf</v>
      </c>
      <c r="E181" s="42" t="s">
        <v>671</v>
      </c>
      <c r="F181" s="34" t="str">
        <f>_xll.DBR($B$18,$H181,"Account_Type")</f>
        <v>NON LABOR</v>
      </c>
      <c r="G181" s="34" t="str">
        <f>_xll.DBR($B$18,$H181,"Description")</f>
        <v>Employee Leased Vehicles</v>
      </c>
      <c r="H181" s="43" t="s">
        <v>631</v>
      </c>
      <c r="I181" s="36">
        <f>_xll.DBRW($E$12,$F$16,$F$17,$F$18,$E181,$F$20,I$22,$H181,$F$19)</f>
        <v>900</v>
      </c>
      <c r="J181" s="36">
        <f>_xll.DBRW($E$12,$F$16,$F$17,$F$18,$E181,$F$20,J$22,$H181,$F$19)</f>
        <v>900</v>
      </c>
      <c r="K181" s="36">
        <f>_xll.DBRW($E$12,$F$16,$F$17,$F$18,$E181,$F$20,K$22,$H181,$F$19)</f>
        <v>900</v>
      </c>
      <c r="L181" s="36">
        <f>_xll.DBRW($E$12,$F$16,$F$17,$F$18,$E181,$F$20,L$22,$H181,$F$19)</f>
        <v>900</v>
      </c>
      <c r="M181" s="36">
        <f>_xll.DBRW($E$12,$F$16,$F$17,$F$18,$E181,$F$20,M$22,$H181,$F$19)</f>
        <v>900</v>
      </c>
      <c r="N181" s="36">
        <f>_xll.DBRW($E$12,$F$16,$F$17,$F$18,$E181,$F$20,N$22,$H181,$F$19)</f>
        <v>900</v>
      </c>
      <c r="O181" s="36">
        <f>_xll.DBRW($E$12,$F$16,$F$17,$F$18,$E181,$F$20,O$22,$H181,$F$19)</f>
        <v>900</v>
      </c>
      <c r="P181" s="36">
        <f>_xll.DBRW($E$12,$F$16,$F$17,$F$18,$E181,$F$20,P$22,$H181,$F$19)</f>
        <v>0</v>
      </c>
      <c r="Q181" s="36">
        <f>_xll.DBRW($E$12,$F$16,$F$17,$F$18,$E181,$F$20,Q$22,$H181,$F$19)</f>
        <v>0</v>
      </c>
      <c r="R181" s="36">
        <f>_xll.DBRW($E$12,$F$16,$F$17,$F$18,$E181,$F$20,R$22,$H181,$F$19)</f>
        <v>0</v>
      </c>
      <c r="S181" s="36">
        <f>_xll.DBRW($E$12,$F$16,$F$17,$F$18,$E181,$F$20,S$22,$H181,$F$19)</f>
        <v>0</v>
      </c>
      <c r="T181" s="36">
        <f>_xll.DBRW($E$12,$F$16,$F$17,$F$18,$E181,$F$20,T$22,$H181,$F$19)</f>
        <v>0</v>
      </c>
      <c r="U181" s="36">
        <f>_xll.DBRW($E$12,$F$16,$F$17,$F$18,$E181,$F$20,U$22,$H181,$F$19)</f>
        <v>6300</v>
      </c>
    </row>
    <row r="182" spans="4:21" s="37" customFormat="1" ht="15" outlineLevel="1" thickBot="1" x14ac:dyDescent="0.35">
      <c r="D182" s="33" t="str">
        <f>IF(_xll.TM1RPTELISCONSOLIDATED($H$34,$H182),IF(_xll.TM1RPTELLEV($H$34,$H182)&lt;=5,_xll.TM1RPTELLEV($H$34,$H182),"Default"),"Leaf")</f>
        <v>Leaf</v>
      </c>
      <c r="E182" s="42" t="s">
        <v>61</v>
      </c>
      <c r="F182" s="34" t="str">
        <f>_xll.DBR($B$18,$H182,"Account_Type")</f>
        <v>NON LABOR</v>
      </c>
      <c r="G182" s="34" t="str">
        <f>_xll.DBR($B$18,$H182,"Description")</f>
        <v>Corporate Allocation</v>
      </c>
      <c r="H182" s="43" t="s">
        <v>452</v>
      </c>
      <c r="I182" s="36">
        <f>_xll.DBRW($E$12,$F$16,$F$17,$F$18,$E182,$F$20,I$22,$H182,$F$19)</f>
        <v>668277.59</v>
      </c>
      <c r="J182" s="36">
        <f>_xll.DBRW($E$12,$F$16,$F$17,$F$18,$E182,$F$20,J$22,$H182,$F$19)</f>
        <v>639819.18999999994</v>
      </c>
      <c r="K182" s="36">
        <f>_xll.DBRW($E$12,$F$16,$F$17,$F$18,$E182,$F$20,K$22,$H182,$F$19)</f>
        <v>1023543.2</v>
      </c>
      <c r="L182" s="36">
        <f>_xll.DBRW($E$12,$F$16,$F$17,$F$18,$E182,$F$20,L$22,$H182,$F$19)</f>
        <v>479664.8</v>
      </c>
      <c r="M182" s="36">
        <f>_xll.DBRW($E$12,$F$16,$F$17,$F$18,$E182,$F$20,M$22,$H182,$F$19)</f>
        <v>542782.94999999995</v>
      </c>
      <c r="N182" s="36">
        <f>_xll.DBRW($E$12,$F$16,$F$17,$F$18,$E182,$F$20,N$22,$H182,$F$19)</f>
        <v>0</v>
      </c>
      <c r="O182" s="36">
        <f>_xll.DBRW($E$12,$F$16,$F$17,$F$18,$E182,$F$20,O$22,$H182,$F$19)</f>
        <v>0</v>
      </c>
      <c r="P182" s="36">
        <f>_xll.DBRW($E$12,$F$16,$F$17,$F$18,$E182,$F$20,P$22,$H182,$F$19)</f>
        <v>0</v>
      </c>
      <c r="Q182" s="36">
        <f>_xll.DBRW($E$12,$F$16,$F$17,$F$18,$E182,$F$20,Q$22,$H182,$F$19)</f>
        <v>0</v>
      </c>
      <c r="R182" s="36">
        <f>_xll.DBRW($E$12,$F$16,$F$17,$F$18,$E182,$F$20,R$22,$H182,$F$19)</f>
        <v>0</v>
      </c>
      <c r="S182" s="36">
        <f>_xll.DBRW($E$12,$F$16,$F$17,$F$18,$E182,$F$20,S$22,$H182,$F$19)</f>
        <v>0</v>
      </c>
      <c r="T182" s="36">
        <f>_xll.DBRW($E$12,$F$16,$F$17,$F$18,$E182,$F$20,T$22,$H182,$F$19)</f>
        <v>0</v>
      </c>
      <c r="U182" s="36">
        <f>_xll.DBRW($E$12,$F$16,$F$17,$F$18,$E182,$F$20,U$22,$H182,$F$19)</f>
        <v>3354087.7299999995</v>
      </c>
    </row>
    <row r="183" spans="4:21" s="37" customFormat="1" ht="15" outlineLevel="1" thickBot="1" x14ac:dyDescent="0.35">
      <c r="D183" s="33" t="str">
        <f>IF(_xll.TM1RPTELISCONSOLIDATED($H$34,$H183),IF(_xll.TM1RPTELLEV($H$34,$H183)&lt;=5,_xll.TM1RPTELLEV($H$34,$H183),"Default"),"Leaf")</f>
        <v>Leaf</v>
      </c>
      <c r="E183" s="42" t="s">
        <v>61</v>
      </c>
      <c r="F183" s="34" t="str">
        <f>_xll.DBR($B$18,$H183,"Account_Type")</f>
        <v>NON LABOR</v>
      </c>
      <c r="G183" s="34" t="str">
        <f>_xll.DBR($B$18,$H183,"Description")</f>
        <v>Corporate Allocation</v>
      </c>
      <c r="H183" s="43" t="s">
        <v>453</v>
      </c>
      <c r="I183" s="36">
        <f>_xll.DBRW($E$12,$F$16,$F$17,$F$18,$E183,$F$20,I$22,$H183,$F$19)</f>
        <v>183426.07</v>
      </c>
      <c r="J183" s="36">
        <f>_xll.DBRW($E$12,$F$16,$F$17,$F$18,$E183,$F$20,J$22,$H183,$F$19)</f>
        <v>175614.93</v>
      </c>
      <c r="K183" s="36">
        <f>_xll.DBRW($E$12,$F$16,$F$17,$F$18,$E183,$F$20,K$22,$H183,$F$19)</f>
        <v>280937.90999999997</v>
      </c>
      <c r="L183" s="36">
        <f>_xll.DBRW($E$12,$F$16,$F$17,$F$18,$E183,$F$20,L$22,$H183,$F$19)</f>
        <v>329832.18</v>
      </c>
      <c r="M183" s="36">
        <f>_xll.DBRW($E$12,$F$16,$F$17,$F$18,$E183,$F$20,M$22,$H183,$F$19)</f>
        <v>373234.15</v>
      </c>
      <c r="N183" s="36">
        <f>_xll.DBRW($E$12,$F$16,$F$17,$F$18,$E183,$F$20,N$22,$H183,$F$19)</f>
        <v>0</v>
      </c>
      <c r="O183" s="36">
        <f>_xll.DBRW($E$12,$F$16,$F$17,$F$18,$E183,$F$20,O$22,$H183,$F$19)</f>
        <v>0</v>
      </c>
      <c r="P183" s="36">
        <f>_xll.DBRW($E$12,$F$16,$F$17,$F$18,$E183,$F$20,P$22,$H183,$F$19)</f>
        <v>0</v>
      </c>
      <c r="Q183" s="36">
        <f>_xll.DBRW($E$12,$F$16,$F$17,$F$18,$E183,$F$20,Q$22,$H183,$F$19)</f>
        <v>0</v>
      </c>
      <c r="R183" s="36">
        <f>_xll.DBRW($E$12,$F$16,$F$17,$F$18,$E183,$F$20,R$22,$H183,$F$19)</f>
        <v>0</v>
      </c>
      <c r="S183" s="36">
        <f>_xll.DBRW($E$12,$F$16,$F$17,$F$18,$E183,$F$20,S$22,$H183,$F$19)</f>
        <v>0</v>
      </c>
      <c r="T183" s="36">
        <f>_xll.DBRW($E$12,$F$16,$F$17,$F$18,$E183,$F$20,T$22,$H183,$F$19)</f>
        <v>0</v>
      </c>
      <c r="U183" s="36">
        <f>_xll.DBRW($E$12,$F$16,$F$17,$F$18,$E183,$F$20,U$22,$H183,$F$19)</f>
        <v>1343045.2399999998</v>
      </c>
    </row>
    <row r="184" spans="4:21" s="37" customFormat="1" ht="15" outlineLevel="1" thickBot="1" x14ac:dyDescent="0.35">
      <c r="D184" s="33" t="str">
        <f>IF(_xll.TM1RPTELISCONSOLIDATED($H$34,$H184),IF(_xll.TM1RPTELLEV($H$34,$H184)&lt;=5,_xll.TM1RPTELLEV($H$34,$H184),"Default"),"Leaf")</f>
        <v>Leaf</v>
      </c>
      <c r="E184" s="42" t="s">
        <v>61</v>
      </c>
      <c r="F184" s="34" t="str">
        <f>_xll.DBR($B$18,$H184,"Account_Type")</f>
        <v>NON LABOR</v>
      </c>
      <c r="G184" s="34" t="str">
        <f>_xll.DBR($B$18,$H184,"Description")</f>
        <v>Corporate Allocation</v>
      </c>
      <c r="H184" s="43" t="s">
        <v>455</v>
      </c>
      <c r="I184" s="36">
        <f>_xll.DBRW($E$12,$F$16,$F$17,$F$18,$E184,$F$20,I$22,$H184,$F$19)</f>
        <v>229337.93</v>
      </c>
      <c r="J184" s="36">
        <f>_xll.DBRW($E$12,$F$16,$F$17,$F$18,$E184,$F$20,J$22,$H184,$F$19)</f>
        <v>219571.64</v>
      </c>
      <c r="K184" s="36">
        <f>_xll.DBRW($E$12,$F$16,$F$17,$F$18,$E184,$F$20,K$22,$H184,$F$19)</f>
        <v>351257.14</v>
      </c>
      <c r="L184" s="36">
        <f>_xll.DBRW($E$12,$F$16,$F$17,$F$18,$E184,$F$20,L$22,$H184,$F$19)</f>
        <v>133155.82999999999</v>
      </c>
      <c r="M184" s="36">
        <f>_xll.DBRW($E$12,$F$16,$F$17,$F$18,$E184,$F$20,M$22,$H184,$F$19)</f>
        <v>150677.54999999999</v>
      </c>
      <c r="N184" s="36">
        <f>_xll.DBRW($E$12,$F$16,$F$17,$F$18,$E184,$F$20,N$22,$H184,$F$19)</f>
        <v>0</v>
      </c>
      <c r="O184" s="36">
        <f>_xll.DBRW($E$12,$F$16,$F$17,$F$18,$E184,$F$20,O$22,$H184,$F$19)</f>
        <v>0</v>
      </c>
      <c r="P184" s="36">
        <f>_xll.DBRW($E$12,$F$16,$F$17,$F$18,$E184,$F$20,P$22,$H184,$F$19)</f>
        <v>0</v>
      </c>
      <c r="Q184" s="36">
        <f>_xll.DBRW($E$12,$F$16,$F$17,$F$18,$E184,$F$20,Q$22,$H184,$F$19)</f>
        <v>0</v>
      </c>
      <c r="R184" s="36">
        <f>_xll.DBRW($E$12,$F$16,$F$17,$F$18,$E184,$F$20,R$22,$H184,$F$19)</f>
        <v>0</v>
      </c>
      <c r="S184" s="36">
        <f>_xll.DBRW($E$12,$F$16,$F$17,$F$18,$E184,$F$20,S$22,$H184,$F$19)</f>
        <v>0</v>
      </c>
      <c r="T184" s="36">
        <f>_xll.DBRW($E$12,$F$16,$F$17,$F$18,$E184,$F$20,T$22,$H184,$F$19)</f>
        <v>0</v>
      </c>
      <c r="U184" s="36">
        <f>_xll.DBRW($E$12,$F$16,$F$17,$F$18,$E184,$F$20,U$22,$H184,$F$19)</f>
        <v>1084000.0899999999</v>
      </c>
    </row>
    <row r="185" spans="4:21" s="37" customFormat="1" ht="15" outlineLevel="1" thickBot="1" x14ac:dyDescent="0.35">
      <c r="D185" s="33" t="str">
        <f>IF(_xll.TM1RPTELISCONSOLIDATED($H$34,$H185),IF(_xll.TM1RPTELLEV($H$34,$H185)&lt;=5,_xll.TM1RPTELLEV($H$34,$H185),"Default"),"Leaf")</f>
        <v>Leaf</v>
      </c>
      <c r="E185" s="42" t="s">
        <v>61</v>
      </c>
      <c r="F185" s="34" t="str">
        <f>_xll.DBR($B$18,$H185,"Account_Type")</f>
        <v>NON LABOR</v>
      </c>
      <c r="G185" s="34" t="str">
        <f>_xll.DBR($B$18,$H185,"Description")</f>
        <v>Corporate Allocation</v>
      </c>
      <c r="H185" s="43" t="s">
        <v>460</v>
      </c>
      <c r="I185" s="36">
        <f>_xll.DBRW($E$12,$F$16,$F$17,$F$18,$E185,$F$20,I$22,$H185,$F$19)</f>
        <v>56245.919999999998</v>
      </c>
      <c r="J185" s="36">
        <f>_xll.DBRW($E$12,$F$16,$F$17,$F$18,$E185,$F$20,J$22,$H185,$F$19)</f>
        <v>53850.7</v>
      </c>
      <c r="K185" s="36">
        <f>_xll.DBRW($E$12,$F$16,$F$17,$F$18,$E185,$F$20,K$22,$H185,$F$19)</f>
        <v>86147.03</v>
      </c>
      <c r="L185" s="36">
        <f>_xll.DBRW($E$12,$F$16,$F$17,$F$18,$E185,$F$20,L$22,$H185,$F$19)</f>
        <v>83592.67</v>
      </c>
      <c r="M185" s="36">
        <f>_xll.DBRW($E$12,$F$16,$F$17,$F$18,$E185,$F$20,M$22,$H185,$F$19)</f>
        <v>94592.46</v>
      </c>
      <c r="N185" s="36">
        <f>_xll.DBRW($E$12,$F$16,$F$17,$F$18,$E185,$F$20,N$22,$H185,$F$19)</f>
        <v>0</v>
      </c>
      <c r="O185" s="36">
        <f>_xll.DBRW($E$12,$F$16,$F$17,$F$18,$E185,$F$20,O$22,$H185,$F$19)</f>
        <v>0</v>
      </c>
      <c r="P185" s="36">
        <f>_xll.DBRW($E$12,$F$16,$F$17,$F$18,$E185,$F$20,P$22,$H185,$F$19)</f>
        <v>0</v>
      </c>
      <c r="Q185" s="36">
        <f>_xll.DBRW($E$12,$F$16,$F$17,$F$18,$E185,$F$20,Q$22,$H185,$F$19)</f>
        <v>0</v>
      </c>
      <c r="R185" s="36">
        <f>_xll.DBRW($E$12,$F$16,$F$17,$F$18,$E185,$F$20,R$22,$H185,$F$19)</f>
        <v>0</v>
      </c>
      <c r="S185" s="36">
        <f>_xll.DBRW($E$12,$F$16,$F$17,$F$18,$E185,$F$20,S$22,$H185,$F$19)</f>
        <v>0</v>
      </c>
      <c r="T185" s="36">
        <f>_xll.DBRW($E$12,$F$16,$F$17,$F$18,$E185,$F$20,T$22,$H185,$F$19)</f>
        <v>0</v>
      </c>
      <c r="U185" s="36">
        <f>_xll.DBRW($E$12,$F$16,$F$17,$F$18,$E185,$F$20,U$22,$H185,$F$19)</f>
        <v>374428.78</v>
      </c>
    </row>
    <row r="186" spans="4:21" s="37" customFormat="1" ht="15" outlineLevel="1" thickBot="1" x14ac:dyDescent="0.35">
      <c r="D186" s="33" t="str">
        <f>IF(_xll.TM1RPTELISCONSOLIDATED($H$34,$H186),IF(_xll.TM1RPTELLEV($H$34,$H186)&lt;=5,_xll.TM1RPTELLEV($H$34,$H186),"Default"),"Leaf")</f>
        <v>Leaf</v>
      </c>
      <c r="E186" s="42" t="s">
        <v>61</v>
      </c>
      <c r="F186" s="34" t="str">
        <f>_xll.DBR($B$18,$H186,"Account_Type")</f>
        <v>NON LABOR</v>
      </c>
      <c r="G186" s="34" t="str">
        <f>_xll.DBR($B$18,$H186,"Description")</f>
        <v>Corporate Allocation</v>
      </c>
      <c r="H186" s="43" t="s">
        <v>462</v>
      </c>
      <c r="I186" s="36">
        <f>_xll.DBRW($E$12,$F$16,$F$17,$F$18,$E186,$F$20,I$22,$H186,$F$19)</f>
        <v>10623.83</v>
      </c>
      <c r="J186" s="36">
        <f>_xll.DBRW($E$12,$F$16,$F$17,$F$18,$E186,$F$20,J$22,$H186,$F$19)</f>
        <v>10171.42</v>
      </c>
      <c r="K186" s="36">
        <f>_xll.DBRW($E$12,$F$16,$F$17,$F$18,$E186,$F$20,K$22,$H186,$F$19)</f>
        <v>16271.61</v>
      </c>
      <c r="L186" s="36">
        <f>_xll.DBRW($E$12,$F$16,$F$17,$F$18,$E186,$F$20,L$22,$H186,$F$19)</f>
        <v>18977.09</v>
      </c>
      <c r="M186" s="36">
        <f>_xll.DBRW($E$12,$F$16,$F$17,$F$18,$E186,$F$20,M$22,$H186,$F$19)</f>
        <v>21474.25</v>
      </c>
      <c r="N186" s="36">
        <f>_xll.DBRW($E$12,$F$16,$F$17,$F$18,$E186,$F$20,N$22,$H186,$F$19)</f>
        <v>0</v>
      </c>
      <c r="O186" s="36">
        <f>_xll.DBRW($E$12,$F$16,$F$17,$F$18,$E186,$F$20,O$22,$H186,$F$19)</f>
        <v>0</v>
      </c>
      <c r="P186" s="36">
        <f>_xll.DBRW($E$12,$F$16,$F$17,$F$18,$E186,$F$20,P$22,$H186,$F$19)</f>
        <v>0</v>
      </c>
      <c r="Q186" s="36">
        <f>_xll.DBRW($E$12,$F$16,$F$17,$F$18,$E186,$F$20,Q$22,$H186,$F$19)</f>
        <v>0</v>
      </c>
      <c r="R186" s="36">
        <f>_xll.DBRW($E$12,$F$16,$F$17,$F$18,$E186,$F$20,R$22,$H186,$F$19)</f>
        <v>0</v>
      </c>
      <c r="S186" s="36">
        <f>_xll.DBRW($E$12,$F$16,$F$17,$F$18,$E186,$F$20,S$22,$H186,$F$19)</f>
        <v>0</v>
      </c>
      <c r="T186" s="36">
        <f>_xll.DBRW($E$12,$F$16,$F$17,$F$18,$E186,$F$20,T$22,$H186,$F$19)</f>
        <v>0</v>
      </c>
      <c r="U186" s="36">
        <f>_xll.DBRW($E$12,$F$16,$F$17,$F$18,$E186,$F$20,U$22,$H186,$F$19)</f>
        <v>77518.2</v>
      </c>
    </row>
    <row r="187" spans="4:21" s="37" customFormat="1" ht="15" outlineLevel="1" thickBot="1" x14ac:dyDescent="0.35">
      <c r="D187" s="33" t="str">
        <f>IF(_xll.TM1RPTELISCONSOLIDATED($H$34,$H187),IF(_xll.TM1RPTELLEV($H$34,$H187)&lt;=5,_xll.TM1RPTELLEV($H$34,$H187),"Default"),"Leaf")</f>
        <v>Leaf</v>
      </c>
      <c r="E187" s="42" t="s">
        <v>672</v>
      </c>
      <c r="F187" s="34" t="str">
        <f>_xll.DBR($B$18,$H187,"Account_Type")</f>
        <v>NON LABOR</v>
      </c>
      <c r="G187" s="34" t="str">
        <f>_xll.DBR($B$18,$H187,"Description")</f>
        <v>Travel &amp; Lodging</v>
      </c>
      <c r="H187" s="43" t="s">
        <v>701</v>
      </c>
      <c r="I187" s="36">
        <f>_xll.DBRW($E$12,$F$16,$F$17,$F$18,$E187,$F$20,I$22,$H187,$F$19)</f>
        <v>0</v>
      </c>
      <c r="J187" s="36">
        <f>_xll.DBRW($E$12,$F$16,$F$17,$F$18,$E187,$F$20,J$22,$H187,$F$19)</f>
        <v>587.47</v>
      </c>
      <c r="K187" s="36">
        <f>_xll.DBRW($E$12,$F$16,$F$17,$F$18,$E187,$F$20,K$22,$H187,$F$19)</f>
        <v>0</v>
      </c>
      <c r="L187" s="36">
        <f>_xll.DBRW($E$12,$F$16,$F$17,$F$18,$E187,$F$20,L$22,$H187,$F$19)</f>
        <v>446.08</v>
      </c>
      <c r="M187" s="36">
        <f>_xll.DBRW($E$12,$F$16,$F$17,$F$18,$E187,$F$20,M$22,$H187,$F$19)</f>
        <v>2532</v>
      </c>
      <c r="N187" s="36">
        <f>_xll.DBRW($E$12,$F$16,$F$17,$F$18,$E187,$F$20,N$22,$H187,$F$19)</f>
        <v>29.95</v>
      </c>
      <c r="O187" s="36">
        <f>_xll.DBRW($E$12,$F$16,$F$17,$F$18,$E187,$F$20,O$22,$H187,$F$19)</f>
        <v>0</v>
      </c>
      <c r="P187" s="36">
        <f>_xll.DBRW($E$12,$F$16,$F$17,$F$18,$E187,$F$20,P$22,$H187,$F$19)</f>
        <v>0</v>
      </c>
      <c r="Q187" s="36">
        <f>_xll.DBRW($E$12,$F$16,$F$17,$F$18,$E187,$F$20,Q$22,$H187,$F$19)</f>
        <v>0</v>
      </c>
      <c r="R187" s="36">
        <f>_xll.DBRW($E$12,$F$16,$F$17,$F$18,$E187,$F$20,R$22,$H187,$F$19)</f>
        <v>0</v>
      </c>
      <c r="S187" s="36">
        <f>_xll.DBRW($E$12,$F$16,$F$17,$F$18,$E187,$F$20,S$22,$H187,$F$19)</f>
        <v>0</v>
      </c>
      <c r="T187" s="36">
        <f>_xll.DBRW($E$12,$F$16,$F$17,$F$18,$E187,$F$20,T$22,$H187,$F$19)</f>
        <v>0</v>
      </c>
      <c r="U187" s="36">
        <f>_xll.DBRW($E$12,$F$16,$F$17,$F$18,$E187,$F$20,U$22,$H187,$F$19)</f>
        <v>3595.5</v>
      </c>
    </row>
    <row r="188" spans="4:21" s="37" customFormat="1" ht="15" outlineLevel="1" thickBot="1" x14ac:dyDescent="0.35">
      <c r="D188" s="33" t="str">
        <f>IF(_xll.TM1RPTELISCONSOLIDATED($H$34,$H188),IF(_xll.TM1RPTELLEV($H$34,$H188)&lt;=5,_xll.TM1RPTELLEV($H$34,$H188),"Default"),"Leaf")</f>
        <v>Leaf</v>
      </c>
      <c r="E188" s="42" t="s">
        <v>672</v>
      </c>
      <c r="F188" s="34" t="str">
        <f>_xll.DBR($B$18,$H188,"Account_Type")</f>
        <v>NON LABOR</v>
      </c>
      <c r="G188" s="34" t="str">
        <f>_xll.DBR($B$18,$H188,"Description")</f>
        <v>Travel &amp; Lodging</v>
      </c>
      <c r="H188" s="43" t="s">
        <v>66</v>
      </c>
      <c r="I188" s="36">
        <f>_xll.DBRW($E$12,$F$16,$F$17,$F$18,$E188,$F$20,I$22,$H188,$F$19)</f>
        <v>212.21</v>
      </c>
      <c r="J188" s="36">
        <f>_xll.DBRW($E$12,$F$16,$F$17,$F$18,$E188,$F$20,J$22,$H188,$F$19)</f>
        <v>40</v>
      </c>
      <c r="K188" s="36">
        <f>_xll.DBRW($E$12,$F$16,$F$17,$F$18,$E188,$F$20,K$22,$H188,$F$19)</f>
        <v>120</v>
      </c>
      <c r="L188" s="36">
        <f>_xll.DBRW($E$12,$F$16,$F$17,$F$18,$E188,$F$20,L$22,$H188,$F$19)</f>
        <v>464</v>
      </c>
      <c r="M188" s="36">
        <f>_xll.DBRW($E$12,$F$16,$F$17,$F$18,$E188,$F$20,M$22,$H188,$F$19)</f>
        <v>120</v>
      </c>
      <c r="N188" s="36">
        <f>_xll.DBRW($E$12,$F$16,$F$17,$F$18,$E188,$F$20,N$22,$H188,$F$19)</f>
        <v>311.52999999999997</v>
      </c>
      <c r="O188" s="36">
        <f>_xll.DBRW($E$12,$F$16,$F$17,$F$18,$E188,$F$20,O$22,$H188,$F$19)</f>
        <v>0</v>
      </c>
      <c r="P188" s="36">
        <f>_xll.DBRW($E$12,$F$16,$F$17,$F$18,$E188,$F$20,P$22,$H188,$F$19)</f>
        <v>0</v>
      </c>
      <c r="Q188" s="36">
        <f>_xll.DBRW($E$12,$F$16,$F$17,$F$18,$E188,$F$20,Q$22,$H188,$F$19)</f>
        <v>0</v>
      </c>
      <c r="R188" s="36">
        <f>_xll.DBRW($E$12,$F$16,$F$17,$F$18,$E188,$F$20,R$22,$H188,$F$19)</f>
        <v>0</v>
      </c>
      <c r="S188" s="36">
        <f>_xll.DBRW($E$12,$F$16,$F$17,$F$18,$E188,$F$20,S$22,$H188,$F$19)</f>
        <v>0</v>
      </c>
      <c r="T188" s="36">
        <f>_xll.DBRW($E$12,$F$16,$F$17,$F$18,$E188,$F$20,T$22,$H188,$F$19)</f>
        <v>0</v>
      </c>
      <c r="U188" s="36">
        <f>_xll.DBRW($E$12,$F$16,$F$17,$F$18,$E188,$F$20,U$22,$H188,$F$19)</f>
        <v>1267.74</v>
      </c>
    </row>
    <row r="189" spans="4:21" s="37" customFormat="1" ht="15" outlineLevel="1" thickBot="1" x14ac:dyDescent="0.35">
      <c r="D189" s="33" t="str">
        <f>IF(_xll.TM1RPTELISCONSOLIDATED($H$34,$H189),IF(_xll.TM1RPTELLEV($H$34,$H189)&lt;=5,_xll.TM1RPTELLEV($H$34,$H189),"Default"),"Leaf")</f>
        <v>Leaf</v>
      </c>
      <c r="E189" s="42" t="s">
        <v>672</v>
      </c>
      <c r="F189" s="34" t="str">
        <f>_xll.DBR($B$18,$H189,"Account_Type")</f>
        <v>NON LABOR</v>
      </c>
      <c r="G189" s="34" t="str">
        <f>_xll.DBR($B$18,$H189,"Description")</f>
        <v>Client Development</v>
      </c>
      <c r="H189" s="43" t="s">
        <v>79</v>
      </c>
      <c r="I189" s="36">
        <f>_xll.DBRW($E$12,$F$16,$F$17,$F$18,$E189,$F$20,I$22,$H189,$F$19)</f>
        <v>-181.04</v>
      </c>
      <c r="J189" s="36">
        <f>_xll.DBRW($E$12,$F$16,$F$17,$F$18,$E189,$F$20,J$22,$H189,$F$19)</f>
        <v>1028.8599999999999</v>
      </c>
      <c r="K189" s="36">
        <f>_xll.DBRW($E$12,$F$16,$F$17,$F$18,$E189,$F$20,K$22,$H189,$F$19)</f>
        <v>0</v>
      </c>
      <c r="L189" s="36">
        <f>_xll.DBRW($E$12,$F$16,$F$17,$F$18,$E189,$F$20,L$22,$H189,$F$19)</f>
        <v>2083.65</v>
      </c>
      <c r="M189" s="36">
        <f>_xll.DBRW($E$12,$F$16,$F$17,$F$18,$E189,$F$20,M$22,$H189,$F$19)</f>
        <v>405.76</v>
      </c>
      <c r="N189" s="36">
        <f>_xll.DBRW($E$12,$F$16,$F$17,$F$18,$E189,$F$20,N$22,$H189,$F$19)</f>
        <v>217.19</v>
      </c>
      <c r="O189" s="36">
        <f>_xll.DBRW($E$12,$F$16,$F$17,$F$18,$E189,$F$20,O$22,$H189,$F$19)</f>
        <v>281.58999999999997</v>
      </c>
      <c r="P189" s="36">
        <f>_xll.DBRW($E$12,$F$16,$F$17,$F$18,$E189,$F$20,P$22,$H189,$F$19)</f>
        <v>0</v>
      </c>
      <c r="Q189" s="36">
        <f>_xll.DBRW($E$12,$F$16,$F$17,$F$18,$E189,$F$20,Q$22,$H189,$F$19)</f>
        <v>0</v>
      </c>
      <c r="R189" s="36">
        <f>_xll.DBRW($E$12,$F$16,$F$17,$F$18,$E189,$F$20,R$22,$H189,$F$19)</f>
        <v>0</v>
      </c>
      <c r="S189" s="36">
        <f>_xll.DBRW($E$12,$F$16,$F$17,$F$18,$E189,$F$20,S$22,$H189,$F$19)</f>
        <v>0</v>
      </c>
      <c r="T189" s="36">
        <f>_xll.DBRW($E$12,$F$16,$F$17,$F$18,$E189,$F$20,T$22,$H189,$F$19)</f>
        <v>0</v>
      </c>
      <c r="U189" s="36">
        <f>_xll.DBRW($E$12,$F$16,$F$17,$F$18,$E189,$F$20,U$22,$H189,$F$19)</f>
        <v>3836.0100000000007</v>
      </c>
    </row>
    <row r="190" spans="4:21" s="37" customFormat="1" ht="15" outlineLevel="1" thickBot="1" x14ac:dyDescent="0.35">
      <c r="D190" s="33" t="str">
        <f>IF(_xll.TM1RPTELISCONSOLIDATED($H$34,$H190),IF(_xll.TM1RPTELLEV($H$34,$H190)&lt;=5,_xll.TM1RPTELLEV($H$34,$H190),"Default"),"Leaf")</f>
        <v>Leaf</v>
      </c>
      <c r="E190" s="42" t="s">
        <v>672</v>
      </c>
      <c r="F190" s="34" t="str">
        <f>_xll.DBR($B$18,$H190,"Account_Type")</f>
        <v>NON LABOR</v>
      </c>
      <c r="G190" s="34" t="str">
        <f>_xll.DBR($B$18,$H190,"Description")</f>
        <v>Client Development</v>
      </c>
      <c r="H190" s="43" t="s">
        <v>80</v>
      </c>
      <c r="I190" s="36">
        <f>_xll.DBRW($E$12,$F$16,$F$17,$F$18,$E190,$F$20,I$22,$H190,$F$19)</f>
        <v>142.9</v>
      </c>
      <c r="J190" s="36">
        <f>_xll.DBRW($E$12,$F$16,$F$17,$F$18,$E190,$F$20,J$22,$H190,$F$19)</f>
        <v>0</v>
      </c>
      <c r="K190" s="36">
        <f>_xll.DBRW($E$12,$F$16,$F$17,$F$18,$E190,$F$20,K$22,$H190,$F$19)</f>
        <v>0</v>
      </c>
      <c r="L190" s="36">
        <f>_xll.DBRW($E$12,$F$16,$F$17,$F$18,$E190,$F$20,L$22,$H190,$F$19)</f>
        <v>0</v>
      </c>
      <c r="M190" s="36">
        <f>_xll.DBRW($E$12,$F$16,$F$17,$F$18,$E190,$F$20,M$22,$H190,$F$19)</f>
        <v>0</v>
      </c>
      <c r="N190" s="36">
        <f>_xll.DBRW($E$12,$F$16,$F$17,$F$18,$E190,$F$20,N$22,$H190,$F$19)</f>
        <v>181.48</v>
      </c>
      <c r="O190" s="36">
        <f>_xll.DBRW($E$12,$F$16,$F$17,$F$18,$E190,$F$20,O$22,$H190,$F$19)</f>
        <v>0</v>
      </c>
      <c r="P190" s="36">
        <f>_xll.DBRW($E$12,$F$16,$F$17,$F$18,$E190,$F$20,P$22,$H190,$F$19)</f>
        <v>0</v>
      </c>
      <c r="Q190" s="36">
        <f>_xll.DBRW($E$12,$F$16,$F$17,$F$18,$E190,$F$20,Q$22,$H190,$F$19)</f>
        <v>0</v>
      </c>
      <c r="R190" s="36">
        <f>_xll.DBRW($E$12,$F$16,$F$17,$F$18,$E190,$F$20,R$22,$H190,$F$19)</f>
        <v>0</v>
      </c>
      <c r="S190" s="36">
        <f>_xll.DBRW($E$12,$F$16,$F$17,$F$18,$E190,$F$20,S$22,$H190,$F$19)</f>
        <v>0</v>
      </c>
      <c r="T190" s="36">
        <f>_xll.DBRW($E$12,$F$16,$F$17,$F$18,$E190,$F$20,T$22,$H190,$F$19)</f>
        <v>0</v>
      </c>
      <c r="U190" s="36">
        <f>_xll.DBRW($E$12,$F$16,$F$17,$F$18,$E190,$F$20,U$22,$H190,$F$19)</f>
        <v>324.38</v>
      </c>
    </row>
    <row r="191" spans="4:21" s="37" customFormat="1" ht="15" outlineLevel="1" thickBot="1" x14ac:dyDescent="0.35">
      <c r="D191" s="33" t="str">
        <f>IF(_xll.TM1RPTELISCONSOLIDATED($H$34,$H191),IF(_xll.TM1RPTELLEV($H$34,$H191)&lt;=5,_xll.TM1RPTELLEV($H$34,$H191),"Default"),"Leaf")</f>
        <v>Leaf</v>
      </c>
      <c r="E191" s="42" t="s">
        <v>672</v>
      </c>
      <c r="F191" s="34" t="str">
        <f>_xll.DBR($B$18,$H191,"Account_Type")</f>
        <v>NON LABOR</v>
      </c>
      <c r="G191" s="34" t="str">
        <f>_xll.DBR($B$18,$H191,"Description")</f>
        <v>Business Meals &amp; Entertainment</v>
      </c>
      <c r="H191" s="43" t="s">
        <v>93</v>
      </c>
      <c r="I191" s="36">
        <f>_xll.DBRW($E$12,$F$16,$F$17,$F$18,$E191,$F$20,I$22,$H191,$F$19)</f>
        <v>72.97</v>
      </c>
      <c r="J191" s="36">
        <f>_xll.DBRW($E$12,$F$16,$F$17,$F$18,$E191,$F$20,J$22,$H191,$F$19)</f>
        <v>51.22</v>
      </c>
      <c r="K191" s="36">
        <f>_xll.DBRW($E$12,$F$16,$F$17,$F$18,$E191,$F$20,K$22,$H191,$F$19)</f>
        <v>197.15</v>
      </c>
      <c r="L191" s="36">
        <f>_xll.DBRW($E$12,$F$16,$F$17,$F$18,$E191,$F$20,L$22,$H191,$F$19)</f>
        <v>0</v>
      </c>
      <c r="M191" s="36">
        <f>_xll.DBRW($E$12,$F$16,$F$17,$F$18,$E191,$F$20,M$22,$H191,$F$19)</f>
        <v>0</v>
      </c>
      <c r="N191" s="36">
        <f>_xll.DBRW($E$12,$F$16,$F$17,$F$18,$E191,$F$20,N$22,$H191,$F$19)</f>
        <v>141.57</v>
      </c>
      <c r="O191" s="36">
        <f>_xll.DBRW($E$12,$F$16,$F$17,$F$18,$E191,$F$20,O$22,$H191,$F$19)</f>
        <v>0</v>
      </c>
      <c r="P191" s="36">
        <f>_xll.DBRW($E$12,$F$16,$F$17,$F$18,$E191,$F$20,P$22,$H191,$F$19)</f>
        <v>0</v>
      </c>
      <c r="Q191" s="36">
        <f>_xll.DBRW($E$12,$F$16,$F$17,$F$18,$E191,$F$20,Q$22,$H191,$F$19)</f>
        <v>0</v>
      </c>
      <c r="R191" s="36">
        <f>_xll.DBRW($E$12,$F$16,$F$17,$F$18,$E191,$F$20,R$22,$H191,$F$19)</f>
        <v>0</v>
      </c>
      <c r="S191" s="36">
        <f>_xll.DBRW($E$12,$F$16,$F$17,$F$18,$E191,$F$20,S$22,$H191,$F$19)</f>
        <v>0</v>
      </c>
      <c r="T191" s="36">
        <f>_xll.DBRW($E$12,$F$16,$F$17,$F$18,$E191,$F$20,T$22,$H191,$F$19)</f>
        <v>0</v>
      </c>
      <c r="U191" s="36">
        <f>_xll.DBRW($E$12,$F$16,$F$17,$F$18,$E191,$F$20,U$22,$H191,$F$19)</f>
        <v>462.91</v>
      </c>
    </row>
    <row r="192" spans="4:21" s="37" customFormat="1" ht="15" outlineLevel="1" thickBot="1" x14ac:dyDescent="0.35">
      <c r="D192" s="33" t="str">
        <f>IF(_xll.TM1RPTELISCONSOLIDATED($H$34,$H192),IF(_xll.TM1RPTELLEV($H$34,$H192)&lt;=5,_xll.TM1RPTELLEV($H$34,$H192),"Default"),"Leaf")</f>
        <v>Leaf</v>
      </c>
      <c r="E192" s="42" t="s">
        <v>672</v>
      </c>
      <c r="F192" s="34" t="str">
        <f>_xll.DBR($B$18,$H192,"Account_Type")</f>
        <v>NON LABOR</v>
      </c>
      <c r="G192" s="34" t="str">
        <f>_xll.DBR($B$18,$H192,"Description")</f>
        <v>Business Meals &amp; Entertainment</v>
      </c>
      <c r="H192" s="43" t="s">
        <v>94</v>
      </c>
      <c r="I192" s="36">
        <f>_xll.DBRW($E$12,$F$16,$F$17,$F$18,$E192,$F$20,I$22,$H192,$F$19)</f>
        <v>141.79</v>
      </c>
      <c r="J192" s="36">
        <f>_xll.DBRW($E$12,$F$16,$F$17,$F$18,$E192,$F$20,J$22,$H192,$F$19)</f>
        <v>90.12</v>
      </c>
      <c r="K192" s="36">
        <f>_xll.DBRW($E$12,$F$16,$F$17,$F$18,$E192,$F$20,K$22,$H192,$F$19)</f>
        <v>197.12</v>
      </c>
      <c r="L192" s="36">
        <f>_xll.DBRW($E$12,$F$16,$F$17,$F$18,$E192,$F$20,L$22,$H192,$F$19)</f>
        <v>102.01</v>
      </c>
      <c r="M192" s="36">
        <f>_xll.DBRW($E$12,$F$16,$F$17,$F$18,$E192,$F$20,M$22,$H192,$F$19)</f>
        <v>236.6</v>
      </c>
      <c r="N192" s="36">
        <f>_xll.DBRW($E$12,$F$16,$F$17,$F$18,$E192,$F$20,N$22,$H192,$F$19)</f>
        <v>238.17</v>
      </c>
      <c r="O192" s="36">
        <f>_xll.DBRW($E$12,$F$16,$F$17,$F$18,$E192,$F$20,O$22,$H192,$F$19)</f>
        <v>0</v>
      </c>
      <c r="P192" s="36">
        <f>_xll.DBRW($E$12,$F$16,$F$17,$F$18,$E192,$F$20,P$22,$H192,$F$19)</f>
        <v>0</v>
      </c>
      <c r="Q192" s="36">
        <f>_xll.DBRW($E$12,$F$16,$F$17,$F$18,$E192,$F$20,Q$22,$H192,$F$19)</f>
        <v>0</v>
      </c>
      <c r="R192" s="36">
        <f>_xll.DBRW($E$12,$F$16,$F$17,$F$18,$E192,$F$20,R$22,$H192,$F$19)</f>
        <v>0</v>
      </c>
      <c r="S192" s="36">
        <f>_xll.DBRW($E$12,$F$16,$F$17,$F$18,$E192,$F$20,S$22,$H192,$F$19)</f>
        <v>0</v>
      </c>
      <c r="T192" s="36">
        <f>_xll.DBRW($E$12,$F$16,$F$17,$F$18,$E192,$F$20,T$22,$H192,$F$19)</f>
        <v>0</v>
      </c>
      <c r="U192" s="36">
        <f>_xll.DBRW($E$12,$F$16,$F$17,$F$18,$E192,$F$20,U$22,$H192,$F$19)</f>
        <v>1005.81</v>
      </c>
    </row>
    <row r="193" spans="4:21" s="37" customFormat="1" ht="15" outlineLevel="1" thickBot="1" x14ac:dyDescent="0.35">
      <c r="D193" s="33" t="str">
        <f>IF(_xll.TM1RPTELISCONSOLIDATED($H$34,$H193),IF(_xll.TM1RPTELLEV($H$34,$H193)&lt;=5,_xll.TM1RPTELLEV($H$34,$H193),"Default"),"Leaf")</f>
        <v>Leaf</v>
      </c>
      <c r="E193" s="42" t="s">
        <v>672</v>
      </c>
      <c r="F193" s="34" t="str">
        <f>_xll.DBR($B$18,$H193,"Account_Type")</f>
        <v>NON LABOR</v>
      </c>
      <c r="G193" s="34" t="str">
        <f>_xll.DBR($B$18,$H193,"Description")</f>
        <v>Business Meals &amp; Entertainment</v>
      </c>
      <c r="H193" s="43" t="s">
        <v>95</v>
      </c>
      <c r="I193" s="36">
        <f>_xll.DBRW($E$12,$F$16,$F$17,$F$18,$E193,$F$20,I$22,$H193,$F$19)</f>
        <v>0</v>
      </c>
      <c r="J193" s="36">
        <f>_xll.DBRW($E$12,$F$16,$F$17,$F$18,$E193,$F$20,J$22,$H193,$F$19)</f>
        <v>697.89</v>
      </c>
      <c r="K193" s="36">
        <f>_xll.DBRW($E$12,$F$16,$F$17,$F$18,$E193,$F$20,K$22,$H193,$F$19)</f>
        <v>0</v>
      </c>
      <c r="L193" s="36">
        <f>_xll.DBRW($E$12,$F$16,$F$17,$F$18,$E193,$F$20,L$22,$H193,$F$19)</f>
        <v>0</v>
      </c>
      <c r="M193" s="36">
        <f>_xll.DBRW($E$12,$F$16,$F$17,$F$18,$E193,$F$20,M$22,$H193,$F$19)</f>
        <v>0</v>
      </c>
      <c r="N193" s="36">
        <f>_xll.DBRW($E$12,$F$16,$F$17,$F$18,$E193,$F$20,N$22,$H193,$F$19)</f>
        <v>0</v>
      </c>
      <c r="O193" s="36">
        <f>_xll.DBRW($E$12,$F$16,$F$17,$F$18,$E193,$F$20,O$22,$H193,$F$19)</f>
        <v>0</v>
      </c>
      <c r="P193" s="36">
        <f>_xll.DBRW($E$12,$F$16,$F$17,$F$18,$E193,$F$20,P$22,$H193,$F$19)</f>
        <v>0</v>
      </c>
      <c r="Q193" s="36">
        <f>_xll.DBRW($E$12,$F$16,$F$17,$F$18,$E193,$F$20,Q$22,$H193,$F$19)</f>
        <v>0</v>
      </c>
      <c r="R193" s="36">
        <f>_xll.DBRW($E$12,$F$16,$F$17,$F$18,$E193,$F$20,R$22,$H193,$F$19)</f>
        <v>0</v>
      </c>
      <c r="S193" s="36">
        <f>_xll.DBRW($E$12,$F$16,$F$17,$F$18,$E193,$F$20,S$22,$H193,$F$19)</f>
        <v>0</v>
      </c>
      <c r="T193" s="36">
        <f>_xll.DBRW($E$12,$F$16,$F$17,$F$18,$E193,$F$20,T$22,$H193,$F$19)</f>
        <v>0</v>
      </c>
      <c r="U193" s="36">
        <f>_xll.DBRW($E$12,$F$16,$F$17,$F$18,$E193,$F$20,U$22,$H193,$F$19)</f>
        <v>697.89</v>
      </c>
    </row>
    <row r="194" spans="4:21" s="37" customFormat="1" ht="15" outlineLevel="1" thickBot="1" x14ac:dyDescent="0.35">
      <c r="D194" s="33" t="str">
        <f>IF(_xll.TM1RPTELISCONSOLIDATED($H$34,$H194),IF(_xll.TM1RPTELLEV($H$34,$H194)&lt;=5,_xll.TM1RPTELLEV($H$34,$H194),"Default"),"Leaf")</f>
        <v>Leaf</v>
      </c>
      <c r="E194" s="42" t="s">
        <v>672</v>
      </c>
      <c r="F194" s="34" t="str">
        <f>_xll.DBR($B$18,$H194,"Account_Type")</f>
        <v>NON LABOR</v>
      </c>
      <c r="G194" s="34" t="str">
        <f>_xll.DBR($B$18,$H194,"Description")</f>
        <v>Business Meals &amp; Entertainment</v>
      </c>
      <c r="H194" s="43" t="s">
        <v>96</v>
      </c>
      <c r="I194" s="36">
        <f>_xll.DBRW($E$12,$F$16,$F$17,$F$18,$E194,$F$20,I$22,$H194,$F$19)</f>
        <v>0</v>
      </c>
      <c r="J194" s="36">
        <f>_xll.DBRW($E$12,$F$16,$F$17,$F$18,$E194,$F$20,J$22,$H194,$F$19)</f>
        <v>0</v>
      </c>
      <c r="K194" s="36">
        <f>_xll.DBRW($E$12,$F$16,$F$17,$F$18,$E194,$F$20,K$22,$H194,$F$19)</f>
        <v>0</v>
      </c>
      <c r="L194" s="36">
        <f>_xll.DBRW($E$12,$F$16,$F$17,$F$18,$E194,$F$20,L$22,$H194,$F$19)</f>
        <v>176.76</v>
      </c>
      <c r="M194" s="36">
        <f>_xll.DBRW($E$12,$F$16,$F$17,$F$18,$E194,$F$20,M$22,$H194,$F$19)</f>
        <v>0</v>
      </c>
      <c r="N194" s="36">
        <f>_xll.DBRW($E$12,$F$16,$F$17,$F$18,$E194,$F$20,N$22,$H194,$F$19)</f>
        <v>22.46</v>
      </c>
      <c r="O194" s="36">
        <f>_xll.DBRW($E$12,$F$16,$F$17,$F$18,$E194,$F$20,O$22,$H194,$F$19)</f>
        <v>0</v>
      </c>
      <c r="P194" s="36">
        <f>_xll.DBRW($E$12,$F$16,$F$17,$F$18,$E194,$F$20,P$22,$H194,$F$19)</f>
        <v>0</v>
      </c>
      <c r="Q194" s="36">
        <f>_xll.DBRW($E$12,$F$16,$F$17,$F$18,$E194,$F$20,Q$22,$H194,$F$19)</f>
        <v>0</v>
      </c>
      <c r="R194" s="36">
        <f>_xll.DBRW($E$12,$F$16,$F$17,$F$18,$E194,$F$20,R$22,$H194,$F$19)</f>
        <v>0</v>
      </c>
      <c r="S194" s="36">
        <f>_xll.DBRW($E$12,$F$16,$F$17,$F$18,$E194,$F$20,S$22,$H194,$F$19)</f>
        <v>0</v>
      </c>
      <c r="T194" s="36">
        <f>_xll.DBRW($E$12,$F$16,$F$17,$F$18,$E194,$F$20,T$22,$H194,$F$19)</f>
        <v>0</v>
      </c>
      <c r="U194" s="36">
        <f>_xll.DBRW($E$12,$F$16,$F$17,$F$18,$E194,$F$20,U$22,$H194,$F$19)</f>
        <v>199.22</v>
      </c>
    </row>
    <row r="195" spans="4:21" s="37" customFormat="1" ht="15" outlineLevel="1" thickBot="1" x14ac:dyDescent="0.35">
      <c r="D195" s="33" t="str">
        <f>IF(_xll.TM1RPTELISCONSOLIDATED($H$34,$H195),IF(_xll.TM1RPTELLEV($H$34,$H195)&lt;=5,_xll.TM1RPTELLEV($H$34,$H195),"Default"),"Leaf")</f>
        <v>Leaf</v>
      </c>
      <c r="E195" s="42" t="s">
        <v>672</v>
      </c>
      <c r="F195" s="34" t="str">
        <f>_xll.DBR($B$18,$H195,"Account_Type")</f>
        <v>NON LABOR</v>
      </c>
      <c r="G195" s="34" t="str">
        <f>_xll.DBR($B$18,$H195,"Description")</f>
        <v>Telecommunications / Internet</v>
      </c>
      <c r="H195" s="43" t="s">
        <v>115</v>
      </c>
      <c r="I195" s="36">
        <f>_xll.DBRW($E$12,$F$16,$F$17,$F$18,$E195,$F$20,I$22,$H195,$F$19)</f>
        <v>577</v>
      </c>
      <c r="J195" s="36">
        <f>_xll.DBRW($E$12,$F$16,$F$17,$F$18,$E195,$F$20,J$22,$H195,$F$19)</f>
        <v>544.92999999999995</v>
      </c>
      <c r="K195" s="36">
        <f>_xll.DBRW($E$12,$F$16,$F$17,$F$18,$E195,$F$20,K$22,$H195,$F$19)</f>
        <v>576.87</v>
      </c>
      <c r="L195" s="36">
        <f>_xll.DBRW($E$12,$F$16,$F$17,$F$18,$E195,$F$20,L$22,$H195,$F$19)</f>
        <v>487.99</v>
      </c>
      <c r="M195" s="36">
        <f>_xll.DBRW($E$12,$F$16,$F$17,$F$18,$E195,$F$20,M$22,$H195,$F$19)</f>
        <v>487.77</v>
      </c>
      <c r="N195" s="36">
        <f>_xll.DBRW($E$12,$F$16,$F$17,$F$18,$E195,$F$20,N$22,$H195,$F$19)</f>
        <v>487.77</v>
      </c>
      <c r="O195" s="36">
        <f>_xll.DBRW($E$12,$F$16,$F$17,$F$18,$E195,$F$20,O$22,$H195,$F$19)</f>
        <v>25</v>
      </c>
      <c r="P195" s="36">
        <f>_xll.DBRW($E$12,$F$16,$F$17,$F$18,$E195,$F$20,P$22,$H195,$F$19)</f>
        <v>0</v>
      </c>
      <c r="Q195" s="36">
        <f>_xll.DBRW($E$12,$F$16,$F$17,$F$18,$E195,$F$20,Q$22,$H195,$F$19)</f>
        <v>0</v>
      </c>
      <c r="R195" s="36">
        <f>_xll.DBRW($E$12,$F$16,$F$17,$F$18,$E195,$F$20,R$22,$H195,$F$19)</f>
        <v>0</v>
      </c>
      <c r="S195" s="36">
        <f>_xll.DBRW($E$12,$F$16,$F$17,$F$18,$E195,$F$20,S$22,$H195,$F$19)</f>
        <v>0</v>
      </c>
      <c r="T195" s="36">
        <f>_xll.DBRW($E$12,$F$16,$F$17,$F$18,$E195,$F$20,T$22,$H195,$F$19)</f>
        <v>0</v>
      </c>
      <c r="U195" s="36">
        <f>_xll.DBRW($E$12,$F$16,$F$17,$F$18,$E195,$F$20,U$22,$H195,$F$19)</f>
        <v>3187.33</v>
      </c>
    </row>
    <row r="196" spans="4:21" s="37" customFormat="1" ht="15" outlineLevel="1" thickBot="1" x14ac:dyDescent="0.35">
      <c r="D196" s="33" t="str">
        <f>IF(_xll.TM1RPTELISCONSOLIDATED($H$34,$H196),IF(_xll.TM1RPTELLEV($H$34,$H196)&lt;=5,_xll.TM1RPTELLEV($H$34,$H196),"Default"),"Leaf")</f>
        <v>Leaf</v>
      </c>
      <c r="E196" s="42" t="s">
        <v>672</v>
      </c>
      <c r="F196" s="34" t="str">
        <f>_xll.DBR($B$18,$H196,"Account_Type")</f>
        <v>NON LABOR</v>
      </c>
      <c r="G196" s="34" t="str">
        <f>_xll.DBR($B$18,$H196,"Description")</f>
        <v>Telecommunications / Internet</v>
      </c>
      <c r="H196" s="43" t="s">
        <v>116</v>
      </c>
      <c r="I196" s="36">
        <f>_xll.DBRW($E$12,$F$16,$F$17,$F$18,$E196,$F$20,I$22,$H196,$F$19)</f>
        <v>56.95</v>
      </c>
      <c r="J196" s="36">
        <f>_xll.DBRW($E$12,$F$16,$F$17,$F$18,$E196,$F$20,J$22,$H196,$F$19)</f>
        <v>56.94</v>
      </c>
      <c r="K196" s="36">
        <f>_xll.DBRW($E$12,$F$16,$F$17,$F$18,$E196,$F$20,K$22,$H196,$F$19)</f>
        <v>56.94</v>
      </c>
      <c r="L196" s="36">
        <f>_xll.DBRW($E$12,$F$16,$F$17,$F$18,$E196,$F$20,L$22,$H196,$F$19)</f>
        <v>31.94</v>
      </c>
      <c r="M196" s="36">
        <f>_xll.DBRW($E$12,$F$16,$F$17,$F$18,$E196,$F$20,M$22,$H196,$F$19)</f>
        <v>31.92</v>
      </c>
      <c r="N196" s="36">
        <f>_xll.DBRW($E$12,$F$16,$F$17,$F$18,$E196,$F$20,N$22,$H196,$F$19)</f>
        <v>31.92</v>
      </c>
      <c r="O196" s="36">
        <f>_xll.DBRW($E$12,$F$16,$F$17,$F$18,$E196,$F$20,O$22,$H196,$F$19)</f>
        <v>0</v>
      </c>
      <c r="P196" s="36">
        <f>_xll.DBRW($E$12,$F$16,$F$17,$F$18,$E196,$F$20,P$22,$H196,$F$19)</f>
        <v>0</v>
      </c>
      <c r="Q196" s="36">
        <f>_xll.DBRW($E$12,$F$16,$F$17,$F$18,$E196,$F$20,Q$22,$H196,$F$19)</f>
        <v>0</v>
      </c>
      <c r="R196" s="36">
        <f>_xll.DBRW($E$12,$F$16,$F$17,$F$18,$E196,$F$20,R$22,$H196,$F$19)</f>
        <v>0</v>
      </c>
      <c r="S196" s="36">
        <f>_xll.DBRW($E$12,$F$16,$F$17,$F$18,$E196,$F$20,S$22,$H196,$F$19)</f>
        <v>0</v>
      </c>
      <c r="T196" s="36">
        <f>_xll.DBRW($E$12,$F$16,$F$17,$F$18,$E196,$F$20,T$22,$H196,$F$19)</f>
        <v>0</v>
      </c>
      <c r="U196" s="36">
        <f>_xll.DBRW($E$12,$F$16,$F$17,$F$18,$E196,$F$20,U$22,$H196,$F$19)</f>
        <v>266.61</v>
      </c>
    </row>
    <row r="197" spans="4:21" s="37" customFormat="1" ht="15" outlineLevel="1" thickBot="1" x14ac:dyDescent="0.35">
      <c r="D197" s="33" t="str">
        <f>IF(_xll.TM1RPTELISCONSOLIDATED($H$34,$H197),IF(_xll.TM1RPTELLEV($H$34,$H197)&lt;=5,_xll.TM1RPTELLEV($H$34,$H197),"Default"),"Leaf")</f>
        <v>Leaf</v>
      </c>
      <c r="E197" s="42" t="s">
        <v>672</v>
      </c>
      <c r="F197" s="34" t="str">
        <f>_xll.DBR($B$18,$H197,"Account_Type")</f>
        <v>NON LABOR</v>
      </c>
      <c r="G197" s="34" t="str">
        <f>_xll.DBR($B$18,$H197,"Description")</f>
        <v>Office/Computer Supplies &amp; Eqpt</v>
      </c>
      <c r="H197" s="43" t="s">
        <v>133</v>
      </c>
      <c r="I197" s="36">
        <f>_xll.DBRW($E$12,$F$16,$F$17,$F$18,$E197,$F$20,I$22,$H197,$F$19)</f>
        <v>755.55</v>
      </c>
      <c r="J197" s="36">
        <f>_xll.DBRW($E$12,$F$16,$F$17,$F$18,$E197,$F$20,J$22,$H197,$F$19)</f>
        <v>296.47000000000003</v>
      </c>
      <c r="K197" s="36">
        <f>_xll.DBRW($E$12,$F$16,$F$17,$F$18,$E197,$F$20,K$22,$H197,$F$19)</f>
        <v>847.86</v>
      </c>
      <c r="L197" s="36">
        <f>_xll.DBRW($E$12,$F$16,$F$17,$F$18,$E197,$F$20,L$22,$H197,$F$19)</f>
        <v>597.5</v>
      </c>
      <c r="M197" s="36">
        <f>_xll.DBRW($E$12,$F$16,$F$17,$F$18,$E197,$F$20,M$22,$H197,$F$19)</f>
        <v>477.47</v>
      </c>
      <c r="N197" s="36">
        <f>_xll.DBRW($E$12,$F$16,$F$17,$F$18,$E197,$F$20,N$22,$H197,$F$19)</f>
        <v>98.81</v>
      </c>
      <c r="O197" s="36">
        <f>_xll.DBRW($E$12,$F$16,$F$17,$F$18,$E197,$F$20,O$22,$H197,$F$19)</f>
        <v>0</v>
      </c>
      <c r="P197" s="36">
        <f>_xll.DBRW($E$12,$F$16,$F$17,$F$18,$E197,$F$20,P$22,$H197,$F$19)</f>
        <v>0</v>
      </c>
      <c r="Q197" s="36">
        <f>_xll.DBRW($E$12,$F$16,$F$17,$F$18,$E197,$F$20,Q$22,$H197,$F$19)</f>
        <v>0</v>
      </c>
      <c r="R197" s="36">
        <f>_xll.DBRW($E$12,$F$16,$F$17,$F$18,$E197,$F$20,R$22,$H197,$F$19)</f>
        <v>0</v>
      </c>
      <c r="S197" s="36">
        <f>_xll.DBRW($E$12,$F$16,$F$17,$F$18,$E197,$F$20,S$22,$H197,$F$19)</f>
        <v>0</v>
      </c>
      <c r="T197" s="36">
        <f>_xll.DBRW($E$12,$F$16,$F$17,$F$18,$E197,$F$20,T$22,$H197,$F$19)</f>
        <v>0</v>
      </c>
      <c r="U197" s="36">
        <f>_xll.DBRW($E$12,$F$16,$F$17,$F$18,$E197,$F$20,U$22,$H197,$F$19)</f>
        <v>3073.6600000000003</v>
      </c>
    </row>
    <row r="198" spans="4:21" s="37" customFormat="1" ht="15" outlineLevel="1" thickBot="1" x14ac:dyDescent="0.35">
      <c r="D198" s="33" t="str">
        <f>IF(_xll.TM1RPTELISCONSOLIDATED($H$34,$H198),IF(_xll.TM1RPTELLEV($H$34,$H198)&lt;=5,_xll.TM1RPTELLEV($H$34,$H198),"Default"),"Leaf")</f>
        <v>Leaf</v>
      </c>
      <c r="E198" s="42" t="s">
        <v>672</v>
      </c>
      <c r="F198" s="34" t="str">
        <f>_xll.DBR($B$18,$H198,"Account_Type")</f>
        <v>NON LABOR</v>
      </c>
      <c r="G198" s="34" t="str">
        <f>_xll.DBR($B$18,$H198,"Description")</f>
        <v>Office/Computer Supplies &amp; Eqpt</v>
      </c>
      <c r="H198" s="43" t="s">
        <v>134</v>
      </c>
      <c r="I198" s="36">
        <f>_xll.DBRW($E$12,$F$16,$F$17,$F$18,$E198,$F$20,I$22,$H198,$F$19)</f>
        <v>0</v>
      </c>
      <c r="J198" s="36">
        <f>_xll.DBRW($E$12,$F$16,$F$17,$F$18,$E198,$F$20,J$22,$H198,$F$19)</f>
        <v>0</v>
      </c>
      <c r="K198" s="36">
        <f>_xll.DBRW($E$12,$F$16,$F$17,$F$18,$E198,$F$20,K$22,$H198,$F$19)</f>
        <v>0</v>
      </c>
      <c r="L198" s="36">
        <f>_xll.DBRW($E$12,$F$16,$F$17,$F$18,$E198,$F$20,L$22,$H198,$F$19)</f>
        <v>0</v>
      </c>
      <c r="M198" s="36">
        <f>_xll.DBRW($E$12,$F$16,$F$17,$F$18,$E198,$F$20,M$22,$H198,$F$19)</f>
        <v>0</v>
      </c>
      <c r="N198" s="36">
        <f>_xll.DBRW($E$12,$F$16,$F$17,$F$18,$E198,$F$20,N$22,$H198,$F$19)</f>
        <v>60</v>
      </c>
      <c r="O198" s="36">
        <f>_xll.DBRW($E$12,$F$16,$F$17,$F$18,$E198,$F$20,O$22,$H198,$F$19)</f>
        <v>0</v>
      </c>
      <c r="P198" s="36">
        <f>_xll.DBRW($E$12,$F$16,$F$17,$F$18,$E198,$F$20,P$22,$H198,$F$19)</f>
        <v>0</v>
      </c>
      <c r="Q198" s="36">
        <f>_xll.DBRW($E$12,$F$16,$F$17,$F$18,$E198,$F$20,Q$22,$H198,$F$19)</f>
        <v>0</v>
      </c>
      <c r="R198" s="36">
        <f>_xll.DBRW($E$12,$F$16,$F$17,$F$18,$E198,$F$20,R$22,$H198,$F$19)</f>
        <v>0</v>
      </c>
      <c r="S198" s="36">
        <f>_xll.DBRW($E$12,$F$16,$F$17,$F$18,$E198,$F$20,S$22,$H198,$F$19)</f>
        <v>0</v>
      </c>
      <c r="T198" s="36">
        <f>_xll.DBRW($E$12,$F$16,$F$17,$F$18,$E198,$F$20,T$22,$H198,$F$19)</f>
        <v>0</v>
      </c>
      <c r="U198" s="36">
        <f>_xll.DBRW($E$12,$F$16,$F$17,$F$18,$E198,$F$20,U$22,$H198,$F$19)</f>
        <v>60</v>
      </c>
    </row>
    <row r="199" spans="4:21" s="37" customFormat="1" ht="15" outlineLevel="1" thickBot="1" x14ac:dyDescent="0.35">
      <c r="D199" s="33" t="str">
        <f>IF(_xll.TM1RPTELISCONSOLIDATED($H$34,$H199),IF(_xll.TM1RPTELLEV($H$34,$H199)&lt;=5,_xll.TM1RPTELLEV($H$34,$H199),"Default"),"Leaf")</f>
        <v>Leaf</v>
      </c>
      <c r="E199" s="42" t="s">
        <v>672</v>
      </c>
      <c r="F199" s="34" t="str">
        <f>_xll.DBR($B$18,$H199,"Account_Type")</f>
        <v>NON LABOR</v>
      </c>
      <c r="G199" s="34" t="str">
        <f>_xll.DBR($B$18,$H199,"Description")</f>
        <v>Postage &amp; Courier Fees</v>
      </c>
      <c r="H199" s="43" t="s">
        <v>152</v>
      </c>
      <c r="I199" s="36">
        <f>_xll.DBRW($E$12,$F$16,$F$17,$F$18,$E199,$F$20,I$22,$H199,$F$19)</f>
        <v>173.79</v>
      </c>
      <c r="J199" s="36">
        <f>_xll.DBRW($E$12,$F$16,$F$17,$F$18,$E199,$F$20,J$22,$H199,$F$19)</f>
        <v>188.66</v>
      </c>
      <c r="K199" s="36">
        <f>_xll.DBRW($E$12,$F$16,$F$17,$F$18,$E199,$F$20,K$22,$H199,$F$19)</f>
        <v>293.26</v>
      </c>
      <c r="L199" s="36">
        <f>_xll.DBRW($E$12,$F$16,$F$17,$F$18,$E199,$F$20,L$22,$H199,$F$19)</f>
        <v>368.05</v>
      </c>
      <c r="M199" s="36">
        <f>_xll.DBRW($E$12,$F$16,$F$17,$F$18,$E199,$F$20,M$22,$H199,$F$19)</f>
        <v>148.49</v>
      </c>
      <c r="N199" s="36">
        <f>_xll.DBRW($E$12,$F$16,$F$17,$F$18,$E199,$F$20,N$22,$H199,$F$19)</f>
        <v>198.61</v>
      </c>
      <c r="O199" s="36">
        <f>_xll.DBRW($E$12,$F$16,$F$17,$F$18,$E199,$F$20,O$22,$H199,$F$19)</f>
        <v>0</v>
      </c>
      <c r="P199" s="36">
        <f>_xll.DBRW($E$12,$F$16,$F$17,$F$18,$E199,$F$20,P$22,$H199,$F$19)</f>
        <v>0</v>
      </c>
      <c r="Q199" s="36">
        <f>_xll.DBRW($E$12,$F$16,$F$17,$F$18,$E199,$F$20,Q$22,$H199,$F$19)</f>
        <v>0</v>
      </c>
      <c r="R199" s="36">
        <f>_xll.DBRW($E$12,$F$16,$F$17,$F$18,$E199,$F$20,R$22,$H199,$F$19)</f>
        <v>0</v>
      </c>
      <c r="S199" s="36">
        <f>_xll.DBRW($E$12,$F$16,$F$17,$F$18,$E199,$F$20,S$22,$H199,$F$19)</f>
        <v>0</v>
      </c>
      <c r="T199" s="36">
        <f>_xll.DBRW($E$12,$F$16,$F$17,$F$18,$E199,$F$20,T$22,$H199,$F$19)</f>
        <v>0</v>
      </c>
      <c r="U199" s="36">
        <f>_xll.DBRW($E$12,$F$16,$F$17,$F$18,$E199,$F$20,U$22,$H199,$F$19)</f>
        <v>1370.8600000000001</v>
      </c>
    </row>
    <row r="200" spans="4:21" s="37" customFormat="1" ht="15" outlineLevel="1" thickBot="1" x14ac:dyDescent="0.35">
      <c r="D200" s="33" t="str">
        <f>IF(_xll.TM1RPTELISCONSOLIDATED($H$34,$H200),IF(_xll.TM1RPTELLEV($H$34,$H200)&lt;=5,_xll.TM1RPTELLEV($H$34,$H200),"Default"),"Leaf")</f>
        <v>Leaf</v>
      </c>
      <c r="E200" s="42" t="s">
        <v>672</v>
      </c>
      <c r="F200" s="34" t="str">
        <f>_xll.DBR($B$18,$H200,"Account_Type")</f>
        <v>NON LABOR</v>
      </c>
      <c r="G200" s="34" t="str">
        <f>_xll.DBR($B$18,$H200,"Description")</f>
        <v>Postage &amp; Courier Fees</v>
      </c>
      <c r="H200" s="43" t="s">
        <v>153</v>
      </c>
      <c r="I200" s="36">
        <f>_xll.DBRW($E$12,$F$16,$F$17,$F$18,$E200,$F$20,I$22,$H200,$F$19)</f>
        <v>0</v>
      </c>
      <c r="J200" s="36">
        <f>_xll.DBRW($E$12,$F$16,$F$17,$F$18,$E200,$F$20,J$22,$H200,$F$19)</f>
        <v>29.02</v>
      </c>
      <c r="K200" s="36">
        <f>_xll.DBRW($E$12,$F$16,$F$17,$F$18,$E200,$F$20,K$22,$H200,$F$19)</f>
        <v>49.38</v>
      </c>
      <c r="L200" s="36">
        <f>_xll.DBRW($E$12,$F$16,$F$17,$F$18,$E200,$F$20,L$22,$H200,$F$19)</f>
        <v>0</v>
      </c>
      <c r="M200" s="36">
        <f>_xll.DBRW($E$12,$F$16,$F$17,$F$18,$E200,$F$20,M$22,$H200,$F$19)</f>
        <v>49.53</v>
      </c>
      <c r="N200" s="36">
        <f>_xll.DBRW($E$12,$F$16,$F$17,$F$18,$E200,$F$20,N$22,$H200,$F$19)</f>
        <v>65.040000000000006</v>
      </c>
      <c r="O200" s="36">
        <f>_xll.DBRW($E$12,$F$16,$F$17,$F$18,$E200,$F$20,O$22,$H200,$F$19)</f>
        <v>0</v>
      </c>
      <c r="P200" s="36">
        <f>_xll.DBRW($E$12,$F$16,$F$17,$F$18,$E200,$F$20,P$22,$H200,$F$19)</f>
        <v>0</v>
      </c>
      <c r="Q200" s="36">
        <f>_xll.DBRW($E$12,$F$16,$F$17,$F$18,$E200,$F$20,Q$22,$H200,$F$19)</f>
        <v>0</v>
      </c>
      <c r="R200" s="36">
        <f>_xll.DBRW($E$12,$F$16,$F$17,$F$18,$E200,$F$20,R$22,$H200,$F$19)</f>
        <v>0</v>
      </c>
      <c r="S200" s="36">
        <f>_xll.DBRW($E$12,$F$16,$F$17,$F$18,$E200,$F$20,S$22,$H200,$F$19)</f>
        <v>0</v>
      </c>
      <c r="T200" s="36">
        <f>_xll.DBRW($E$12,$F$16,$F$17,$F$18,$E200,$F$20,T$22,$H200,$F$19)</f>
        <v>0</v>
      </c>
      <c r="U200" s="36">
        <f>_xll.DBRW($E$12,$F$16,$F$17,$F$18,$E200,$F$20,U$22,$H200,$F$19)</f>
        <v>192.97000000000003</v>
      </c>
    </row>
    <row r="201" spans="4:21" s="37" customFormat="1" ht="15" outlineLevel="1" thickBot="1" x14ac:dyDescent="0.35">
      <c r="D201" s="33" t="str">
        <f>IF(_xll.TM1RPTELISCONSOLIDATED($H$34,$H201),IF(_xll.TM1RPTELLEV($H$34,$H201)&lt;=5,_xll.TM1RPTELLEV($H$34,$H201),"Default"),"Leaf")</f>
        <v>Leaf</v>
      </c>
      <c r="E201" s="42" t="s">
        <v>672</v>
      </c>
      <c r="F201" s="34" t="str">
        <f>_xll.DBR($B$18,$H201,"Account_Type")</f>
        <v>NON LABOR</v>
      </c>
      <c r="G201" s="34" t="str">
        <f>_xll.DBR($B$18,$H201,"Description")</f>
        <v>Printing &amp; Reproduction</v>
      </c>
      <c r="H201" s="43" t="s">
        <v>167</v>
      </c>
      <c r="I201" s="36">
        <f>_xll.DBRW($E$12,$F$16,$F$17,$F$18,$E201,$F$20,I$22,$H201,$F$19)</f>
        <v>0</v>
      </c>
      <c r="J201" s="36">
        <f>_xll.DBRW($E$12,$F$16,$F$17,$F$18,$E201,$F$20,J$22,$H201,$F$19)</f>
        <v>0</v>
      </c>
      <c r="K201" s="36">
        <f>_xll.DBRW($E$12,$F$16,$F$17,$F$18,$E201,$F$20,K$22,$H201,$F$19)</f>
        <v>0</v>
      </c>
      <c r="L201" s="36">
        <f>_xll.DBRW($E$12,$F$16,$F$17,$F$18,$E201,$F$20,L$22,$H201,$F$19)</f>
        <v>0</v>
      </c>
      <c r="M201" s="36">
        <f>_xll.DBRW($E$12,$F$16,$F$17,$F$18,$E201,$F$20,M$22,$H201,$F$19)</f>
        <v>0</v>
      </c>
      <c r="N201" s="36">
        <f>_xll.DBRW($E$12,$F$16,$F$17,$F$18,$E201,$F$20,N$22,$H201,$F$19)</f>
        <v>84.34</v>
      </c>
      <c r="O201" s="36">
        <f>_xll.DBRW($E$12,$F$16,$F$17,$F$18,$E201,$F$20,O$22,$H201,$F$19)</f>
        <v>0</v>
      </c>
      <c r="P201" s="36">
        <f>_xll.DBRW($E$12,$F$16,$F$17,$F$18,$E201,$F$20,P$22,$H201,$F$19)</f>
        <v>0</v>
      </c>
      <c r="Q201" s="36">
        <f>_xll.DBRW($E$12,$F$16,$F$17,$F$18,$E201,$F$20,Q$22,$H201,$F$19)</f>
        <v>0</v>
      </c>
      <c r="R201" s="36">
        <f>_xll.DBRW($E$12,$F$16,$F$17,$F$18,$E201,$F$20,R$22,$H201,$F$19)</f>
        <v>0</v>
      </c>
      <c r="S201" s="36">
        <f>_xll.DBRW($E$12,$F$16,$F$17,$F$18,$E201,$F$20,S$22,$H201,$F$19)</f>
        <v>0</v>
      </c>
      <c r="T201" s="36">
        <f>_xll.DBRW($E$12,$F$16,$F$17,$F$18,$E201,$F$20,T$22,$H201,$F$19)</f>
        <v>0</v>
      </c>
      <c r="U201" s="36">
        <f>_xll.DBRW($E$12,$F$16,$F$17,$F$18,$E201,$F$20,U$22,$H201,$F$19)</f>
        <v>84.34</v>
      </c>
    </row>
    <row r="202" spans="4:21" s="37" customFormat="1" ht="15" outlineLevel="1" thickBot="1" x14ac:dyDescent="0.35">
      <c r="D202" s="33" t="str">
        <f>IF(_xll.TM1RPTELISCONSOLIDATED($H$34,$H202),IF(_xll.TM1RPTELLEV($H$34,$H202)&lt;=5,_xll.TM1RPTELLEV($H$34,$H202),"Default"),"Leaf")</f>
        <v>Leaf</v>
      </c>
      <c r="E202" s="42" t="s">
        <v>672</v>
      </c>
      <c r="F202" s="34" t="str">
        <f>_xll.DBR($B$18,$H202,"Account_Type")</f>
        <v>NON LABOR</v>
      </c>
      <c r="G202" s="34" t="str">
        <f>_xll.DBR($B$18,$H202,"Description")</f>
        <v>Education/Training/Dues/Subscriptions</v>
      </c>
      <c r="H202" s="43" t="s">
        <v>172</v>
      </c>
      <c r="I202" s="36">
        <f>_xll.DBRW($E$12,$F$16,$F$17,$F$18,$E202,$F$20,I$22,$H202,$F$19)</f>
        <v>27464.400000000001</v>
      </c>
      <c r="J202" s="36">
        <f>_xll.DBRW($E$12,$F$16,$F$17,$F$18,$E202,$F$20,J$22,$H202,$F$19)</f>
        <v>21217.38</v>
      </c>
      <c r="K202" s="36">
        <f>_xll.DBRW($E$12,$F$16,$F$17,$F$18,$E202,$F$20,K$22,$H202,$F$19)</f>
        <v>-16382.43</v>
      </c>
      <c r="L202" s="36">
        <f>_xll.DBRW($E$12,$F$16,$F$17,$F$18,$E202,$F$20,L$22,$H202,$F$19)</f>
        <v>-13499.79</v>
      </c>
      <c r="M202" s="36">
        <f>_xll.DBRW($E$12,$F$16,$F$17,$F$18,$E202,$F$20,M$22,$H202,$F$19)</f>
        <v>975.99</v>
      </c>
      <c r="N202" s="36">
        <f>_xll.DBRW($E$12,$F$16,$F$17,$F$18,$E202,$F$20,N$22,$H202,$F$19)</f>
        <v>1035.1300000000001</v>
      </c>
      <c r="O202" s="36">
        <f>_xll.DBRW($E$12,$F$16,$F$17,$F$18,$E202,$F$20,O$22,$H202,$F$19)</f>
        <v>1035.1300000000001</v>
      </c>
      <c r="P202" s="36">
        <f>_xll.DBRW($E$12,$F$16,$F$17,$F$18,$E202,$F$20,P$22,$H202,$F$19)</f>
        <v>0</v>
      </c>
      <c r="Q202" s="36">
        <f>_xll.DBRW($E$12,$F$16,$F$17,$F$18,$E202,$F$20,Q$22,$H202,$F$19)</f>
        <v>0</v>
      </c>
      <c r="R202" s="36">
        <f>_xll.DBRW($E$12,$F$16,$F$17,$F$18,$E202,$F$20,R$22,$H202,$F$19)</f>
        <v>0</v>
      </c>
      <c r="S202" s="36">
        <f>_xll.DBRW($E$12,$F$16,$F$17,$F$18,$E202,$F$20,S$22,$H202,$F$19)</f>
        <v>0</v>
      </c>
      <c r="T202" s="36">
        <f>_xll.DBRW($E$12,$F$16,$F$17,$F$18,$E202,$F$20,T$22,$H202,$F$19)</f>
        <v>0</v>
      </c>
      <c r="U202" s="36">
        <f>_xll.DBRW($E$12,$F$16,$F$17,$F$18,$E202,$F$20,U$22,$H202,$F$19)</f>
        <v>21845.81</v>
      </c>
    </row>
    <row r="203" spans="4:21" s="37" customFormat="1" ht="15" outlineLevel="1" thickBot="1" x14ac:dyDescent="0.35">
      <c r="D203" s="33" t="str">
        <f>IF(_xll.TM1RPTELISCONSOLIDATED($H$34,$H203),IF(_xll.TM1RPTELLEV($H$34,$H203)&lt;=5,_xll.TM1RPTELLEV($H$34,$H203),"Default"),"Leaf")</f>
        <v>Leaf</v>
      </c>
      <c r="E203" s="42" t="s">
        <v>672</v>
      </c>
      <c r="F203" s="34" t="str">
        <f>_xll.DBR($B$18,$H203,"Account_Type")</f>
        <v>NON LABOR</v>
      </c>
      <c r="G203" s="34" t="str">
        <f>_xll.DBR($B$18,$H203,"Description")</f>
        <v>Education/Training/Dues/Subscriptions</v>
      </c>
      <c r="H203" s="43" t="s">
        <v>173</v>
      </c>
      <c r="I203" s="36">
        <f>_xll.DBRW($E$12,$F$16,$F$17,$F$18,$E203,$F$20,I$22,$H203,$F$19)</f>
        <v>0</v>
      </c>
      <c r="J203" s="36">
        <f>_xll.DBRW($E$12,$F$16,$F$17,$F$18,$E203,$F$20,J$22,$H203,$F$19)</f>
        <v>0</v>
      </c>
      <c r="K203" s="36">
        <f>_xll.DBRW($E$12,$F$16,$F$17,$F$18,$E203,$F$20,K$22,$H203,$F$19)</f>
        <v>0</v>
      </c>
      <c r="L203" s="36">
        <f>_xll.DBRW($E$12,$F$16,$F$17,$F$18,$E203,$F$20,L$22,$H203,$F$19)</f>
        <v>12442.7</v>
      </c>
      <c r="M203" s="36">
        <f>_xll.DBRW($E$12,$F$16,$F$17,$F$18,$E203,$F$20,M$22,$H203,$F$19)</f>
        <v>-12116.3</v>
      </c>
      <c r="N203" s="36">
        <f>_xll.DBRW($E$12,$F$16,$F$17,$F$18,$E203,$F$20,N$22,$H203,$F$19)</f>
        <v>0</v>
      </c>
      <c r="O203" s="36">
        <f>_xll.DBRW($E$12,$F$16,$F$17,$F$18,$E203,$F$20,O$22,$H203,$F$19)</f>
        <v>0</v>
      </c>
      <c r="P203" s="36">
        <f>_xll.DBRW($E$12,$F$16,$F$17,$F$18,$E203,$F$20,P$22,$H203,$F$19)</f>
        <v>0</v>
      </c>
      <c r="Q203" s="36">
        <f>_xll.DBRW($E$12,$F$16,$F$17,$F$18,$E203,$F$20,Q$22,$H203,$F$19)</f>
        <v>0</v>
      </c>
      <c r="R203" s="36">
        <f>_xll.DBRW($E$12,$F$16,$F$17,$F$18,$E203,$F$20,R$22,$H203,$F$19)</f>
        <v>0</v>
      </c>
      <c r="S203" s="36">
        <f>_xll.DBRW($E$12,$F$16,$F$17,$F$18,$E203,$F$20,S$22,$H203,$F$19)</f>
        <v>0</v>
      </c>
      <c r="T203" s="36">
        <f>_xll.DBRW($E$12,$F$16,$F$17,$F$18,$E203,$F$20,T$22,$H203,$F$19)</f>
        <v>0</v>
      </c>
      <c r="U203" s="36">
        <f>_xll.DBRW($E$12,$F$16,$F$17,$F$18,$E203,$F$20,U$22,$H203,$F$19)</f>
        <v>326.40000000000146</v>
      </c>
    </row>
    <row r="204" spans="4:21" s="37" customFormat="1" ht="15" outlineLevel="1" thickBot="1" x14ac:dyDescent="0.35">
      <c r="D204" s="33" t="str">
        <f>IF(_xll.TM1RPTELISCONSOLIDATED($H$34,$H204),IF(_xll.TM1RPTELLEV($H$34,$H204)&lt;=5,_xll.TM1RPTELLEV($H$34,$H204),"Default"),"Leaf")</f>
        <v>Leaf</v>
      </c>
      <c r="E204" s="42" t="s">
        <v>672</v>
      </c>
      <c r="F204" s="34" t="str">
        <f>_xll.DBR($B$18,$H204,"Account_Type")</f>
        <v>NON LABOR</v>
      </c>
      <c r="G204" s="34" t="str">
        <f>_xll.DBR($B$18,$H204,"Description")</f>
        <v>Certificates/Licenses/Permits</v>
      </c>
      <c r="H204" s="43" t="s">
        <v>187</v>
      </c>
      <c r="I204" s="36">
        <f>_xll.DBRW($E$12,$F$16,$F$17,$F$18,$E204,$F$20,I$22,$H204,$F$19)</f>
        <v>0</v>
      </c>
      <c r="J204" s="36">
        <f>_xll.DBRW($E$12,$F$16,$F$17,$F$18,$E204,$F$20,J$22,$H204,$F$19)</f>
        <v>0</v>
      </c>
      <c r="K204" s="36">
        <f>_xll.DBRW($E$12,$F$16,$F$17,$F$18,$E204,$F$20,K$22,$H204,$F$19)</f>
        <v>0</v>
      </c>
      <c r="L204" s="36">
        <f>_xll.DBRW($E$12,$F$16,$F$17,$F$18,$E204,$F$20,L$22,$H204,$F$19)</f>
        <v>1165</v>
      </c>
      <c r="M204" s="36">
        <f>_xll.DBRW($E$12,$F$16,$F$17,$F$18,$E204,$F$20,M$22,$H204,$F$19)</f>
        <v>0</v>
      </c>
      <c r="N204" s="36">
        <f>_xll.DBRW($E$12,$F$16,$F$17,$F$18,$E204,$F$20,N$22,$H204,$F$19)</f>
        <v>0</v>
      </c>
      <c r="O204" s="36">
        <f>_xll.DBRW($E$12,$F$16,$F$17,$F$18,$E204,$F$20,O$22,$H204,$F$19)</f>
        <v>0</v>
      </c>
      <c r="P204" s="36">
        <f>_xll.DBRW($E$12,$F$16,$F$17,$F$18,$E204,$F$20,P$22,$H204,$F$19)</f>
        <v>0</v>
      </c>
      <c r="Q204" s="36">
        <f>_xll.DBRW($E$12,$F$16,$F$17,$F$18,$E204,$F$20,Q$22,$H204,$F$19)</f>
        <v>0</v>
      </c>
      <c r="R204" s="36">
        <f>_xll.DBRW($E$12,$F$16,$F$17,$F$18,$E204,$F$20,R$22,$H204,$F$19)</f>
        <v>0</v>
      </c>
      <c r="S204" s="36">
        <f>_xll.DBRW($E$12,$F$16,$F$17,$F$18,$E204,$F$20,S$22,$H204,$F$19)</f>
        <v>0</v>
      </c>
      <c r="T204" s="36">
        <f>_xll.DBRW($E$12,$F$16,$F$17,$F$18,$E204,$F$20,T$22,$H204,$F$19)</f>
        <v>0</v>
      </c>
      <c r="U204" s="36">
        <f>_xll.DBRW($E$12,$F$16,$F$17,$F$18,$E204,$F$20,U$22,$H204,$F$19)</f>
        <v>1165</v>
      </c>
    </row>
    <row r="205" spans="4:21" s="37" customFormat="1" ht="15" outlineLevel="1" thickBot="1" x14ac:dyDescent="0.35">
      <c r="D205" s="33" t="str">
        <f>IF(_xll.TM1RPTELISCONSOLIDATED($H$34,$H205),IF(_xll.TM1RPTELLEV($H$34,$H205)&lt;=5,_xll.TM1RPTELLEV($H$34,$H205),"Default"),"Leaf")</f>
        <v>Leaf</v>
      </c>
      <c r="E205" s="42" t="s">
        <v>672</v>
      </c>
      <c r="F205" s="34" t="str">
        <f>_xll.DBR($B$18,$H205,"Account_Type")</f>
        <v>NON LABOR</v>
      </c>
      <c r="G205" s="34" t="str">
        <f>_xll.DBR($B$18,$H205,"Description")</f>
        <v>Office Rent</v>
      </c>
      <c r="H205" s="43" t="s">
        <v>198</v>
      </c>
      <c r="I205" s="36">
        <f>_xll.DBRW($E$12,$F$16,$F$17,$F$18,$E205,$F$20,I$22,$H205,$F$19)</f>
        <v>25803.08</v>
      </c>
      <c r="J205" s="36">
        <f>_xll.DBRW($E$12,$F$16,$F$17,$F$18,$E205,$F$20,J$22,$H205,$F$19)</f>
        <v>24824.47</v>
      </c>
      <c r="K205" s="36">
        <f>_xll.DBRW($E$12,$F$16,$F$17,$F$18,$E205,$F$20,K$22,$H205,$F$19)</f>
        <v>26059.33</v>
      </c>
      <c r="L205" s="36">
        <f>_xll.DBRW($E$12,$F$16,$F$17,$F$18,$E205,$F$20,L$22,$H205,$F$19)</f>
        <v>24824.47</v>
      </c>
      <c r="M205" s="36">
        <f>_xll.DBRW($E$12,$F$16,$F$17,$F$18,$E205,$F$20,M$22,$H205,$F$19)</f>
        <v>24824.47</v>
      </c>
      <c r="N205" s="36">
        <f>_xll.DBRW($E$12,$F$16,$F$17,$F$18,$E205,$F$20,N$22,$H205,$F$19)</f>
        <v>24824.47</v>
      </c>
      <c r="O205" s="36">
        <f>_xll.DBRW($E$12,$F$16,$F$17,$F$18,$E205,$F$20,O$22,$H205,$F$19)</f>
        <v>0</v>
      </c>
      <c r="P205" s="36">
        <f>_xll.DBRW($E$12,$F$16,$F$17,$F$18,$E205,$F$20,P$22,$H205,$F$19)</f>
        <v>0</v>
      </c>
      <c r="Q205" s="36">
        <f>_xll.DBRW($E$12,$F$16,$F$17,$F$18,$E205,$F$20,Q$22,$H205,$F$19)</f>
        <v>0</v>
      </c>
      <c r="R205" s="36">
        <f>_xll.DBRW($E$12,$F$16,$F$17,$F$18,$E205,$F$20,R$22,$H205,$F$19)</f>
        <v>0</v>
      </c>
      <c r="S205" s="36">
        <f>_xll.DBRW($E$12,$F$16,$F$17,$F$18,$E205,$F$20,S$22,$H205,$F$19)</f>
        <v>0</v>
      </c>
      <c r="T205" s="36">
        <f>_xll.DBRW($E$12,$F$16,$F$17,$F$18,$E205,$F$20,T$22,$H205,$F$19)</f>
        <v>0</v>
      </c>
      <c r="U205" s="36">
        <f>_xll.DBRW($E$12,$F$16,$F$17,$F$18,$E205,$F$20,U$22,$H205,$F$19)</f>
        <v>151160.29</v>
      </c>
    </row>
    <row r="206" spans="4:21" s="37" customFormat="1" ht="15" outlineLevel="1" thickBot="1" x14ac:dyDescent="0.35">
      <c r="D206" s="33" t="str">
        <f>IF(_xll.TM1RPTELISCONSOLIDATED($H$34,$H206),IF(_xll.TM1RPTELLEV($H$34,$H206)&lt;=5,_xll.TM1RPTELLEV($H$34,$H206),"Default"),"Leaf")</f>
        <v>Leaf</v>
      </c>
      <c r="E206" s="42" t="s">
        <v>672</v>
      </c>
      <c r="F206" s="34" t="str">
        <f>_xll.DBR($B$18,$H206,"Account_Type")</f>
        <v>NON LABOR</v>
      </c>
      <c r="G206" s="34" t="str">
        <f>_xll.DBR($B$18,$H206,"Description")</f>
        <v>Office Rent</v>
      </c>
      <c r="H206" s="43" t="s">
        <v>199</v>
      </c>
      <c r="I206" s="36">
        <f>_xll.DBRW($E$12,$F$16,$F$17,$F$18,$E206,$F$20,I$22,$H206,$F$19)</f>
        <v>3693</v>
      </c>
      <c r="J206" s="36">
        <f>_xll.DBRW($E$12,$F$16,$F$17,$F$18,$E206,$F$20,J$22,$H206,$F$19)</f>
        <v>4622.97</v>
      </c>
      <c r="K206" s="36">
        <f>_xll.DBRW($E$12,$F$16,$F$17,$F$18,$E206,$F$20,K$22,$H206,$F$19)</f>
        <v>3693</v>
      </c>
      <c r="L206" s="36">
        <f>_xll.DBRW($E$12,$F$16,$F$17,$F$18,$E206,$F$20,L$22,$H206,$F$19)</f>
        <v>4622.97</v>
      </c>
      <c r="M206" s="36">
        <f>_xll.DBRW($E$12,$F$16,$F$17,$F$18,$E206,$F$20,M$22,$H206,$F$19)</f>
        <v>4622.97</v>
      </c>
      <c r="N206" s="36">
        <f>_xll.DBRW($E$12,$F$16,$F$17,$F$18,$E206,$F$20,N$22,$H206,$F$19)</f>
        <v>4622.97</v>
      </c>
      <c r="O206" s="36">
        <f>_xll.DBRW($E$12,$F$16,$F$17,$F$18,$E206,$F$20,O$22,$H206,$F$19)</f>
        <v>0</v>
      </c>
      <c r="P206" s="36">
        <f>_xll.DBRW($E$12,$F$16,$F$17,$F$18,$E206,$F$20,P$22,$H206,$F$19)</f>
        <v>0</v>
      </c>
      <c r="Q206" s="36">
        <f>_xll.DBRW($E$12,$F$16,$F$17,$F$18,$E206,$F$20,Q$22,$H206,$F$19)</f>
        <v>0</v>
      </c>
      <c r="R206" s="36">
        <f>_xll.DBRW($E$12,$F$16,$F$17,$F$18,$E206,$F$20,R$22,$H206,$F$19)</f>
        <v>0</v>
      </c>
      <c r="S206" s="36">
        <f>_xll.DBRW($E$12,$F$16,$F$17,$F$18,$E206,$F$20,S$22,$H206,$F$19)</f>
        <v>0</v>
      </c>
      <c r="T206" s="36">
        <f>_xll.DBRW($E$12,$F$16,$F$17,$F$18,$E206,$F$20,T$22,$H206,$F$19)</f>
        <v>0</v>
      </c>
      <c r="U206" s="36">
        <f>_xll.DBRW($E$12,$F$16,$F$17,$F$18,$E206,$F$20,U$22,$H206,$F$19)</f>
        <v>25877.880000000005</v>
      </c>
    </row>
    <row r="207" spans="4:21" s="37" customFormat="1" ht="15" outlineLevel="1" thickBot="1" x14ac:dyDescent="0.35">
      <c r="D207" s="33" t="str">
        <f>IF(_xll.TM1RPTELISCONSOLIDATED($H$34,$H207),IF(_xll.TM1RPTELLEV($H$34,$H207)&lt;=5,_xll.TM1RPTELLEV($H$34,$H207),"Default"),"Leaf")</f>
        <v>Leaf</v>
      </c>
      <c r="E207" s="42" t="s">
        <v>672</v>
      </c>
      <c r="F207" s="34" t="str">
        <f>_xll.DBR($B$18,$H207,"Account_Type")</f>
        <v>NON LABOR</v>
      </c>
      <c r="G207" s="34" t="str">
        <f>_xll.DBR($B$18,$H207,"Description")</f>
        <v>Utilities</v>
      </c>
      <c r="H207" s="43" t="s">
        <v>212</v>
      </c>
      <c r="I207" s="36">
        <f>_xll.DBRW($E$12,$F$16,$F$17,$F$18,$E207,$F$20,I$22,$H207,$F$19)</f>
        <v>488.21</v>
      </c>
      <c r="J207" s="36">
        <f>_xll.DBRW($E$12,$F$16,$F$17,$F$18,$E207,$F$20,J$22,$H207,$F$19)</f>
        <v>167.39</v>
      </c>
      <c r="K207" s="36">
        <f>_xll.DBRW($E$12,$F$16,$F$17,$F$18,$E207,$F$20,K$22,$H207,$F$19)</f>
        <v>510.55</v>
      </c>
      <c r="L207" s="36">
        <f>_xll.DBRW($E$12,$F$16,$F$17,$F$18,$E207,$F$20,L$22,$H207,$F$19)</f>
        <v>410.86</v>
      </c>
      <c r="M207" s="36">
        <f>_xll.DBRW($E$12,$F$16,$F$17,$F$18,$E207,$F$20,M$22,$H207,$F$19)</f>
        <v>425.33</v>
      </c>
      <c r="N207" s="36">
        <f>_xll.DBRW($E$12,$F$16,$F$17,$F$18,$E207,$F$20,N$22,$H207,$F$19)</f>
        <v>461.91</v>
      </c>
      <c r="O207" s="36">
        <f>_xll.DBRW($E$12,$F$16,$F$17,$F$18,$E207,$F$20,O$22,$H207,$F$19)</f>
        <v>0</v>
      </c>
      <c r="P207" s="36">
        <f>_xll.DBRW($E$12,$F$16,$F$17,$F$18,$E207,$F$20,P$22,$H207,$F$19)</f>
        <v>0</v>
      </c>
      <c r="Q207" s="36">
        <f>_xll.DBRW($E$12,$F$16,$F$17,$F$18,$E207,$F$20,Q$22,$H207,$F$19)</f>
        <v>0</v>
      </c>
      <c r="R207" s="36">
        <f>_xll.DBRW($E$12,$F$16,$F$17,$F$18,$E207,$F$20,R$22,$H207,$F$19)</f>
        <v>0</v>
      </c>
      <c r="S207" s="36">
        <f>_xll.DBRW($E$12,$F$16,$F$17,$F$18,$E207,$F$20,S$22,$H207,$F$19)</f>
        <v>0</v>
      </c>
      <c r="T207" s="36">
        <f>_xll.DBRW($E$12,$F$16,$F$17,$F$18,$E207,$F$20,T$22,$H207,$F$19)</f>
        <v>0</v>
      </c>
      <c r="U207" s="36">
        <f>_xll.DBRW($E$12,$F$16,$F$17,$F$18,$E207,$F$20,U$22,$H207,$F$19)</f>
        <v>2464.2499999999995</v>
      </c>
    </row>
    <row r="208" spans="4:21" s="37" customFormat="1" ht="15" outlineLevel="1" thickBot="1" x14ac:dyDescent="0.35">
      <c r="D208" s="33" t="str">
        <f>IF(_xll.TM1RPTELISCONSOLIDATED($H$34,$H208),IF(_xll.TM1RPTELLEV($H$34,$H208)&lt;=5,_xll.TM1RPTELLEV($H$34,$H208),"Default"),"Leaf")</f>
        <v>Leaf</v>
      </c>
      <c r="E208" s="42" t="s">
        <v>672</v>
      </c>
      <c r="F208" s="34" t="str">
        <f>_xll.DBR($B$18,$H208,"Account_Type")</f>
        <v>NON LABOR</v>
      </c>
      <c r="G208" s="34" t="str">
        <f>_xll.DBR($B$18,$H208,"Description")</f>
        <v>Security / Janitorial Charges</v>
      </c>
      <c r="H208" s="43" t="s">
        <v>224</v>
      </c>
      <c r="I208" s="36">
        <f>_xll.DBRW($E$12,$F$16,$F$17,$F$18,$E208,$F$20,I$22,$H208,$F$19)</f>
        <v>-1155.1199999999999</v>
      </c>
      <c r="J208" s="36">
        <f>_xll.DBRW($E$12,$F$16,$F$17,$F$18,$E208,$F$20,J$22,$H208,$F$19)</f>
        <v>-1572.81</v>
      </c>
      <c r="K208" s="36">
        <f>_xll.DBRW($E$12,$F$16,$F$17,$F$18,$E208,$F$20,K$22,$H208,$F$19)</f>
        <v>1443.86</v>
      </c>
      <c r="L208" s="36">
        <f>_xll.DBRW($E$12,$F$16,$F$17,$F$18,$E208,$F$20,L$22,$H208,$F$19)</f>
        <v>-607.15</v>
      </c>
      <c r="M208" s="36">
        <f>_xll.DBRW($E$12,$F$16,$F$17,$F$18,$E208,$F$20,M$22,$H208,$F$19)</f>
        <v>1024.44</v>
      </c>
      <c r="N208" s="36">
        <f>_xll.DBRW($E$12,$F$16,$F$17,$F$18,$E208,$F$20,N$22,$H208,$F$19)</f>
        <v>-13.69</v>
      </c>
      <c r="O208" s="36">
        <f>_xll.DBRW($E$12,$F$16,$F$17,$F$18,$E208,$F$20,O$22,$H208,$F$19)</f>
        <v>-1251.21</v>
      </c>
      <c r="P208" s="36">
        <f>_xll.DBRW($E$12,$F$16,$F$17,$F$18,$E208,$F$20,P$22,$H208,$F$19)</f>
        <v>0</v>
      </c>
      <c r="Q208" s="36">
        <f>_xll.DBRW($E$12,$F$16,$F$17,$F$18,$E208,$F$20,Q$22,$H208,$F$19)</f>
        <v>0</v>
      </c>
      <c r="R208" s="36">
        <f>_xll.DBRW($E$12,$F$16,$F$17,$F$18,$E208,$F$20,R$22,$H208,$F$19)</f>
        <v>0</v>
      </c>
      <c r="S208" s="36">
        <f>_xll.DBRW($E$12,$F$16,$F$17,$F$18,$E208,$F$20,S$22,$H208,$F$19)</f>
        <v>0</v>
      </c>
      <c r="T208" s="36">
        <f>_xll.DBRW($E$12,$F$16,$F$17,$F$18,$E208,$F$20,T$22,$H208,$F$19)</f>
        <v>0</v>
      </c>
      <c r="U208" s="36">
        <f>_xll.DBRW($E$12,$F$16,$F$17,$F$18,$E208,$F$20,U$22,$H208,$F$19)</f>
        <v>-2131.6799999999998</v>
      </c>
    </row>
    <row r="209" spans="4:21" s="37" customFormat="1" ht="15" outlineLevel="1" thickBot="1" x14ac:dyDescent="0.35">
      <c r="D209" s="33" t="str">
        <f>IF(_xll.TM1RPTELISCONSOLIDATED($H$34,$H209),IF(_xll.TM1RPTELLEV($H$34,$H209)&lt;=5,_xll.TM1RPTELLEV($H$34,$H209),"Default"),"Leaf")</f>
        <v>Leaf</v>
      </c>
      <c r="E209" s="42" t="s">
        <v>672</v>
      </c>
      <c r="F209" s="34" t="str">
        <f>_xll.DBR($B$18,$H209,"Account_Type")</f>
        <v>NON LABOR</v>
      </c>
      <c r="G209" s="34" t="str">
        <f>_xll.DBR($B$18,$H209,"Description")</f>
        <v>Fines &amp; Penalties</v>
      </c>
      <c r="H209" s="43" t="s">
        <v>258</v>
      </c>
      <c r="I209" s="36">
        <f>_xll.DBRW($E$12,$F$16,$F$17,$F$18,$E209,$F$20,I$22,$H209,$F$19)</f>
        <v>3.78</v>
      </c>
      <c r="J209" s="36">
        <f>_xll.DBRW($E$12,$F$16,$F$17,$F$18,$E209,$F$20,J$22,$H209,$F$19)</f>
        <v>160</v>
      </c>
      <c r="K209" s="36">
        <f>_xll.DBRW($E$12,$F$16,$F$17,$F$18,$E209,$F$20,K$22,$H209,$F$19)</f>
        <v>0</v>
      </c>
      <c r="L209" s="36">
        <f>_xll.DBRW($E$12,$F$16,$F$17,$F$18,$E209,$F$20,L$22,$H209,$F$19)</f>
        <v>0</v>
      </c>
      <c r="M209" s="36">
        <f>_xll.DBRW($E$12,$F$16,$F$17,$F$18,$E209,$F$20,M$22,$H209,$F$19)</f>
        <v>0</v>
      </c>
      <c r="N209" s="36">
        <f>_xll.DBRW($E$12,$F$16,$F$17,$F$18,$E209,$F$20,N$22,$H209,$F$19)</f>
        <v>0</v>
      </c>
      <c r="O209" s="36">
        <f>_xll.DBRW($E$12,$F$16,$F$17,$F$18,$E209,$F$20,O$22,$H209,$F$19)</f>
        <v>0</v>
      </c>
      <c r="P209" s="36">
        <f>_xll.DBRW($E$12,$F$16,$F$17,$F$18,$E209,$F$20,P$22,$H209,$F$19)</f>
        <v>0</v>
      </c>
      <c r="Q209" s="36">
        <f>_xll.DBRW($E$12,$F$16,$F$17,$F$18,$E209,$F$20,Q$22,$H209,$F$19)</f>
        <v>0</v>
      </c>
      <c r="R209" s="36">
        <f>_xll.DBRW($E$12,$F$16,$F$17,$F$18,$E209,$F$20,R$22,$H209,$F$19)</f>
        <v>0</v>
      </c>
      <c r="S209" s="36">
        <f>_xll.DBRW($E$12,$F$16,$F$17,$F$18,$E209,$F$20,S$22,$H209,$F$19)</f>
        <v>0</v>
      </c>
      <c r="T209" s="36">
        <f>_xll.DBRW($E$12,$F$16,$F$17,$F$18,$E209,$F$20,T$22,$H209,$F$19)</f>
        <v>0</v>
      </c>
      <c r="U209" s="36">
        <f>_xll.DBRW($E$12,$F$16,$F$17,$F$18,$E209,$F$20,U$22,$H209,$F$19)</f>
        <v>163.78</v>
      </c>
    </row>
    <row r="210" spans="4:21" s="37" customFormat="1" ht="15" outlineLevel="1" thickBot="1" x14ac:dyDescent="0.35">
      <c r="D210" s="33" t="str">
        <f>IF(_xll.TM1RPTELISCONSOLIDATED($H$34,$H210),IF(_xll.TM1RPTELLEV($H$34,$H210)&lt;=5,_xll.TM1RPTELLEV($H$34,$H210),"Default"),"Leaf")</f>
        <v>Leaf</v>
      </c>
      <c r="E210" s="42" t="s">
        <v>672</v>
      </c>
      <c r="F210" s="34" t="str">
        <f>_xll.DBR($B$18,$H210,"Account_Type")</f>
        <v>NON LABOR</v>
      </c>
      <c r="G210" s="34" t="str">
        <f>_xll.DBR($B$18,$H210,"Description")</f>
        <v>Drug Testing &amp; Physicals</v>
      </c>
      <c r="H210" s="43" t="s">
        <v>265</v>
      </c>
      <c r="I210" s="36">
        <f>_xll.DBRW($E$12,$F$16,$F$17,$F$18,$E210,$F$20,I$22,$H210,$F$19)</f>
        <v>728</v>
      </c>
      <c r="J210" s="36">
        <f>_xll.DBRW($E$12,$F$16,$F$17,$F$18,$E210,$F$20,J$22,$H210,$F$19)</f>
        <v>-6167</v>
      </c>
      <c r="K210" s="36">
        <f>_xll.DBRW($E$12,$F$16,$F$17,$F$18,$E210,$F$20,K$22,$H210,$F$19)</f>
        <v>5669</v>
      </c>
      <c r="L210" s="36">
        <f>_xll.DBRW($E$12,$F$16,$F$17,$F$18,$E210,$F$20,L$22,$H210,$F$19)</f>
        <v>0</v>
      </c>
      <c r="M210" s="36">
        <f>_xll.DBRW($E$12,$F$16,$F$17,$F$18,$E210,$F$20,M$22,$H210,$F$19)</f>
        <v>0</v>
      </c>
      <c r="N210" s="36">
        <f>_xll.DBRW($E$12,$F$16,$F$17,$F$18,$E210,$F$20,N$22,$H210,$F$19)</f>
        <v>13984.57</v>
      </c>
      <c r="O210" s="36">
        <f>_xll.DBRW($E$12,$F$16,$F$17,$F$18,$E210,$F$20,O$22,$H210,$F$19)</f>
        <v>-13984.57</v>
      </c>
      <c r="P210" s="36">
        <f>_xll.DBRW($E$12,$F$16,$F$17,$F$18,$E210,$F$20,P$22,$H210,$F$19)</f>
        <v>0</v>
      </c>
      <c r="Q210" s="36">
        <f>_xll.DBRW($E$12,$F$16,$F$17,$F$18,$E210,$F$20,Q$22,$H210,$F$19)</f>
        <v>0</v>
      </c>
      <c r="R210" s="36">
        <f>_xll.DBRW($E$12,$F$16,$F$17,$F$18,$E210,$F$20,R$22,$H210,$F$19)</f>
        <v>0</v>
      </c>
      <c r="S210" s="36">
        <f>_xll.DBRW($E$12,$F$16,$F$17,$F$18,$E210,$F$20,S$22,$H210,$F$19)</f>
        <v>0</v>
      </c>
      <c r="T210" s="36">
        <f>_xll.DBRW($E$12,$F$16,$F$17,$F$18,$E210,$F$20,T$22,$H210,$F$19)</f>
        <v>0</v>
      </c>
      <c r="U210" s="36">
        <f>_xll.DBRW($E$12,$F$16,$F$17,$F$18,$E210,$F$20,U$22,$H210,$F$19)</f>
        <v>230</v>
      </c>
    </row>
    <row r="211" spans="4:21" s="37" customFormat="1" ht="15" outlineLevel="1" thickBot="1" x14ac:dyDescent="0.35">
      <c r="D211" s="33" t="str">
        <f>IF(_xll.TM1RPTELISCONSOLIDATED($H$34,$H211),IF(_xll.TM1RPTELLEV($H$34,$H211)&lt;=5,_xll.TM1RPTELLEV($H$34,$H211),"Default"),"Leaf")</f>
        <v>Leaf</v>
      </c>
      <c r="E211" s="42" t="s">
        <v>672</v>
      </c>
      <c r="F211" s="34" t="str">
        <f>_xll.DBR($B$18,$H211,"Account_Type")</f>
        <v>NON LABOR</v>
      </c>
      <c r="G211" s="34" t="str">
        <f>_xll.DBR($B$18,$H211,"Description")</f>
        <v>Drug Testing &amp; Physicals</v>
      </c>
      <c r="H211" s="43" t="s">
        <v>266</v>
      </c>
      <c r="I211" s="36">
        <f>_xll.DBRW($E$12,$F$16,$F$17,$F$18,$E211,$F$20,I$22,$H211,$F$19)</f>
        <v>0</v>
      </c>
      <c r="J211" s="36">
        <f>_xll.DBRW($E$12,$F$16,$F$17,$F$18,$E211,$F$20,J$22,$H211,$F$19)</f>
        <v>0</v>
      </c>
      <c r="K211" s="36">
        <f>_xll.DBRW($E$12,$F$16,$F$17,$F$18,$E211,$F$20,K$22,$H211,$F$19)</f>
        <v>0</v>
      </c>
      <c r="L211" s="36">
        <f>_xll.DBRW($E$12,$F$16,$F$17,$F$18,$E211,$F$20,L$22,$H211,$F$19)</f>
        <v>95</v>
      </c>
      <c r="M211" s="36">
        <f>_xll.DBRW($E$12,$F$16,$F$17,$F$18,$E211,$F$20,M$22,$H211,$F$19)</f>
        <v>0</v>
      </c>
      <c r="N211" s="36">
        <f>_xll.DBRW($E$12,$F$16,$F$17,$F$18,$E211,$F$20,N$22,$H211,$F$19)</f>
        <v>0</v>
      </c>
      <c r="O211" s="36">
        <f>_xll.DBRW($E$12,$F$16,$F$17,$F$18,$E211,$F$20,O$22,$H211,$F$19)</f>
        <v>0</v>
      </c>
      <c r="P211" s="36">
        <f>_xll.DBRW($E$12,$F$16,$F$17,$F$18,$E211,$F$20,P$22,$H211,$F$19)</f>
        <v>0</v>
      </c>
      <c r="Q211" s="36">
        <f>_xll.DBRW($E$12,$F$16,$F$17,$F$18,$E211,$F$20,Q$22,$H211,$F$19)</f>
        <v>0</v>
      </c>
      <c r="R211" s="36">
        <f>_xll.DBRW($E$12,$F$16,$F$17,$F$18,$E211,$F$20,R$22,$H211,$F$19)</f>
        <v>0</v>
      </c>
      <c r="S211" s="36">
        <f>_xll.DBRW($E$12,$F$16,$F$17,$F$18,$E211,$F$20,S$22,$H211,$F$19)</f>
        <v>0</v>
      </c>
      <c r="T211" s="36">
        <f>_xll.DBRW($E$12,$F$16,$F$17,$F$18,$E211,$F$20,T$22,$H211,$F$19)</f>
        <v>0</v>
      </c>
      <c r="U211" s="36">
        <f>_xll.DBRW($E$12,$F$16,$F$17,$F$18,$E211,$F$20,U$22,$H211,$F$19)</f>
        <v>95</v>
      </c>
    </row>
    <row r="212" spans="4:21" s="37" customFormat="1" ht="15" outlineLevel="1" thickBot="1" x14ac:dyDescent="0.35">
      <c r="D212" s="33" t="str">
        <f>IF(_xll.TM1RPTELISCONSOLIDATED($H$34,$H212),IF(_xll.TM1RPTELLEV($H$34,$H212)&lt;=5,_xll.TM1RPTELLEV($H$34,$H212),"Default"),"Leaf")</f>
        <v>Leaf</v>
      </c>
      <c r="E212" s="42" t="s">
        <v>672</v>
      </c>
      <c r="F212" s="34" t="str">
        <f>_xll.DBR($B$18,$H212,"Account_Type")</f>
        <v>NON LABOR</v>
      </c>
      <c r="G212" s="34" t="str">
        <f>_xll.DBR($B$18,$H212,"Description")</f>
        <v>Uniforms</v>
      </c>
      <c r="H212" s="43" t="s">
        <v>278</v>
      </c>
      <c r="I212" s="36">
        <f>_xll.DBRW($E$12,$F$16,$F$17,$F$18,$E212,$F$20,I$22,$H212,$F$19)</f>
        <v>3180.06</v>
      </c>
      <c r="J212" s="36">
        <f>_xll.DBRW($E$12,$F$16,$F$17,$F$18,$E212,$F$20,J$22,$H212,$F$19)</f>
        <v>1979.11</v>
      </c>
      <c r="K212" s="36">
        <f>_xll.DBRW($E$12,$F$16,$F$17,$F$18,$E212,$F$20,K$22,$H212,$F$19)</f>
        <v>2034.29</v>
      </c>
      <c r="L212" s="36">
        <f>_xll.DBRW($E$12,$F$16,$F$17,$F$18,$E212,$F$20,L$22,$H212,$F$19)</f>
        <v>5051.22</v>
      </c>
      <c r="M212" s="36">
        <f>_xll.DBRW($E$12,$F$16,$F$17,$F$18,$E212,$F$20,M$22,$H212,$F$19)</f>
        <v>-4099.33</v>
      </c>
      <c r="N212" s="36">
        <f>_xll.DBRW($E$12,$F$16,$F$17,$F$18,$E212,$F$20,N$22,$H212,$F$19)</f>
        <v>10580.48</v>
      </c>
      <c r="O212" s="36">
        <f>_xll.DBRW($E$12,$F$16,$F$17,$F$18,$E212,$F$20,O$22,$H212,$F$19)</f>
        <v>-37053.9</v>
      </c>
      <c r="P212" s="36">
        <f>_xll.DBRW($E$12,$F$16,$F$17,$F$18,$E212,$F$20,P$22,$H212,$F$19)</f>
        <v>0</v>
      </c>
      <c r="Q212" s="36">
        <f>_xll.DBRW($E$12,$F$16,$F$17,$F$18,$E212,$F$20,Q$22,$H212,$F$19)</f>
        <v>0</v>
      </c>
      <c r="R212" s="36">
        <f>_xll.DBRW($E$12,$F$16,$F$17,$F$18,$E212,$F$20,R$22,$H212,$F$19)</f>
        <v>0</v>
      </c>
      <c r="S212" s="36">
        <f>_xll.DBRW($E$12,$F$16,$F$17,$F$18,$E212,$F$20,S$22,$H212,$F$19)</f>
        <v>0</v>
      </c>
      <c r="T212" s="36">
        <f>_xll.DBRW($E$12,$F$16,$F$17,$F$18,$E212,$F$20,T$22,$H212,$F$19)</f>
        <v>0</v>
      </c>
      <c r="U212" s="36">
        <f>_xll.DBRW($E$12,$F$16,$F$17,$F$18,$E212,$F$20,U$22,$H212,$F$19)</f>
        <v>-18328.07</v>
      </c>
    </row>
    <row r="213" spans="4:21" s="37" customFormat="1" ht="15" outlineLevel="1" thickBot="1" x14ac:dyDescent="0.35">
      <c r="D213" s="33" t="str">
        <f>IF(_xll.TM1RPTELISCONSOLIDATED($H$34,$H213),IF(_xll.TM1RPTELLEV($H$34,$H213)&lt;=5,_xll.TM1RPTELLEV($H$34,$H213),"Default"),"Leaf")</f>
        <v>Leaf</v>
      </c>
      <c r="E213" s="42" t="s">
        <v>672</v>
      </c>
      <c r="F213" s="34" t="str">
        <f>_xll.DBR($B$18,$H213,"Account_Type")</f>
        <v>NON LABOR</v>
      </c>
      <c r="G213" s="34" t="str">
        <f>_xll.DBR($B$18,$H213,"Description")</f>
        <v>Uniforms</v>
      </c>
      <c r="H213" s="43" t="s">
        <v>279</v>
      </c>
      <c r="I213" s="36">
        <f>_xll.DBRW($E$12,$F$16,$F$17,$F$18,$E213,$F$20,I$22,$H213,$F$19)</f>
        <v>1978.14</v>
      </c>
      <c r="J213" s="36">
        <f>_xll.DBRW($E$12,$F$16,$F$17,$F$18,$E213,$F$20,J$22,$H213,$F$19)</f>
        <v>611.55999999999995</v>
      </c>
      <c r="K213" s="36">
        <f>_xll.DBRW($E$12,$F$16,$F$17,$F$18,$E213,$F$20,K$22,$H213,$F$19)</f>
        <v>849.91</v>
      </c>
      <c r="L213" s="36">
        <f>_xll.DBRW($E$12,$F$16,$F$17,$F$18,$E213,$F$20,L$22,$H213,$F$19)</f>
        <v>1602.8</v>
      </c>
      <c r="M213" s="36">
        <f>_xll.DBRW($E$12,$F$16,$F$17,$F$18,$E213,$F$20,M$22,$H213,$F$19)</f>
        <v>966.16</v>
      </c>
      <c r="N213" s="36">
        <f>_xll.DBRW($E$12,$F$16,$F$17,$F$18,$E213,$F$20,N$22,$H213,$F$19)</f>
        <v>4334.74</v>
      </c>
      <c r="O213" s="36">
        <f>_xll.DBRW($E$12,$F$16,$F$17,$F$18,$E213,$F$20,O$22,$H213,$F$19)</f>
        <v>-1476.66</v>
      </c>
      <c r="P213" s="36">
        <f>_xll.DBRW($E$12,$F$16,$F$17,$F$18,$E213,$F$20,P$22,$H213,$F$19)</f>
        <v>0</v>
      </c>
      <c r="Q213" s="36">
        <f>_xll.DBRW($E$12,$F$16,$F$17,$F$18,$E213,$F$20,Q$22,$H213,$F$19)</f>
        <v>0</v>
      </c>
      <c r="R213" s="36">
        <f>_xll.DBRW($E$12,$F$16,$F$17,$F$18,$E213,$F$20,R$22,$H213,$F$19)</f>
        <v>0</v>
      </c>
      <c r="S213" s="36">
        <f>_xll.DBRW($E$12,$F$16,$F$17,$F$18,$E213,$F$20,S$22,$H213,$F$19)</f>
        <v>0</v>
      </c>
      <c r="T213" s="36">
        <f>_xll.DBRW($E$12,$F$16,$F$17,$F$18,$E213,$F$20,T$22,$H213,$F$19)</f>
        <v>0</v>
      </c>
      <c r="U213" s="36">
        <f>_xll.DBRW($E$12,$F$16,$F$17,$F$18,$E213,$F$20,U$22,$H213,$F$19)</f>
        <v>8866.65</v>
      </c>
    </row>
    <row r="214" spans="4:21" s="37" customFormat="1" ht="15" outlineLevel="1" thickBot="1" x14ac:dyDescent="0.35">
      <c r="D214" s="33" t="str">
        <f>IF(_xll.TM1RPTELISCONSOLIDATED($H$34,$H214),IF(_xll.TM1RPTELLEV($H$34,$H214)&lt;=5,_xll.TM1RPTELLEV($H$34,$H214),"Default"),"Leaf")</f>
        <v>Leaf</v>
      </c>
      <c r="E214" s="42" t="s">
        <v>672</v>
      </c>
      <c r="F214" s="34" t="str">
        <f>_xll.DBR($B$18,$H214,"Account_Type")</f>
        <v>NON LABOR</v>
      </c>
      <c r="G214" s="34" t="str">
        <f>_xll.DBR($B$18,$H214,"Description")</f>
        <v>Employee Morale &amp; Welfare</v>
      </c>
      <c r="H214" s="43" t="s">
        <v>298</v>
      </c>
      <c r="I214" s="36">
        <f>_xll.DBRW($E$12,$F$16,$F$17,$F$18,$E214,$F$20,I$22,$H214,$F$19)</f>
        <v>188.63</v>
      </c>
      <c r="J214" s="36">
        <f>_xll.DBRW($E$12,$F$16,$F$17,$F$18,$E214,$F$20,J$22,$H214,$F$19)</f>
        <v>0</v>
      </c>
      <c r="K214" s="36">
        <f>_xll.DBRW($E$12,$F$16,$F$17,$F$18,$E214,$F$20,K$22,$H214,$F$19)</f>
        <v>0</v>
      </c>
      <c r="L214" s="36">
        <f>_xll.DBRW($E$12,$F$16,$F$17,$F$18,$E214,$F$20,L$22,$H214,$F$19)</f>
        <v>333.77</v>
      </c>
      <c r="M214" s="36">
        <f>_xll.DBRW($E$12,$F$16,$F$17,$F$18,$E214,$F$20,M$22,$H214,$F$19)</f>
        <v>33.07</v>
      </c>
      <c r="N214" s="36">
        <f>_xll.DBRW($E$12,$F$16,$F$17,$F$18,$E214,$F$20,N$22,$H214,$F$19)</f>
        <v>99.27</v>
      </c>
      <c r="O214" s="36">
        <f>_xll.DBRW($E$12,$F$16,$F$17,$F$18,$E214,$F$20,O$22,$H214,$F$19)</f>
        <v>0</v>
      </c>
      <c r="P214" s="36">
        <f>_xll.DBRW($E$12,$F$16,$F$17,$F$18,$E214,$F$20,P$22,$H214,$F$19)</f>
        <v>0</v>
      </c>
      <c r="Q214" s="36">
        <f>_xll.DBRW($E$12,$F$16,$F$17,$F$18,$E214,$F$20,Q$22,$H214,$F$19)</f>
        <v>0</v>
      </c>
      <c r="R214" s="36">
        <f>_xll.DBRW($E$12,$F$16,$F$17,$F$18,$E214,$F$20,R$22,$H214,$F$19)</f>
        <v>0</v>
      </c>
      <c r="S214" s="36">
        <f>_xll.DBRW($E$12,$F$16,$F$17,$F$18,$E214,$F$20,S$22,$H214,$F$19)</f>
        <v>0</v>
      </c>
      <c r="T214" s="36">
        <f>_xll.DBRW($E$12,$F$16,$F$17,$F$18,$E214,$F$20,T$22,$H214,$F$19)</f>
        <v>0</v>
      </c>
      <c r="U214" s="36">
        <f>_xll.DBRW($E$12,$F$16,$F$17,$F$18,$E214,$F$20,U$22,$H214,$F$19)</f>
        <v>654.74</v>
      </c>
    </row>
    <row r="215" spans="4:21" s="37" customFormat="1" ht="15" outlineLevel="1" thickBot="1" x14ac:dyDescent="0.35">
      <c r="D215" s="33" t="str">
        <f>IF(_xll.TM1RPTELISCONSOLIDATED($H$34,$H215),IF(_xll.TM1RPTELLEV($H$34,$H215)&lt;=5,_xll.TM1RPTELLEV($H$34,$H215),"Default"),"Leaf")</f>
        <v>Leaf</v>
      </c>
      <c r="E215" s="42" t="s">
        <v>672</v>
      </c>
      <c r="F215" s="34" t="str">
        <f>_xll.DBR($B$18,$H215,"Account_Type")</f>
        <v>NON LABOR</v>
      </c>
      <c r="G215" s="34" t="str">
        <f>_xll.DBR($B$18,$H215,"Description")</f>
        <v>Employee Morale &amp; Welfare</v>
      </c>
      <c r="H215" s="43" t="s">
        <v>299</v>
      </c>
      <c r="I215" s="36">
        <f>_xll.DBRW($E$12,$F$16,$F$17,$F$18,$E215,$F$20,I$22,$H215,$F$19)</f>
        <v>131.13</v>
      </c>
      <c r="J215" s="36">
        <f>_xll.DBRW($E$12,$F$16,$F$17,$F$18,$E215,$F$20,J$22,$H215,$F$19)</f>
        <v>0</v>
      </c>
      <c r="K215" s="36">
        <f>_xll.DBRW($E$12,$F$16,$F$17,$F$18,$E215,$F$20,K$22,$H215,$F$19)</f>
        <v>0</v>
      </c>
      <c r="L215" s="36">
        <f>_xll.DBRW($E$12,$F$16,$F$17,$F$18,$E215,$F$20,L$22,$H215,$F$19)</f>
        <v>0</v>
      </c>
      <c r="M215" s="36">
        <f>_xll.DBRW($E$12,$F$16,$F$17,$F$18,$E215,$F$20,M$22,$H215,$F$19)</f>
        <v>0</v>
      </c>
      <c r="N215" s="36">
        <f>_xll.DBRW($E$12,$F$16,$F$17,$F$18,$E215,$F$20,N$22,$H215,$F$19)</f>
        <v>0</v>
      </c>
      <c r="O215" s="36">
        <f>_xll.DBRW($E$12,$F$16,$F$17,$F$18,$E215,$F$20,O$22,$H215,$F$19)</f>
        <v>0</v>
      </c>
      <c r="P215" s="36">
        <f>_xll.DBRW($E$12,$F$16,$F$17,$F$18,$E215,$F$20,P$22,$H215,$F$19)</f>
        <v>0</v>
      </c>
      <c r="Q215" s="36">
        <f>_xll.DBRW($E$12,$F$16,$F$17,$F$18,$E215,$F$20,Q$22,$H215,$F$19)</f>
        <v>0</v>
      </c>
      <c r="R215" s="36">
        <f>_xll.DBRW($E$12,$F$16,$F$17,$F$18,$E215,$F$20,R$22,$H215,$F$19)</f>
        <v>0</v>
      </c>
      <c r="S215" s="36">
        <f>_xll.DBRW($E$12,$F$16,$F$17,$F$18,$E215,$F$20,S$22,$H215,$F$19)</f>
        <v>0</v>
      </c>
      <c r="T215" s="36">
        <f>_xll.DBRW($E$12,$F$16,$F$17,$F$18,$E215,$F$20,T$22,$H215,$F$19)</f>
        <v>0</v>
      </c>
      <c r="U215" s="36">
        <f>_xll.DBRW($E$12,$F$16,$F$17,$F$18,$E215,$F$20,U$22,$H215,$F$19)</f>
        <v>131.13</v>
      </c>
    </row>
    <row r="216" spans="4:21" s="37" customFormat="1" ht="15" outlineLevel="1" thickBot="1" x14ac:dyDescent="0.35">
      <c r="D216" s="33" t="str">
        <f>IF(_xll.TM1RPTELISCONSOLIDATED($H$34,$H216),IF(_xll.TM1RPTELLEV($H$34,$H216)&lt;=5,_xll.TM1RPTELLEV($H$34,$H216),"Default"),"Leaf")</f>
        <v>Leaf</v>
      </c>
      <c r="E216" s="42" t="s">
        <v>672</v>
      </c>
      <c r="F216" s="34" t="str">
        <f>_xll.DBR($B$18,$H216,"Account_Type")</f>
        <v>NON LABOR</v>
      </c>
      <c r="G216" s="34" t="str">
        <f>_xll.DBR($B$18,$H216,"Description")</f>
        <v>Small Tools</v>
      </c>
      <c r="H216" s="43" t="s">
        <v>308</v>
      </c>
      <c r="I216" s="36">
        <f>_xll.DBRW($E$12,$F$16,$F$17,$F$18,$E216,$F$20,I$22,$H216,$F$19)</f>
        <v>0</v>
      </c>
      <c r="J216" s="36">
        <f>_xll.DBRW($E$12,$F$16,$F$17,$F$18,$E216,$F$20,J$22,$H216,$F$19)</f>
        <v>146.43</v>
      </c>
      <c r="K216" s="36">
        <f>_xll.DBRW($E$12,$F$16,$F$17,$F$18,$E216,$F$20,K$22,$H216,$F$19)</f>
        <v>0</v>
      </c>
      <c r="L216" s="36">
        <f>_xll.DBRW($E$12,$F$16,$F$17,$F$18,$E216,$F$20,L$22,$H216,$F$19)</f>
        <v>0</v>
      </c>
      <c r="M216" s="36">
        <f>_xll.DBRW($E$12,$F$16,$F$17,$F$18,$E216,$F$20,M$22,$H216,$F$19)</f>
        <v>0</v>
      </c>
      <c r="N216" s="36">
        <f>_xll.DBRW($E$12,$F$16,$F$17,$F$18,$E216,$F$20,N$22,$H216,$F$19)</f>
        <v>0</v>
      </c>
      <c r="O216" s="36">
        <f>_xll.DBRW($E$12,$F$16,$F$17,$F$18,$E216,$F$20,O$22,$H216,$F$19)</f>
        <v>0</v>
      </c>
      <c r="P216" s="36">
        <f>_xll.DBRW($E$12,$F$16,$F$17,$F$18,$E216,$F$20,P$22,$H216,$F$19)</f>
        <v>0</v>
      </c>
      <c r="Q216" s="36">
        <f>_xll.DBRW($E$12,$F$16,$F$17,$F$18,$E216,$F$20,Q$22,$H216,$F$19)</f>
        <v>0</v>
      </c>
      <c r="R216" s="36">
        <f>_xll.DBRW($E$12,$F$16,$F$17,$F$18,$E216,$F$20,R$22,$H216,$F$19)</f>
        <v>0</v>
      </c>
      <c r="S216" s="36">
        <f>_xll.DBRW($E$12,$F$16,$F$17,$F$18,$E216,$F$20,S$22,$H216,$F$19)</f>
        <v>0</v>
      </c>
      <c r="T216" s="36">
        <f>_xll.DBRW($E$12,$F$16,$F$17,$F$18,$E216,$F$20,T$22,$H216,$F$19)</f>
        <v>0</v>
      </c>
      <c r="U216" s="36">
        <f>_xll.DBRW($E$12,$F$16,$F$17,$F$18,$E216,$F$20,U$22,$H216,$F$19)</f>
        <v>146.43</v>
      </c>
    </row>
    <row r="217" spans="4:21" s="37" customFormat="1" ht="15" outlineLevel="1" thickBot="1" x14ac:dyDescent="0.35">
      <c r="D217" s="33" t="str">
        <f>IF(_xll.TM1RPTELISCONSOLIDATED($H$34,$H217),IF(_xll.TM1RPTELLEV($H$34,$H217)&lt;=5,_xll.TM1RPTELLEV($H$34,$H217),"Default"),"Leaf")</f>
        <v>Leaf</v>
      </c>
      <c r="E217" s="42" t="s">
        <v>672</v>
      </c>
      <c r="F217" s="34" t="str">
        <f>_xll.DBR($B$18,$H217,"Account_Type")</f>
        <v>NON LABOR</v>
      </c>
      <c r="G217" s="34" t="str">
        <f>_xll.DBR($B$18,$H217,"Description")</f>
        <v>Consumable Purchases</v>
      </c>
      <c r="H217" s="43" t="s">
        <v>319</v>
      </c>
      <c r="I217" s="36">
        <f>_xll.DBRW($E$12,$F$16,$F$17,$F$18,$E217,$F$20,I$22,$H217,$F$19)</f>
        <v>0</v>
      </c>
      <c r="J217" s="36">
        <f>_xll.DBRW($E$12,$F$16,$F$17,$F$18,$E217,$F$20,J$22,$H217,$F$19)</f>
        <v>0</v>
      </c>
      <c r="K217" s="36">
        <f>_xll.DBRW($E$12,$F$16,$F$17,$F$18,$E217,$F$20,K$22,$H217,$F$19)</f>
        <v>0</v>
      </c>
      <c r="L217" s="36">
        <f>_xll.DBRW($E$12,$F$16,$F$17,$F$18,$E217,$F$20,L$22,$H217,$F$19)</f>
        <v>0</v>
      </c>
      <c r="M217" s="36">
        <f>_xll.DBRW($E$12,$F$16,$F$17,$F$18,$E217,$F$20,M$22,$H217,$F$19)</f>
        <v>30</v>
      </c>
      <c r="N217" s="36">
        <f>_xll.DBRW($E$12,$F$16,$F$17,$F$18,$E217,$F$20,N$22,$H217,$F$19)</f>
        <v>26.93</v>
      </c>
      <c r="O217" s="36">
        <f>_xll.DBRW($E$12,$F$16,$F$17,$F$18,$E217,$F$20,O$22,$H217,$F$19)</f>
        <v>0</v>
      </c>
      <c r="P217" s="36">
        <f>_xll.DBRW($E$12,$F$16,$F$17,$F$18,$E217,$F$20,P$22,$H217,$F$19)</f>
        <v>0</v>
      </c>
      <c r="Q217" s="36">
        <f>_xll.DBRW($E$12,$F$16,$F$17,$F$18,$E217,$F$20,Q$22,$H217,$F$19)</f>
        <v>0</v>
      </c>
      <c r="R217" s="36">
        <f>_xll.DBRW($E$12,$F$16,$F$17,$F$18,$E217,$F$20,R$22,$H217,$F$19)</f>
        <v>0</v>
      </c>
      <c r="S217" s="36">
        <f>_xll.DBRW($E$12,$F$16,$F$17,$F$18,$E217,$F$20,S$22,$H217,$F$19)</f>
        <v>0</v>
      </c>
      <c r="T217" s="36">
        <f>_xll.DBRW($E$12,$F$16,$F$17,$F$18,$E217,$F$20,T$22,$H217,$F$19)</f>
        <v>0</v>
      </c>
      <c r="U217" s="36">
        <f>_xll.DBRW($E$12,$F$16,$F$17,$F$18,$E217,$F$20,U$22,$H217,$F$19)</f>
        <v>56.93</v>
      </c>
    </row>
    <row r="218" spans="4:21" s="37" customFormat="1" ht="15" outlineLevel="1" thickBot="1" x14ac:dyDescent="0.35">
      <c r="D218" s="33" t="str">
        <f>IF(_xll.TM1RPTELISCONSOLIDATED($H$34,$H218),IF(_xll.TM1RPTELLEV($H$34,$H218)&lt;=5,_xll.TM1RPTELLEV($H$34,$H218),"Default"),"Leaf")</f>
        <v>Leaf</v>
      </c>
      <c r="E218" s="42" t="s">
        <v>672</v>
      </c>
      <c r="F218" s="34" t="str">
        <f>_xll.DBR($B$18,$H218,"Account_Type")</f>
        <v>NON LABOR</v>
      </c>
      <c r="G218" s="34" t="str">
        <f>_xll.DBR($B$18,$H218,"Description")</f>
        <v>Consumable Purchases</v>
      </c>
      <c r="H218" s="43" t="s">
        <v>320</v>
      </c>
      <c r="I218" s="36">
        <f>_xll.DBRW($E$12,$F$16,$F$17,$F$18,$E218,$F$20,I$22,$H218,$F$19)</f>
        <v>125.59</v>
      </c>
      <c r="J218" s="36">
        <f>_xll.DBRW($E$12,$F$16,$F$17,$F$18,$E218,$F$20,J$22,$H218,$F$19)</f>
        <v>0</v>
      </c>
      <c r="K218" s="36">
        <f>_xll.DBRW($E$12,$F$16,$F$17,$F$18,$E218,$F$20,K$22,$H218,$F$19)</f>
        <v>5.99</v>
      </c>
      <c r="L218" s="36">
        <f>_xll.DBRW($E$12,$F$16,$F$17,$F$18,$E218,$F$20,L$22,$H218,$F$19)</f>
        <v>0</v>
      </c>
      <c r="M218" s="36">
        <f>_xll.DBRW($E$12,$F$16,$F$17,$F$18,$E218,$F$20,M$22,$H218,$F$19)</f>
        <v>0</v>
      </c>
      <c r="N218" s="36">
        <f>_xll.DBRW($E$12,$F$16,$F$17,$F$18,$E218,$F$20,N$22,$H218,$F$19)</f>
        <v>150.62</v>
      </c>
      <c r="O218" s="36">
        <f>_xll.DBRW($E$12,$F$16,$F$17,$F$18,$E218,$F$20,O$22,$H218,$F$19)</f>
        <v>0</v>
      </c>
      <c r="P218" s="36">
        <f>_xll.DBRW($E$12,$F$16,$F$17,$F$18,$E218,$F$20,P$22,$H218,$F$19)</f>
        <v>0</v>
      </c>
      <c r="Q218" s="36">
        <f>_xll.DBRW($E$12,$F$16,$F$17,$F$18,$E218,$F$20,Q$22,$H218,$F$19)</f>
        <v>0</v>
      </c>
      <c r="R218" s="36">
        <f>_xll.DBRW($E$12,$F$16,$F$17,$F$18,$E218,$F$20,R$22,$H218,$F$19)</f>
        <v>0</v>
      </c>
      <c r="S218" s="36">
        <f>_xll.DBRW($E$12,$F$16,$F$17,$F$18,$E218,$F$20,S$22,$H218,$F$19)</f>
        <v>0</v>
      </c>
      <c r="T218" s="36">
        <f>_xll.DBRW($E$12,$F$16,$F$17,$F$18,$E218,$F$20,T$22,$H218,$F$19)</f>
        <v>0</v>
      </c>
      <c r="U218" s="36">
        <f>_xll.DBRW($E$12,$F$16,$F$17,$F$18,$E218,$F$20,U$22,$H218,$F$19)</f>
        <v>282.20000000000005</v>
      </c>
    </row>
    <row r="219" spans="4:21" s="37" customFormat="1" ht="15" outlineLevel="1" thickBot="1" x14ac:dyDescent="0.35">
      <c r="D219" s="33" t="str">
        <f>IF(_xll.TM1RPTELISCONSOLIDATED($H$34,$H219),IF(_xll.TM1RPTELLEV($H$34,$H219)&lt;=5,_xll.TM1RPTELLEV($H$34,$H219),"Default"),"Leaf")</f>
        <v>Leaf</v>
      </c>
      <c r="E219" s="42" t="s">
        <v>672</v>
      </c>
      <c r="F219" s="34" t="str">
        <f>_xll.DBR($B$18,$H219,"Account_Type")</f>
        <v>NON LABOR</v>
      </c>
      <c r="G219" s="34" t="str">
        <f>_xll.DBR($B$18,$H219,"Description")</f>
        <v>STC/Eqpt Maintenance &amp; Repair</v>
      </c>
      <c r="H219" s="43" t="s">
        <v>344</v>
      </c>
      <c r="I219" s="36">
        <f>_xll.DBRW($E$12,$F$16,$F$17,$F$18,$E219,$F$20,I$22,$H219,$F$19)</f>
        <v>0</v>
      </c>
      <c r="J219" s="36">
        <f>_xll.DBRW($E$12,$F$16,$F$17,$F$18,$E219,$F$20,J$22,$H219,$F$19)</f>
        <v>61.89</v>
      </c>
      <c r="K219" s="36">
        <f>_xll.DBRW($E$12,$F$16,$F$17,$F$18,$E219,$F$20,K$22,$H219,$F$19)</f>
        <v>0</v>
      </c>
      <c r="L219" s="36">
        <f>_xll.DBRW($E$12,$F$16,$F$17,$F$18,$E219,$F$20,L$22,$H219,$F$19)</f>
        <v>0</v>
      </c>
      <c r="M219" s="36">
        <f>_xll.DBRW($E$12,$F$16,$F$17,$F$18,$E219,$F$20,M$22,$H219,$F$19)</f>
        <v>0</v>
      </c>
      <c r="N219" s="36">
        <f>_xll.DBRW($E$12,$F$16,$F$17,$F$18,$E219,$F$20,N$22,$H219,$F$19)</f>
        <v>378.69</v>
      </c>
      <c r="O219" s="36">
        <f>_xll.DBRW($E$12,$F$16,$F$17,$F$18,$E219,$F$20,O$22,$H219,$F$19)</f>
        <v>0</v>
      </c>
      <c r="P219" s="36">
        <f>_xll.DBRW($E$12,$F$16,$F$17,$F$18,$E219,$F$20,P$22,$H219,$F$19)</f>
        <v>0</v>
      </c>
      <c r="Q219" s="36">
        <f>_xll.DBRW($E$12,$F$16,$F$17,$F$18,$E219,$F$20,Q$22,$H219,$F$19)</f>
        <v>0</v>
      </c>
      <c r="R219" s="36">
        <f>_xll.DBRW($E$12,$F$16,$F$17,$F$18,$E219,$F$20,R$22,$H219,$F$19)</f>
        <v>0</v>
      </c>
      <c r="S219" s="36">
        <f>_xll.DBRW($E$12,$F$16,$F$17,$F$18,$E219,$F$20,S$22,$H219,$F$19)</f>
        <v>0</v>
      </c>
      <c r="T219" s="36">
        <f>_xll.DBRW($E$12,$F$16,$F$17,$F$18,$E219,$F$20,T$22,$H219,$F$19)</f>
        <v>0</v>
      </c>
      <c r="U219" s="36">
        <f>_xll.DBRW($E$12,$F$16,$F$17,$F$18,$E219,$F$20,U$22,$H219,$F$19)</f>
        <v>440.58</v>
      </c>
    </row>
    <row r="220" spans="4:21" s="37" customFormat="1" ht="15" outlineLevel="1" thickBot="1" x14ac:dyDescent="0.35">
      <c r="D220" s="33" t="str">
        <f>IF(_xll.TM1RPTELISCONSOLIDATED($H$34,$H220),IF(_xll.TM1RPTELLEV($H$34,$H220)&lt;=5,_xll.TM1RPTELLEV($H$34,$H220),"Default"),"Leaf")</f>
        <v>Leaf</v>
      </c>
      <c r="E220" s="42" t="s">
        <v>672</v>
      </c>
      <c r="F220" s="34" t="str">
        <f>_xll.DBR($B$18,$H220,"Account_Type")</f>
        <v>NON LABOR</v>
      </c>
      <c r="G220" s="34" t="str">
        <f>_xll.DBR($B$18,$H220,"Description")</f>
        <v>Employee Leased Vehicles</v>
      </c>
      <c r="H220" s="43" t="s">
        <v>353</v>
      </c>
      <c r="I220" s="36">
        <f>_xll.DBRW($E$12,$F$16,$F$17,$F$18,$E220,$F$20,I$22,$H220,$F$19)</f>
        <v>4000</v>
      </c>
      <c r="J220" s="36">
        <f>_xll.DBRW($E$12,$F$16,$F$17,$F$18,$E220,$F$20,J$22,$H220,$F$19)</f>
        <v>4000</v>
      </c>
      <c r="K220" s="36">
        <f>_xll.DBRW($E$12,$F$16,$F$17,$F$18,$E220,$F$20,K$22,$H220,$F$19)</f>
        <v>4700</v>
      </c>
      <c r="L220" s="36">
        <f>_xll.DBRW($E$12,$F$16,$F$17,$F$18,$E220,$F$20,L$22,$H220,$F$19)</f>
        <v>6650</v>
      </c>
      <c r="M220" s="36">
        <f>_xll.DBRW($E$12,$F$16,$F$17,$F$18,$E220,$F$20,M$22,$H220,$F$19)</f>
        <v>5238.71</v>
      </c>
      <c r="N220" s="36">
        <f>_xll.DBRW($E$12,$F$16,$F$17,$F$18,$E220,$F$20,N$22,$H220,$F$19)</f>
        <v>2300</v>
      </c>
      <c r="O220" s="36">
        <f>_xll.DBRW($E$12,$F$16,$F$17,$F$18,$E220,$F$20,O$22,$H220,$F$19)</f>
        <v>2300</v>
      </c>
      <c r="P220" s="36">
        <f>_xll.DBRW($E$12,$F$16,$F$17,$F$18,$E220,$F$20,P$22,$H220,$F$19)</f>
        <v>0</v>
      </c>
      <c r="Q220" s="36">
        <f>_xll.DBRW($E$12,$F$16,$F$17,$F$18,$E220,$F$20,Q$22,$H220,$F$19)</f>
        <v>0</v>
      </c>
      <c r="R220" s="36">
        <f>_xll.DBRW($E$12,$F$16,$F$17,$F$18,$E220,$F$20,R$22,$H220,$F$19)</f>
        <v>0</v>
      </c>
      <c r="S220" s="36">
        <f>_xll.DBRW($E$12,$F$16,$F$17,$F$18,$E220,$F$20,S$22,$H220,$F$19)</f>
        <v>0</v>
      </c>
      <c r="T220" s="36">
        <f>_xll.DBRW($E$12,$F$16,$F$17,$F$18,$E220,$F$20,T$22,$H220,$F$19)</f>
        <v>0</v>
      </c>
      <c r="U220" s="36">
        <f>_xll.DBRW($E$12,$F$16,$F$17,$F$18,$E220,$F$20,U$22,$H220,$F$19)</f>
        <v>29188.71</v>
      </c>
    </row>
    <row r="221" spans="4:21" s="37" customFormat="1" ht="15" outlineLevel="1" thickBot="1" x14ac:dyDescent="0.35">
      <c r="D221" s="33" t="str">
        <f>IF(_xll.TM1RPTELISCONSOLIDATED($H$34,$H221),IF(_xll.TM1RPTELLEV($H$34,$H221)&lt;=5,_xll.TM1RPTELLEV($H$34,$H221),"Default"),"Leaf")</f>
        <v>Leaf</v>
      </c>
      <c r="E221" s="42" t="s">
        <v>672</v>
      </c>
      <c r="F221" s="34" t="str">
        <f>_xll.DBR($B$18,$H221,"Account_Type")</f>
        <v>NON LABOR</v>
      </c>
      <c r="G221" s="34" t="str">
        <f>_xll.DBR($B$18,$H221,"Description")</f>
        <v>Employee Leased Vehicles</v>
      </c>
      <c r="H221" s="43" t="s">
        <v>354</v>
      </c>
      <c r="I221" s="36">
        <f>_xll.DBRW($E$12,$F$16,$F$17,$F$18,$E221,$F$20,I$22,$H221,$F$19)</f>
        <v>1150</v>
      </c>
      <c r="J221" s="36">
        <f>_xll.DBRW($E$12,$F$16,$F$17,$F$18,$E221,$F$20,J$22,$H221,$F$19)</f>
        <v>1150</v>
      </c>
      <c r="K221" s="36">
        <f>_xll.DBRW($E$12,$F$16,$F$17,$F$18,$E221,$F$20,K$22,$H221,$F$19)</f>
        <v>1150</v>
      </c>
      <c r="L221" s="36">
        <f>_xll.DBRW($E$12,$F$16,$F$17,$F$18,$E221,$F$20,L$22,$H221,$F$19)</f>
        <v>1150</v>
      </c>
      <c r="M221" s="36">
        <f>_xll.DBRW($E$12,$F$16,$F$17,$F$18,$E221,$F$20,M$22,$H221,$F$19)</f>
        <v>1150</v>
      </c>
      <c r="N221" s="36">
        <f>_xll.DBRW($E$12,$F$16,$F$17,$F$18,$E221,$F$20,N$22,$H221,$F$19)</f>
        <v>1150</v>
      </c>
      <c r="O221" s="36">
        <f>_xll.DBRW($E$12,$F$16,$F$17,$F$18,$E221,$F$20,O$22,$H221,$F$19)</f>
        <v>1630</v>
      </c>
      <c r="P221" s="36">
        <f>_xll.DBRW($E$12,$F$16,$F$17,$F$18,$E221,$F$20,P$22,$H221,$F$19)</f>
        <v>0</v>
      </c>
      <c r="Q221" s="36">
        <f>_xll.DBRW($E$12,$F$16,$F$17,$F$18,$E221,$F$20,Q$22,$H221,$F$19)</f>
        <v>0</v>
      </c>
      <c r="R221" s="36">
        <f>_xll.DBRW($E$12,$F$16,$F$17,$F$18,$E221,$F$20,R$22,$H221,$F$19)</f>
        <v>0</v>
      </c>
      <c r="S221" s="36">
        <f>_xll.DBRW($E$12,$F$16,$F$17,$F$18,$E221,$F$20,S$22,$H221,$F$19)</f>
        <v>0</v>
      </c>
      <c r="T221" s="36">
        <f>_xll.DBRW($E$12,$F$16,$F$17,$F$18,$E221,$F$20,T$22,$H221,$F$19)</f>
        <v>0</v>
      </c>
      <c r="U221" s="36">
        <f>_xll.DBRW($E$12,$F$16,$F$17,$F$18,$E221,$F$20,U$22,$H221,$F$19)</f>
        <v>8530</v>
      </c>
    </row>
    <row r="222" spans="4:21" s="37" customFormat="1" ht="15" outlineLevel="1" thickBot="1" x14ac:dyDescent="0.35">
      <c r="D222" s="33" t="str">
        <f>IF(_xll.TM1RPTELISCONSOLIDATED($H$34,$H222),IF(_xll.TM1RPTELLEV($H$34,$H222)&lt;=5,_xll.TM1RPTELLEV($H$34,$H222),"Default"),"Leaf")</f>
        <v>Leaf</v>
      </c>
      <c r="E222" s="42" t="s">
        <v>672</v>
      </c>
      <c r="F222" s="34" t="str">
        <f>_xll.DBR($B$18,$H222,"Account_Type")</f>
        <v>NON LABOR</v>
      </c>
      <c r="G222" s="34" t="str">
        <f>_xll.DBR($B$18,$H222,"Description")</f>
        <v>Fleet Leased Vehicle Expense</v>
      </c>
      <c r="H222" s="43" t="s">
        <v>371</v>
      </c>
      <c r="I222" s="36">
        <f>_xll.DBRW($E$12,$F$16,$F$17,$F$18,$E222,$F$20,I$22,$H222,$F$19)</f>
        <v>0</v>
      </c>
      <c r="J222" s="36">
        <f>_xll.DBRW($E$12,$F$16,$F$17,$F$18,$E222,$F$20,J$22,$H222,$F$19)</f>
        <v>0</v>
      </c>
      <c r="K222" s="36">
        <f>_xll.DBRW($E$12,$F$16,$F$17,$F$18,$E222,$F$20,K$22,$H222,$F$19)</f>
        <v>0</v>
      </c>
      <c r="L222" s="36">
        <f>_xll.DBRW($E$12,$F$16,$F$17,$F$18,$E222,$F$20,L$22,$H222,$F$19)</f>
        <v>0</v>
      </c>
      <c r="M222" s="36">
        <f>_xll.DBRW($E$12,$F$16,$F$17,$F$18,$E222,$F$20,M$22,$H222,$F$19)</f>
        <v>0</v>
      </c>
      <c r="N222" s="36">
        <f>_xll.DBRW($E$12,$F$16,$F$17,$F$18,$E222,$F$20,N$22,$H222,$F$19)</f>
        <v>1055.44</v>
      </c>
      <c r="O222" s="36">
        <f>_xll.DBRW($E$12,$F$16,$F$17,$F$18,$E222,$F$20,O$22,$H222,$F$19)</f>
        <v>2286.6799999999998</v>
      </c>
      <c r="P222" s="36">
        <f>_xll.DBRW($E$12,$F$16,$F$17,$F$18,$E222,$F$20,P$22,$H222,$F$19)</f>
        <v>0</v>
      </c>
      <c r="Q222" s="36">
        <f>_xll.DBRW($E$12,$F$16,$F$17,$F$18,$E222,$F$20,Q$22,$H222,$F$19)</f>
        <v>0</v>
      </c>
      <c r="R222" s="36">
        <f>_xll.DBRW($E$12,$F$16,$F$17,$F$18,$E222,$F$20,R$22,$H222,$F$19)</f>
        <v>0</v>
      </c>
      <c r="S222" s="36">
        <f>_xll.DBRW($E$12,$F$16,$F$17,$F$18,$E222,$F$20,S$22,$H222,$F$19)</f>
        <v>0</v>
      </c>
      <c r="T222" s="36">
        <f>_xll.DBRW($E$12,$F$16,$F$17,$F$18,$E222,$F$20,T$22,$H222,$F$19)</f>
        <v>0</v>
      </c>
      <c r="U222" s="36">
        <f>_xll.DBRW($E$12,$F$16,$F$17,$F$18,$E222,$F$20,U$22,$H222,$F$19)</f>
        <v>3342.12</v>
      </c>
    </row>
    <row r="223" spans="4:21" s="37" customFormat="1" ht="15" outlineLevel="1" thickBot="1" x14ac:dyDescent="0.35">
      <c r="D223" s="33" t="str">
        <f>IF(_xll.TM1RPTELISCONSOLIDATED($H$34,$H223),IF(_xll.TM1RPTELLEV($H$34,$H223)&lt;=5,_xll.TM1RPTELLEV($H$34,$H223),"Default"),"Leaf")</f>
        <v>Leaf</v>
      </c>
      <c r="E223" s="42" t="s">
        <v>672</v>
      </c>
      <c r="F223" s="34" t="str">
        <f>_xll.DBR($B$18,$H223,"Account_Type")</f>
        <v>NON LABOR</v>
      </c>
      <c r="G223" s="34" t="str">
        <f>_xll.DBR($B$18,$H223,"Description")</f>
        <v>Fleet Leased Vehicle Expense</v>
      </c>
      <c r="H223" s="43" t="s">
        <v>372</v>
      </c>
      <c r="I223" s="36">
        <f>_xll.DBRW($E$12,$F$16,$F$17,$F$18,$E223,$F$20,I$22,$H223,$F$19)</f>
        <v>2694.35</v>
      </c>
      <c r="J223" s="36">
        <f>_xll.DBRW($E$12,$F$16,$F$17,$F$18,$E223,$F$20,J$22,$H223,$F$19)</f>
        <v>3280.89</v>
      </c>
      <c r="K223" s="36">
        <f>_xll.DBRW($E$12,$F$16,$F$17,$F$18,$E223,$F$20,K$22,$H223,$F$19)</f>
        <v>3900.17</v>
      </c>
      <c r="L223" s="36">
        <f>_xll.DBRW($E$12,$F$16,$F$17,$F$18,$E223,$F$20,L$22,$H223,$F$19)</f>
        <v>4781.3599999999997</v>
      </c>
      <c r="M223" s="36">
        <f>_xll.DBRW($E$12,$F$16,$F$17,$F$18,$E223,$F$20,M$22,$H223,$F$19)</f>
        <v>0</v>
      </c>
      <c r="N223" s="36">
        <f>_xll.DBRW($E$12,$F$16,$F$17,$F$18,$E223,$F$20,N$22,$H223,$F$19)</f>
        <v>5634.35</v>
      </c>
      <c r="O223" s="36">
        <f>_xll.DBRW($E$12,$F$16,$F$17,$F$18,$E223,$F$20,O$22,$H223,$F$19)</f>
        <v>0</v>
      </c>
      <c r="P223" s="36">
        <f>_xll.DBRW($E$12,$F$16,$F$17,$F$18,$E223,$F$20,P$22,$H223,$F$19)</f>
        <v>0</v>
      </c>
      <c r="Q223" s="36">
        <f>_xll.DBRW($E$12,$F$16,$F$17,$F$18,$E223,$F$20,Q$22,$H223,$F$19)</f>
        <v>0</v>
      </c>
      <c r="R223" s="36">
        <f>_xll.DBRW($E$12,$F$16,$F$17,$F$18,$E223,$F$20,R$22,$H223,$F$19)</f>
        <v>0</v>
      </c>
      <c r="S223" s="36">
        <f>_xll.DBRW($E$12,$F$16,$F$17,$F$18,$E223,$F$20,S$22,$H223,$F$19)</f>
        <v>0</v>
      </c>
      <c r="T223" s="36">
        <f>_xll.DBRW($E$12,$F$16,$F$17,$F$18,$E223,$F$20,T$22,$H223,$F$19)</f>
        <v>0</v>
      </c>
      <c r="U223" s="36">
        <f>_xll.DBRW($E$12,$F$16,$F$17,$F$18,$E223,$F$20,U$22,$H223,$F$19)</f>
        <v>20291.120000000003</v>
      </c>
    </row>
    <row r="224" spans="4:21" s="37" customFormat="1" ht="15" outlineLevel="1" thickBot="1" x14ac:dyDescent="0.35">
      <c r="D224" s="33" t="str">
        <f>IF(_xll.TM1RPTELISCONSOLIDATED($H$34,$H224),IF(_xll.TM1RPTELLEV($H$34,$H224)&lt;=5,_xll.TM1RPTELLEV($H$34,$H224),"Default"),"Leaf")</f>
        <v>Leaf</v>
      </c>
      <c r="E224" s="42" t="s">
        <v>672</v>
      </c>
      <c r="F224" s="34" t="str">
        <f>_xll.DBR($B$18,$H224,"Account_Type")</f>
        <v>NON LABOR</v>
      </c>
      <c r="G224" s="34" t="str">
        <f>_xll.DBR($B$18,$H224,"Description")</f>
        <v>Fleet Leased Vehicle Expense</v>
      </c>
      <c r="H224" s="43" t="s">
        <v>373</v>
      </c>
      <c r="I224" s="36">
        <f>_xll.DBRW($E$12,$F$16,$F$17,$F$18,$E224,$F$20,I$22,$H224,$F$19)</f>
        <v>71</v>
      </c>
      <c r="J224" s="36">
        <f>_xll.DBRW($E$12,$F$16,$F$17,$F$18,$E224,$F$20,J$22,$H224,$F$19)</f>
        <v>71</v>
      </c>
      <c r="K224" s="36">
        <f>_xll.DBRW($E$12,$F$16,$F$17,$F$18,$E224,$F$20,K$22,$H224,$F$19)</f>
        <v>71</v>
      </c>
      <c r="L224" s="36">
        <f>_xll.DBRW($E$12,$F$16,$F$17,$F$18,$E224,$F$20,L$22,$H224,$F$19)</f>
        <v>119.1</v>
      </c>
      <c r="M224" s="36">
        <f>_xll.DBRW($E$12,$F$16,$F$17,$F$18,$E224,$F$20,M$22,$H224,$F$19)</f>
        <v>0</v>
      </c>
      <c r="N224" s="36">
        <f>_xll.DBRW($E$12,$F$16,$F$17,$F$18,$E224,$F$20,N$22,$H224,$F$19)</f>
        <v>102</v>
      </c>
      <c r="O224" s="36">
        <f>_xll.DBRW($E$12,$F$16,$F$17,$F$18,$E224,$F$20,O$22,$H224,$F$19)</f>
        <v>0</v>
      </c>
      <c r="P224" s="36">
        <f>_xll.DBRW($E$12,$F$16,$F$17,$F$18,$E224,$F$20,P$22,$H224,$F$19)</f>
        <v>0</v>
      </c>
      <c r="Q224" s="36">
        <f>_xll.DBRW($E$12,$F$16,$F$17,$F$18,$E224,$F$20,Q$22,$H224,$F$19)</f>
        <v>0</v>
      </c>
      <c r="R224" s="36">
        <f>_xll.DBRW($E$12,$F$16,$F$17,$F$18,$E224,$F$20,R$22,$H224,$F$19)</f>
        <v>0</v>
      </c>
      <c r="S224" s="36">
        <f>_xll.DBRW($E$12,$F$16,$F$17,$F$18,$E224,$F$20,S$22,$H224,$F$19)</f>
        <v>0</v>
      </c>
      <c r="T224" s="36">
        <f>_xll.DBRW($E$12,$F$16,$F$17,$F$18,$E224,$F$20,T$22,$H224,$F$19)</f>
        <v>0</v>
      </c>
      <c r="U224" s="36">
        <f>_xll.DBRW($E$12,$F$16,$F$17,$F$18,$E224,$F$20,U$22,$H224,$F$19)</f>
        <v>434.1</v>
      </c>
    </row>
    <row r="225" spans="4:21" s="37" customFormat="1" ht="15" outlineLevel="1" thickBot="1" x14ac:dyDescent="0.35">
      <c r="D225" s="33" t="str">
        <f>IF(_xll.TM1RPTELISCONSOLIDATED($H$34,$H225),IF(_xll.TM1RPTELLEV($H$34,$H225)&lt;=5,_xll.TM1RPTELLEV($H$34,$H225),"Default"),"Leaf")</f>
        <v>Leaf</v>
      </c>
      <c r="E225" s="42" t="s">
        <v>672</v>
      </c>
      <c r="F225" s="34" t="str">
        <f>_xll.DBR($B$18,$H225,"Account_Type")</f>
        <v>NON LABOR</v>
      </c>
      <c r="G225" s="34" t="str">
        <f>_xll.DBR($B$18,$H225,"Description")</f>
        <v>Fleet Leased Vehicle Expense</v>
      </c>
      <c r="H225" s="43" t="s">
        <v>381</v>
      </c>
      <c r="I225" s="36">
        <f>_xll.DBRW($E$12,$F$16,$F$17,$F$18,$E225,$F$20,I$22,$H225,$F$19)</f>
        <v>0</v>
      </c>
      <c r="J225" s="36">
        <f>_xll.DBRW($E$12,$F$16,$F$17,$F$18,$E225,$F$20,J$22,$H225,$F$19)</f>
        <v>963.8</v>
      </c>
      <c r="K225" s="36">
        <f>_xll.DBRW($E$12,$F$16,$F$17,$F$18,$E225,$F$20,K$22,$H225,$F$19)</f>
        <v>1043.32</v>
      </c>
      <c r="L225" s="36">
        <f>_xll.DBRW($E$12,$F$16,$F$17,$F$18,$E225,$F$20,L$22,$H225,$F$19)</f>
        <v>0</v>
      </c>
      <c r="M225" s="36">
        <f>_xll.DBRW($E$12,$F$16,$F$17,$F$18,$E225,$F$20,M$22,$H225,$F$19)</f>
        <v>3147.02</v>
      </c>
      <c r="N225" s="36">
        <f>_xll.DBRW($E$12,$F$16,$F$17,$F$18,$E225,$F$20,N$22,$H225,$F$19)</f>
        <v>531.62</v>
      </c>
      <c r="O225" s="36">
        <f>_xll.DBRW($E$12,$F$16,$F$17,$F$18,$E225,$F$20,O$22,$H225,$F$19)</f>
        <v>-2142.09</v>
      </c>
      <c r="P225" s="36">
        <f>_xll.DBRW($E$12,$F$16,$F$17,$F$18,$E225,$F$20,P$22,$H225,$F$19)</f>
        <v>0</v>
      </c>
      <c r="Q225" s="36">
        <f>_xll.DBRW($E$12,$F$16,$F$17,$F$18,$E225,$F$20,Q$22,$H225,$F$19)</f>
        <v>0</v>
      </c>
      <c r="R225" s="36">
        <f>_xll.DBRW($E$12,$F$16,$F$17,$F$18,$E225,$F$20,R$22,$H225,$F$19)</f>
        <v>0</v>
      </c>
      <c r="S225" s="36">
        <f>_xll.DBRW($E$12,$F$16,$F$17,$F$18,$E225,$F$20,S$22,$H225,$F$19)</f>
        <v>0</v>
      </c>
      <c r="T225" s="36">
        <f>_xll.DBRW($E$12,$F$16,$F$17,$F$18,$E225,$F$20,T$22,$H225,$F$19)</f>
        <v>0</v>
      </c>
      <c r="U225" s="36">
        <f>_xll.DBRW($E$12,$F$16,$F$17,$F$18,$E225,$F$20,U$22,$H225,$F$19)</f>
        <v>3543.6699999999992</v>
      </c>
    </row>
    <row r="226" spans="4:21" s="37" customFormat="1" ht="15" outlineLevel="1" thickBot="1" x14ac:dyDescent="0.35">
      <c r="D226" s="33" t="str">
        <f>IF(_xll.TM1RPTELISCONSOLIDATED($H$34,$H226),IF(_xll.TM1RPTELLEV($H$34,$H226)&lt;=5,_xll.TM1RPTELLEV($H$34,$H226),"Default"),"Leaf")</f>
        <v>Leaf</v>
      </c>
      <c r="E226" s="42" t="s">
        <v>672</v>
      </c>
      <c r="F226" s="34" t="str">
        <f>_xll.DBR($B$18,$H226,"Account_Type")</f>
        <v>NON LABOR</v>
      </c>
      <c r="G226" s="34" t="str">
        <f>_xll.DBR($B$18,$H226,"Description")</f>
        <v>Fleet Leased Vehicle Expense</v>
      </c>
      <c r="H226" s="43" t="s">
        <v>382</v>
      </c>
      <c r="I226" s="36">
        <f>_xll.DBRW($E$12,$F$16,$F$17,$F$18,$E226,$F$20,I$22,$H226,$F$19)</f>
        <v>0</v>
      </c>
      <c r="J226" s="36">
        <f>_xll.DBRW($E$12,$F$16,$F$17,$F$18,$E226,$F$20,J$22,$H226,$F$19)</f>
        <v>1094.58</v>
      </c>
      <c r="K226" s="36">
        <f>_xll.DBRW($E$12,$F$16,$F$17,$F$18,$E226,$F$20,K$22,$H226,$F$19)</f>
        <v>418.04</v>
      </c>
      <c r="L226" s="36">
        <f>_xll.DBRW($E$12,$F$16,$F$17,$F$18,$E226,$F$20,L$22,$H226,$F$19)</f>
        <v>1379.86</v>
      </c>
      <c r="M226" s="36">
        <f>_xll.DBRW($E$12,$F$16,$F$17,$F$18,$E226,$F$20,M$22,$H226,$F$19)</f>
        <v>927.58</v>
      </c>
      <c r="N226" s="36">
        <f>_xll.DBRW($E$12,$F$16,$F$17,$F$18,$E226,$F$20,N$22,$H226,$F$19)</f>
        <v>417.9</v>
      </c>
      <c r="O226" s="36">
        <f>_xll.DBRW($E$12,$F$16,$F$17,$F$18,$E226,$F$20,O$22,$H226,$F$19)</f>
        <v>0</v>
      </c>
      <c r="P226" s="36">
        <f>_xll.DBRW($E$12,$F$16,$F$17,$F$18,$E226,$F$20,P$22,$H226,$F$19)</f>
        <v>0</v>
      </c>
      <c r="Q226" s="36">
        <f>_xll.DBRW($E$12,$F$16,$F$17,$F$18,$E226,$F$20,Q$22,$H226,$F$19)</f>
        <v>0</v>
      </c>
      <c r="R226" s="36">
        <f>_xll.DBRW($E$12,$F$16,$F$17,$F$18,$E226,$F$20,R$22,$H226,$F$19)</f>
        <v>0</v>
      </c>
      <c r="S226" s="36">
        <f>_xll.DBRW($E$12,$F$16,$F$17,$F$18,$E226,$F$20,S$22,$H226,$F$19)</f>
        <v>0</v>
      </c>
      <c r="T226" s="36">
        <f>_xll.DBRW($E$12,$F$16,$F$17,$F$18,$E226,$F$20,T$22,$H226,$F$19)</f>
        <v>0</v>
      </c>
      <c r="U226" s="36">
        <f>_xll.DBRW($E$12,$F$16,$F$17,$F$18,$E226,$F$20,U$22,$H226,$F$19)</f>
        <v>4237.9599999999991</v>
      </c>
    </row>
    <row r="227" spans="4:21" s="37" customFormat="1" ht="15" outlineLevel="1" thickBot="1" x14ac:dyDescent="0.35">
      <c r="D227" s="33" t="str">
        <f>IF(_xll.TM1RPTELISCONSOLIDATED($H$34,$H227),IF(_xll.TM1RPTELLEV($H$34,$H227)&lt;=5,_xll.TM1RPTELLEV($H$34,$H227),"Default"),"Leaf")</f>
        <v>Leaf</v>
      </c>
      <c r="E227" s="42" t="s">
        <v>672</v>
      </c>
      <c r="F227" s="34" t="str">
        <f>_xll.DBR($B$18,$H227,"Account_Type")</f>
        <v>NON LABOR</v>
      </c>
      <c r="G227" s="34" t="str">
        <f>_xll.DBR($B$18,$H227,"Description")</f>
        <v>Fuel to Leased Vehicles</v>
      </c>
      <c r="H227" s="43" t="s">
        <v>389</v>
      </c>
      <c r="I227" s="36">
        <f>_xll.DBRW($E$12,$F$16,$F$17,$F$18,$E227,$F$20,I$22,$H227,$F$19)</f>
        <v>2402.1</v>
      </c>
      <c r="J227" s="36">
        <f>_xll.DBRW($E$12,$F$16,$F$17,$F$18,$E227,$F$20,J$22,$H227,$F$19)</f>
        <v>898.11</v>
      </c>
      <c r="K227" s="36">
        <f>_xll.DBRW($E$12,$F$16,$F$17,$F$18,$E227,$F$20,K$22,$H227,$F$19)</f>
        <v>459.94</v>
      </c>
      <c r="L227" s="36">
        <f>_xll.DBRW($E$12,$F$16,$F$17,$F$18,$E227,$F$20,L$22,$H227,$F$19)</f>
        <v>827.33</v>
      </c>
      <c r="M227" s="36">
        <f>_xll.DBRW($E$12,$F$16,$F$17,$F$18,$E227,$F$20,M$22,$H227,$F$19)</f>
        <v>493.75</v>
      </c>
      <c r="N227" s="36">
        <f>_xll.DBRW($E$12,$F$16,$F$17,$F$18,$E227,$F$20,N$22,$H227,$F$19)</f>
        <v>0</v>
      </c>
      <c r="O227" s="36">
        <f>_xll.DBRW($E$12,$F$16,$F$17,$F$18,$E227,$F$20,O$22,$H227,$F$19)</f>
        <v>0</v>
      </c>
      <c r="P227" s="36">
        <f>_xll.DBRW($E$12,$F$16,$F$17,$F$18,$E227,$F$20,P$22,$H227,$F$19)</f>
        <v>0</v>
      </c>
      <c r="Q227" s="36">
        <f>_xll.DBRW($E$12,$F$16,$F$17,$F$18,$E227,$F$20,Q$22,$H227,$F$19)</f>
        <v>0</v>
      </c>
      <c r="R227" s="36">
        <f>_xll.DBRW($E$12,$F$16,$F$17,$F$18,$E227,$F$20,R$22,$H227,$F$19)</f>
        <v>0</v>
      </c>
      <c r="S227" s="36">
        <f>_xll.DBRW($E$12,$F$16,$F$17,$F$18,$E227,$F$20,S$22,$H227,$F$19)</f>
        <v>0</v>
      </c>
      <c r="T227" s="36">
        <f>_xll.DBRW($E$12,$F$16,$F$17,$F$18,$E227,$F$20,T$22,$H227,$F$19)</f>
        <v>0</v>
      </c>
      <c r="U227" s="36">
        <f>_xll.DBRW($E$12,$F$16,$F$17,$F$18,$E227,$F$20,U$22,$H227,$F$19)</f>
        <v>5081.2300000000005</v>
      </c>
    </row>
    <row r="228" spans="4:21" s="37" customFormat="1" ht="15" outlineLevel="1" thickBot="1" x14ac:dyDescent="0.35">
      <c r="D228" s="33" t="str">
        <f>IF(_xll.TM1RPTELISCONSOLIDATED($H$34,$H228),IF(_xll.TM1RPTELLEV($H$34,$H228)&lt;=5,_xll.TM1RPTELLEV($H$34,$H228),"Default"),"Leaf")</f>
        <v>Leaf</v>
      </c>
      <c r="E228" s="42" t="s">
        <v>672</v>
      </c>
      <c r="F228" s="34" t="str">
        <f>_xll.DBR($B$18,$H228,"Account_Type")</f>
        <v>NON LABOR</v>
      </c>
      <c r="G228" s="34" t="str">
        <f>_xll.DBR($B$18,$H228,"Description")</f>
        <v>Fuel to Leased Vehicles</v>
      </c>
      <c r="H228" s="43" t="s">
        <v>390</v>
      </c>
      <c r="I228" s="36">
        <f>_xll.DBRW($E$12,$F$16,$F$17,$F$18,$E228,$F$20,I$22,$H228,$F$19)</f>
        <v>284.95</v>
      </c>
      <c r="J228" s="36">
        <f>_xll.DBRW($E$12,$F$16,$F$17,$F$18,$E228,$F$20,J$22,$H228,$F$19)</f>
        <v>431.34</v>
      </c>
      <c r="K228" s="36">
        <f>_xll.DBRW($E$12,$F$16,$F$17,$F$18,$E228,$F$20,K$22,$H228,$F$19)</f>
        <v>315.61</v>
      </c>
      <c r="L228" s="36">
        <f>_xll.DBRW($E$12,$F$16,$F$17,$F$18,$E228,$F$20,L$22,$H228,$F$19)</f>
        <v>250.89</v>
      </c>
      <c r="M228" s="36">
        <f>_xll.DBRW($E$12,$F$16,$F$17,$F$18,$E228,$F$20,M$22,$H228,$F$19)</f>
        <v>538.49</v>
      </c>
      <c r="N228" s="36">
        <f>_xll.DBRW($E$12,$F$16,$F$17,$F$18,$E228,$F$20,N$22,$H228,$F$19)</f>
        <v>0</v>
      </c>
      <c r="O228" s="36">
        <f>_xll.DBRW($E$12,$F$16,$F$17,$F$18,$E228,$F$20,O$22,$H228,$F$19)</f>
        <v>0</v>
      </c>
      <c r="P228" s="36">
        <f>_xll.DBRW($E$12,$F$16,$F$17,$F$18,$E228,$F$20,P$22,$H228,$F$19)</f>
        <v>0</v>
      </c>
      <c r="Q228" s="36">
        <f>_xll.DBRW($E$12,$F$16,$F$17,$F$18,$E228,$F$20,Q$22,$H228,$F$19)</f>
        <v>0</v>
      </c>
      <c r="R228" s="36">
        <f>_xll.DBRW($E$12,$F$16,$F$17,$F$18,$E228,$F$20,R$22,$H228,$F$19)</f>
        <v>0</v>
      </c>
      <c r="S228" s="36">
        <f>_xll.DBRW($E$12,$F$16,$F$17,$F$18,$E228,$F$20,S$22,$H228,$F$19)</f>
        <v>0</v>
      </c>
      <c r="T228" s="36">
        <f>_xll.DBRW($E$12,$F$16,$F$17,$F$18,$E228,$F$20,T$22,$H228,$F$19)</f>
        <v>0</v>
      </c>
      <c r="U228" s="36">
        <f>_xll.DBRW($E$12,$F$16,$F$17,$F$18,$E228,$F$20,U$22,$H228,$F$19)</f>
        <v>1821.28</v>
      </c>
    </row>
    <row r="229" spans="4:21" s="37" customFormat="1" ht="15" outlineLevel="1" thickBot="1" x14ac:dyDescent="0.35">
      <c r="D229" s="33" t="str">
        <f>IF(_xll.TM1RPTELISCONSOLIDATED($H$34,$H229),IF(_xll.TM1RPTELLEV($H$34,$H229)&lt;=5,_xll.TM1RPTELLEV($H$34,$H229),"Default"),"Leaf")</f>
        <v>Leaf</v>
      </c>
      <c r="E229" s="42" t="s">
        <v>672</v>
      </c>
      <c r="F229" s="34" t="str">
        <f>_xll.DBR($B$18,$H229,"Account_Type")</f>
        <v>NON LABOR</v>
      </c>
      <c r="G229" s="34" t="str">
        <f>_xll.DBR($B$18,$H229,"Description")</f>
        <v>Fuel Purchases to Leased Vehicles</v>
      </c>
      <c r="H229" s="43" t="s">
        <v>406</v>
      </c>
      <c r="I229" s="36">
        <f>_xll.DBRW($E$12,$F$16,$F$17,$F$18,$E229,$F$20,I$22,$H229,$F$19)</f>
        <v>0</v>
      </c>
      <c r="J229" s="36">
        <f>_xll.DBRW($E$12,$F$16,$F$17,$F$18,$E229,$F$20,J$22,$H229,$F$19)</f>
        <v>17.72</v>
      </c>
      <c r="K229" s="36">
        <f>_xll.DBRW($E$12,$F$16,$F$17,$F$18,$E229,$F$20,K$22,$H229,$F$19)</f>
        <v>107.2</v>
      </c>
      <c r="L229" s="36">
        <f>_xll.DBRW($E$12,$F$16,$F$17,$F$18,$E229,$F$20,L$22,$H229,$F$19)</f>
        <v>0</v>
      </c>
      <c r="M229" s="36">
        <f>_xll.DBRW($E$12,$F$16,$F$17,$F$18,$E229,$F$20,M$22,$H229,$F$19)</f>
        <v>0</v>
      </c>
      <c r="N229" s="36">
        <f>_xll.DBRW($E$12,$F$16,$F$17,$F$18,$E229,$F$20,N$22,$H229,$F$19)</f>
        <v>0</v>
      </c>
      <c r="O229" s="36">
        <f>_xll.DBRW($E$12,$F$16,$F$17,$F$18,$E229,$F$20,O$22,$H229,$F$19)</f>
        <v>0</v>
      </c>
      <c r="P229" s="36">
        <f>_xll.DBRW($E$12,$F$16,$F$17,$F$18,$E229,$F$20,P$22,$H229,$F$19)</f>
        <v>0</v>
      </c>
      <c r="Q229" s="36">
        <f>_xll.DBRW($E$12,$F$16,$F$17,$F$18,$E229,$F$20,Q$22,$H229,$F$19)</f>
        <v>0</v>
      </c>
      <c r="R229" s="36">
        <f>_xll.DBRW($E$12,$F$16,$F$17,$F$18,$E229,$F$20,R$22,$H229,$F$19)</f>
        <v>0</v>
      </c>
      <c r="S229" s="36">
        <f>_xll.DBRW($E$12,$F$16,$F$17,$F$18,$E229,$F$20,S$22,$H229,$F$19)</f>
        <v>0</v>
      </c>
      <c r="T229" s="36">
        <f>_xll.DBRW($E$12,$F$16,$F$17,$F$18,$E229,$F$20,T$22,$H229,$F$19)</f>
        <v>0</v>
      </c>
      <c r="U229" s="36">
        <f>_xll.DBRW($E$12,$F$16,$F$17,$F$18,$E229,$F$20,U$22,$H229,$F$19)</f>
        <v>124.92</v>
      </c>
    </row>
    <row r="230" spans="4:21" s="37" customFormat="1" ht="15" outlineLevel="1" thickBot="1" x14ac:dyDescent="0.35">
      <c r="D230" s="33" t="str">
        <f>IF(_xll.TM1RPTELISCONSOLIDATED($H$34,$H230),IF(_xll.TM1RPTELLEV($H$34,$H230)&lt;=5,_xll.TM1RPTELLEV($H$34,$H230),"Default"),"Leaf")</f>
        <v>Leaf</v>
      </c>
      <c r="E230" s="42" t="s">
        <v>672</v>
      </c>
      <c r="F230" s="34" t="str">
        <f>_xll.DBR($B$18,$H230,"Account_Type")</f>
        <v>NON LABOR</v>
      </c>
      <c r="G230" s="34" t="str">
        <f>_xll.DBR($B$18,$H230,"Description")</f>
        <v>Unallocated Fuel</v>
      </c>
      <c r="H230" s="43" t="s">
        <v>412</v>
      </c>
      <c r="I230" s="36">
        <f>_xll.DBRW($E$12,$F$16,$F$17,$F$18,$E230,$F$20,I$22,$H230,$F$19)</f>
        <v>0</v>
      </c>
      <c r="J230" s="36">
        <f>_xll.DBRW($E$12,$F$16,$F$17,$F$18,$E230,$F$20,J$22,$H230,$F$19)</f>
        <v>0</v>
      </c>
      <c r="K230" s="36">
        <f>_xll.DBRW($E$12,$F$16,$F$17,$F$18,$E230,$F$20,K$22,$H230,$F$19)</f>
        <v>0</v>
      </c>
      <c r="L230" s="36">
        <f>_xll.DBRW($E$12,$F$16,$F$17,$F$18,$E230,$F$20,L$22,$H230,$F$19)</f>
        <v>0</v>
      </c>
      <c r="M230" s="36">
        <f>_xll.DBRW($E$12,$F$16,$F$17,$F$18,$E230,$F$20,M$22,$H230,$F$19)</f>
        <v>40.68</v>
      </c>
      <c r="N230" s="36">
        <f>_xll.DBRW($E$12,$F$16,$F$17,$F$18,$E230,$F$20,N$22,$H230,$F$19)</f>
        <v>0</v>
      </c>
      <c r="O230" s="36">
        <f>_xll.DBRW($E$12,$F$16,$F$17,$F$18,$E230,$F$20,O$22,$H230,$F$19)</f>
        <v>0</v>
      </c>
      <c r="P230" s="36">
        <f>_xll.DBRW($E$12,$F$16,$F$17,$F$18,$E230,$F$20,P$22,$H230,$F$19)</f>
        <v>0</v>
      </c>
      <c r="Q230" s="36">
        <f>_xll.DBRW($E$12,$F$16,$F$17,$F$18,$E230,$F$20,Q$22,$H230,$F$19)</f>
        <v>0</v>
      </c>
      <c r="R230" s="36">
        <f>_xll.DBRW($E$12,$F$16,$F$17,$F$18,$E230,$F$20,R$22,$H230,$F$19)</f>
        <v>0</v>
      </c>
      <c r="S230" s="36">
        <f>_xll.DBRW($E$12,$F$16,$F$17,$F$18,$E230,$F$20,S$22,$H230,$F$19)</f>
        <v>0</v>
      </c>
      <c r="T230" s="36">
        <f>_xll.DBRW($E$12,$F$16,$F$17,$F$18,$E230,$F$20,T$22,$H230,$F$19)</f>
        <v>0</v>
      </c>
      <c r="U230" s="36">
        <f>_xll.DBRW($E$12,$F$16,$F$17,$F$18,$E230,$F$20,U$22,$H230,$F$19)</f>
        <v>40.68</v>
      </c>
    </row>
    <row r="231" spans="4:21" s="37" customFormat="1" ht="15" outlineLevel="1" thickBot="1" x14ac:dyDescent="0.35">
      <c r="D231" s="33" t="str">
        <f>IF(_xll.TM1RPTELISCONSOLIDATED($H$34,$H231),IF(_xll.TM1RPTELLEV($H$34,$H231)&lt;=5,_xll.TM1RPTELLEV($H$34,$H231),"Default"),"Leaf")</f>
        <v>Leaf</v>
      </c>
      <c r="E231" s="42" t="s">
        <v>672</v>
      </c>
      <c r="F231" s="34" t="str">
        <f>_xll.DBR($B$18,$H231,"Account_Type")</f>
        <v>NON LABOR</v>
      </c>
      <c r="G231" s="34" t="str">
        <f>_xll.DBR($B$18,$H231,"Description")</f>
        <v>Unallocated Fuel</v>
      </c>
      <c r="H231" s="43" t="s">
        <v>413</v>
      </c>
      <c r="I231" s="36">
        <f>_xll.DBRW($E$12,$F$16,$F$17,$F$18,$E231,$F$20,I$22,$H231,$F$19)</f>
        <v>0</v>
      </c>
      <c r="J231" s="36">
        <f>_xll.DBRW($E$12,$F$16,$F$17,$F$18,$E231,$F$20,J$22,$H231,$F$19)</f>
        <v>0</v>
      </c>
      <c r="K231" s="36">
        <f>_xll.DBRW($E$12,$F$16,$F$17,$F$18,$E231,$F$20,K$22,$H231,$F$19)</f>
        <v>0</v>
      </c>
      <c r="L231" s="36">
        <f>_xll.DBRW($E$12,$F$16,$F$17,$F$18,$E231,$F$20,L$22,$H231,$F$19)</f>
        <v>116.35</v>
      </c>
      <c r="M231" s="36">
        <f>_xll.DBRW($E$12,$F$16,$F$17,$F$18,$E231,$F$20,M$22,$H231,$F$19)</f>
        <v>0</v>
      </c>
      <c r="N231" s="36">
        <f>_xll.DBRW($E$12,$F$16,$F$17,$F$18,$E231,$F$20,N$22,$H231,$F$19)</f>
        <v>0</v>
      </c>
      <c r="O231" s="36">
        <f>_xll.DBRW($E$12,$F$16,$F$17,$F$18,$E231,$F$20,O$22,$H231,$F$19)</f>
        <v>0</v>
      </c>
      <c r="P231" s="36">
        <f>_xll.DBRW($E$12,$F$16,$F$17,$F$18,$E231,$F$20,P$22,$H231,$F$19)</f>
        <v>0</v>
      </c>
      <c r="Q231" s="36">
        <f>_xll.DBRW($E$12,$F$16,$F$17,$F$18,$E231,$F$20,Q$22,$H231,$F$19)</f>
        <v>0</v>
      </c>
      <c r="R231" s="36">
        <f>_xll.DBRW($E$12,$F$16,$F$17,$F$18,$E231,$F$20,R$22,$H231,$F$19)</f>
        <v>0</v>
      </c>
      <c r="S231" s="36">
        <f>_xll.DBRW($E$12,$F$16,$F$17,$F$18,$E231,$F$20,S$22,$H231,$F$19)</f>
        <v>0</v>
      </c>
      <c r="T231" s="36">
        <f>_xll.DBRW($E$12,$F$16,$F$17,$F$18,$E231,$F$20,T$22,$H231,$F$19)</f>
        <v>0</v>
      </c>
      <c r="U231" s="36">
        <f>_xll.DBRW($E$12,$F$16,$F$17,$F$18,$E231,$F$20,U$22,$H231,$F$19)</f>
        <v>116.35</v>
      </c>
    </row>
    <row r="232" spans="4:21" s="37" customFormat="1" ht="15" outlineLevel="1" thickBot="1" x14ac:dyDescent="0.35">
      <c r="D232" s="33" t="str">
        <f>IF(_xll.TM1RPTELISCONSOLIDATED($H$34,$H232),IF(_xll.TM1RPTELLEV($H$34,$H232)&lt;=5,_xll.TM1RPTELLEV($H$34,$H232),"Default"),"Leaf")</f>
        <v>Leaf</v>
      </c>
      <c r="E232" s="42" t="s">
        <v>672</v>
      </c>
      <c r="F232" s="34" t="str">
        <f>_xll.DBR($B$18,$H232,"Account_Type")</f>
        <v>NON LABOR</v>
      </c>
      <c r="G232" s="34" t="str">
        <f>_xll.DBR($B$18,$H232,"Description")</f>
        <v>Company Owned Equipment</v>
      </c>
      <c r="H232" s="43" t="s">
        <v>416</v>
      </c>
      <c r="I232" s="36">
        <f>_xll.DBRW($E$12,$F$16,$F$17,$F$18,$E232,$F$20,I$22,$H232,$F$19)</f>
        <v>3720</v>
      </c>
      <c r="J232" s="36">
        <f>_xll.DBRW($E$12,$F$16,$F$17,$F$18,$E232,$F$20,J$22,$H232,$F$19)</f>
        <v>5705</v>
      </c>
      <c r="K232" s="36">
        <f>_xll.DBRW($E$12,$F$16,$F$17,$F$18,$E232,$F$20,K$22,$H232,$F$19)</f>
        <v>4885</v>
      </c>
      <c r="L232" s="36">
        <f>_xll.DBRW($E$12,$F$16,$F$17,$F$18,$E232,$F$20,L$22,$H232,$F$19)</f>
        <v>3975</v>
      </c>
      <c r="M232" s="36">
        <f>_xll.DBRW($E$12,$F$16,$F$17,$F$18,$E232,$F$20,M$22,$H232,$F$19)</f>
        <v>4520</v>
      </c>
      <c r="N232" s="36">
        <f>_xll.DBRW($E$12,$F$16,$F$17,$F$18,$E232,$F$20,N$22,$H232,$F$19)</f>
        <v>3380</v>
      </c>
      <c r="O232" s="36">
        <f>_xll.DBRW($E$12,$F$16,$F$17,$F$18,$E232,$F$20,O$22,$H232,$F$19)</f>
        <v>760</v>
      </c>
      <c r="P232" s="36">
        <f>_xll.DBRW($E$12,$F$16,$F$17,$F$18,$E232,$F$20,P$22,$H232,$F$19)</f>
        <v>0</v>
      </c>
      <c r="Q232" s="36">
        <f>_xll.DBRW($E$12,$F$16,$F$17,$F$18,$E232,$F$20,Q$22,$H232,$F$19)</f>
        <v>0</v>
      </c>
      <c r="R232" s="36">
        <f>_xll.DBRW($E$12,$F$16,$F$17,$F$18,$E232,$F$20,R$22,$H232,$F$19)</f>
        <v>0</v>
      </c>
      <c r="S232" s="36">
        <f>_xll.DBRW($E$12,$F$16,$F$17,$F$18,$E232,$F$20,S$22,$H232,$F$19)</f>
        <v>0</v>
      </c>
      <c r="T232" s="36">
        <f>_xll.DBRW($E$12,$F$16,$F$17,$F$18,$E232,$F$20,T$22,$H232,$F$19)</f>
        <v>0</v>
      </c>
      <c r="U232" s="36">
        <f>_xll.DBRW($E$12,$F$16,$F$17,$F$18,$E232,$F$20,U$22,$H232,$F$19)</f>
        <v>26945</v>
      </c>
    </row>
    <row r="233" spans="4:21" s="37" customFormat="1" ht="15" outlineLevel="1" thickBot="1" x14ac:dyDescent="0.35">
      <c r="D233" s="33" t="str">
        <f>IF(_xll.TM1RPTELISCONSOLIDATED($H$34,$H233),IF(_xll.TM1RPTELLEV($H$34,$H233)&lt;=5,_xll.TM1RPTELLEV($H$34,$H233),"Default"),"Leaf")</f>
        <v>Leaf</v>
      </c>
      <c r="E233" s="42" t="s">
        <v>672</v>
      </c>
      <c r="F233" s="34" t="str">
        <f>_xll.DBR($B$18,$H233,"Account_Type")</f>
        <v>NON LABOR</v>
      </c>
      <c r="G233" s="34" t="str">
        <f>_xll.DBR($B$18,$H233,"Description")</f>
        <v>Fuel to Company Owned Equipment</v>
      </c>
      <c r="H233" s="43" t="s">
        <v>429</v>
      </c>
      <c r="I233" s="36">
        <f>_xll.DBRW($E$12,$F$16,$F$17,$F$18,$E233,$F$20,I$22,$H233,$F$19)</f>
        <v>512.91999999999996</v>
      </c>
      <c r="J233" s="36">
        <f>_xll.DBRW($E$12,$F$16,$F$17,$F$18,$E233,$F$20,J$22,$H233,$F$19)</f>
        <v>3881.22</v>
      </c>
      <c r="K233" s="36">
        <f>_xll.DBRW($E$12,$F$16,$F$17,$F$18,$E233,$F$20,K$22,$H233,$F$19)</f>
        <v>0</v>
      </c>
      <c r="L233" s="36">
        <f>_xll.DBRW($E$12,$F$16,$F$17,$F$18,$E233,$F$20,L$22,$H233,$F$19)</f>
        <v>0</v>
      </c>
      <c r="M233" s="36">
        <f>_xll.DBRW($E$12,$F$16,$F$17,$F$18,$E233,$F$20,M$22,$H233,$F$19)</f>
        <v>0</v>
      </c>
      <c r="N233" s="36">
        <f>_xll.DBRW($E$12,$F$16,$F$17,$F$18,$E233,$F$20,N$22,$H233,$F$19)</f>
        <v>0</v>
      </c>
      <c r="O233" s="36">
        <f>_xll.DBRW($E$12,$F$16,$F$17,$F$18,$E233,$F$20,O$22,$H233,$F$19)</f>
        <v>0</v>
      </c>
      <c r="P233" s="36">
        <f>_xll.DBRW($E$12,$F$16,$F$17,$F$18,$E233,$F$20,P$22,$H233,$F$19)</f>
        <v>0</v>
      </c>
      <c r="Q233" s="36">
        <f>_xll.DBRW($E$12,$F$16,$F$17,$F$18,$E233,$F$20,Q$22,$H233,$F$19)</f>
        <v>0</v>
      </c>
      <c r="R233" s="36">
        <f>_xll.DBRW($E$12,$F$16,$F$17,$F$18,$E233,$F$20,R$22,$H233,$F$19)</f>
        <v>0</v>
      </c>
      <c r="S233" s="36">
        <f>_xll.DBRW($E$12,$F$16,$F$17,$F$18,$E233,$F$20,S$22,$H233,$F$19)</f>
        <v>0</v>
      </c>
      <c r="T233" s="36">
        <f>_xll.DBRW($E$12,$F$16,$F$17,$F$18,$E233,$F$20,T$22,$H233,$F$19)</f>
        <v>0</v>
      </c>
      <c r="U233" s="36">
        <f>_xll.DBRW($E$12,$F$16,$F$17,$F$18,$E233,$F$20,U$22,$H233,$F$19)</f>
        <v>4394.1399999999994</v>
      </c>
    </row>
    <row r="234" spans="4:21" s="37" customFormat="1" ht="15" outlineLevel="1" thickBot="1" x14ac:dyDescent="0.35">
      <c r="D234" s="33" t="str">
        <f>IF(_xll.TM1RPTELISCONSOLIDATED($H$34,$H234),IF(_xll.TM1RPTELLEV($H$34,$H234)&lt;=5,_xll.TM1RPTELLEV($H$34,$H234),"Default"),"Leaf")</f>
        <v>Leaf</v>
      </c>
      <c r="E234" s="42" t="s">
        <v>672</v>
      </c>
      <c r="F234" s="34" t="str">
        <f>_xll.DBR($B$18,$H234,"Account_Type")</f>
        <v>NON LABOR</v>
      </c>
      <c r="G234" s="34" t="str">
        <f>_xll.DBR($B$18,$H234,"Description")</f>
        <v>Fuel to Company Owned Equipment</v>
      </c>
      <c r="H234" s="43" t="s">
        <v>430</v>
      </c>
      <c r="I234" s="36">
        <f>_xll.DBRW($E$12,$F$16,$F$17,$F$18,$E234,$F$20,I$22,$H234,$F$19)</f>
        <v>0</v>
      </c>
      <c r="J234" s="36">
        <f>_xll.DBRW($E$12,$F$16,$F$17,$F$18,$E234,$F$20,J$22,$H234,$F$19)</f>
        <v>0</v>
      </c>
      <c r="K234" s="36">
        <f>_xll.DBRW($E$12,$F$16,$F$17,$F$18,$E234,$F$20,K$22,$H234,$F$19)</f>
        <v>0</v>
      </c>
      <c r="L234" s="36">
        <f>_xll.DBRW($E$12,$F$16,$F$17,$F$18,$E234,$F$20,L$22,$H234,$F$19)</f>
        <v>0</v>
      </c>
      <c r="M234" s="36">
        <f>_xll.DBRW($E$12,$F$16,$F$17,$F$18,$E234,$F$20,M$22,$H234,$F$19)</f>
        <v>34.03</v>
      </c>
      <c r="N234" s="36">
        <f>_xll.DBRW($E$12,$F$16,$F$17,$F$18,$E234,$F$20,N$22,$H234,$F$19)</f>
        <v>0</v>
      </c>
      <c r="O234" s="36">
        <f>_xll.DBRW($E$12,$F$16,$F$17,$F$18,$E234,$F$20,O$22,$H234,$F$19)</f>
        <v>0</v>
      </c>
      <c r="P234" s="36">
        <f>_xll.DBRW($E$12,$F$16,$F$17,$F$18,$E234,$F$20,P$22,$H234,$F$19)</f>
        <v>0</v>
      </c>
      <c r="Q234" s="36">
        <f>_xll.DBRW($E$12,$F$16,$F$17,$F$18,$E234,$F$20,Q$22,$H234,$F$19)</f>
        <v>0</v>
      </c>
      <c r="R234" s="36">
        <f>_xll.DBRW($E$12,$F$16,$F$17,$F$18,$E234,$F$20,R$22,$H234,$F$19)</f>
        <v>0</v>
      </c>
      <c r="S234" s="36">
        <f>_xll.DBRW($E$12,$F$16,$F$17,$F$18,$E234,$F$20,S$22,$H234,$F$19)</f>
        <v>0</v>
      </c>
      <c r="T234" s="36">
        <f>_xll.DBRW($E$12,$F$16,$F$17,$F$18,$E234,$F$20,T$22,$H234,$F$19)</f>
        <v>0</v>
      </c>
      <c r="U234" s="36">
        <f>_xll.DBRW($E$12,$F$16,$F$17,$F$18,$E234,$F$20,U$22,$H234,$F$19)</f>
        <v>34.03</v>
      </c>
    </row>
    <row r="235" spans="4:21" s="37" customFormat="1" ht="15" outlineLevel="1" thickBot="1" x14ac:dyDescent="0.35">
      <c r="D235" s="33" t="str">
        <f>IF(_xll.TM1RPTELISCONSOLIDATED($H$34,$H235),IF(_xll.TM1RPTELLEV($H$34,$H235)&lt;=5,_xll.TM1RPTELLEV($H$34,$H235),"Default"),"Leaf")</f>
        <v>Leaf</v>
      </c>
      <c r="E235" s="42" t="s">
        <v>672</v>
      </c>
      <c r="F235" s="34" t="str">
        <f>_xll.DBR($B$18,$H235,"Account_Type")</f>
        <v>NON LABOR</v>
      </c>
      <c r="G235" s="34" t="str">
        <f>_xll.DBR($B$18,$H235,"Description")</f>
        <v>Miscellaneous Expense</v>
      </c>
      <c r="H235" s="43" t="s">
        <v>450</v>
      </c>
      <c r="I235" s="36">
        <f>_xll.DBRW($E$12,$F$16,$F$17,$F$18,$E235,$F$20,I$22,$H235,$F$19)</f>
        <v>0</v>
      </c>
      <c r="J235" s="36">
        <f>_xll.DBRW($E$12,$F$16,$F$17,$F$18,$E235,$F$20,J$22,$H235,$F$19)</f>
        <v>75.7</v>
      </c>
      <c r="K235" s="36">
        <f>_xll.DBRW($E$12,$F$16,$F$17,$F$18,$E235,$F$20,K$22,$H235,$F$19)</f>
        <v>-87.7</v>
      </c>
      <c r="L235" s="36">
        <f>_xll.DBRW($E$12,$F$16,$F$17,$F$18,$E235,$F$20,L$22,$H235,$F$19)</f>
        <v>0</v>
      </c>
      <c r="M235" s="36">
        <f>_xll.DBRW($E$12,$F$16,$F$17,$F$18,$E235,$F$20,M$22,$H235,$F$19)</f>
        <v>0</v>
      </c>
      <c r="N235" s="36">
        <f>_xll.DBRW($E$12,$F$16,$F$17,$F$18,$E235,$F$20,N$22,$H235,$F$19)</f>
        <v>0</v>
      </c>
      <c r="O235" s="36">
        <f>_xll.DBRW($E$12,$F$16,$F$17,$F$18,$E235,$F$20,O$22,$H235,$F$19)</f>
        <v>0</v>
      </c>
      <c r="P235" s="36">
        <f>_xll.DBRW($E$12,$F$16,$F$17,$F$18,$E235,$F$20,P$22,$H235,$F$19)</f>
        <v>0</v>
      </c>
      <c r="Q235" s="36">
        <f>_xll.DBRW($E$12,$F$16,$F$17,$F$18,$E235,$F$20,Q$22,$H235,$F$19)</f>
        <v>0</v>
      </c>
      <c r="R235" s="36">
        <f>_xll.DBRW($E$12,$F$16,$F$17,$F$18,$E235,$F$20,R$22,$H235,$F$19)</f>
        <v>0</v>
      </c>
      <c r="S235" s="36">
        <f>_xll.DBRW($E$12,$F$16,$F$17,$F$18,$E235,$F$20,S$22,$H235,$F$19)</f>
        <v>0</v>
      </c>
      <c r="T235" s="36">
        <f>_xll.DBRW($E$12,$F$16,$F$17,$F$18,$E235,$F$20,T$22,$H235,$F$19)</f>
        <v>0</v>
      </c>
      <c r="U235" s="36">
        <f>_xll.DBRW($E$12,$F$16,$F$17,$F$18,$E235,$F$20,U$22,$H235,$F$19)</f>
        <v>-12</v>
      </c>
    </row>
    <row r="236" spans="4:21" s="37" customFormat="1" ht="15" outlineLevel="1" thickBot="1" x14ac:dyDescent="0.35">
      <c r="D236" s="33" t="str">
        <f>IF(_xll.TM1RPTELISCONSOLIDATED($H$34,$H236),IF(_xll.TM1RPTELLEV($H$34,$H236)&lt;=5,_xll.TM1RPTELLEV($H$34,$H236),"Default"),"Leaf")</f>
        <v>Leaf</v>
      </c>
      <c r="E236" s="42" t="s">
        <v>672</v>
      </c>
      <c r="F236" s="34" t="str">
        <f>_xll.DBR($B$18,$H236,"Account_Type")</f>
        <v>NON LABOR</v>
      </c>
      <c r="G236" s="34" t="str">
        <f>_xll.DBR($B$18,$H236,"Description")</f>
        <v>Corporate Allocation</v>
      </c>
      <c r="H236" s="43" t="s">
        <v>452</v>
      </c>
      <c r="I236" s="36">
        <f>_xll.DBRW($E$12,$F$16,$F$17,$F$18,$E236,$F$20,I$22,$H236,$F$19)</f>
        <v>668277.59</v>
      </c>
      <c r="J236" s="36">
        <f>_xll.DBRW($E$12,$F$16,$F$17,$F$18,$E236,$F$20,J$22,$H236,$F$19)</f>
        <v>639819.18999999994</v>
      </c>
      <c r="K236" s="36">
        <f>_xll.DBRW($E$12,$F$16,$F$17,$F$18,$E236,$F$20,K$22,$H236,$F$19)</f>
        <v>1023543.2</v>
      </c>
      <c r="L236" s="36">
        <f>_xll.DBRW($E$12,$F$16,$F$17,$F$18,$E236,$F$20,L$22,$H236,$F$19)</f>
        <v>479664.8</v>
      </c>
      <c r="M236" s="36">
        <f>_xll.DBRW($E$12,$F$16,$F$17,$F$18,$E236,$F$20,M$22,$H236,$F$19)</f>
        <v>542782.94999999995</v>
      </c>
      <c r="N236" s="36">
        <f>_xll.DBRW($E$12,$F$16,$F$17,$F$18,$E236,$F$20,N$22,$H236,$F$19)</f>
        <v>0</v>
      </c>
      <c r="O236" s="36">
        <f>_xll.DBRW($E$12,$F$16,$F$17,$F$18,$E236,$F$20,O$22,$H236,$F$19)</f>
        <v>0</v>
      </c>
      <c r="P236" s="36">
        <f>_xll.DBRW($E$12,$F$16,$F$17,$F$18,$E236,$F$20,P$22,$H236,$F$19)</f>
        <v>0</v>
      </c>
      <c r="Q236" s="36">
        <f>_xll.DBRW($E$12,$F$16,$F$17,$F$18,$E236,$F$20,Q$22,$H236,$F$19)</f>
        <v>0</v>
      </c>
      <c r="R236" s="36">
        <f>_xll.DBRW($E$12,$F$16,$F$17,$F$18,$E236,$F$20,R$22,$H236,$F$19)</f>
        <v>0</v>
      </c>
      <c r="S236" s="36">
        <f>_xll.DBRW($E$12,$F$16,$F$17,$F$18,$E236,$F$20,S$22,$H236,$F$19)</f>
        <v>0</v>
      </c>
      <c r="T236" s="36">
        <f>_xll.DBRW($E$12,$F$16,$F$17,$F$18,$E236,$F$20,T$22,$H236,$F$19)</f>
        <v>0</v>
      </c>
      <c r="U236" s="36">
        <f>_xll.DBRW($E$12,$F$16,$F$17,$F$18,$E236,$F$20,U$22,$H236,$F$19)</f>
        <v>3354087.7299999995</v>
      </c>
    </row>
    <row r="237" spans="4:21" s="37" customFormat="1" ht="15" outlineLevel="1" thickBot="1" x14ac:dyDescent="0.35">
      <c r="D237" s="33" t="str">
        <f>IF(_xll.TM1RPTELISCONSOLIDATED($H$34,$H237),IF(_xll.TM1RPTELLEV($H$34,$H237)&lt;=5,_xll.TM1RPTELLEV($H$34,$H237),"Default"),"Leaf")</f>
        <v>Leaf</v>
      </c>
      <c r="E237" s="42" t="s">
        <v>673</v>
      </c>
      <c r="F237" s="34" t="str">
        <f>_xll.DBR($B$18,$H237,"Account_Type")</f>
        <v>NON LABOR</v>
      </c>
      <c r="G237" s="34" t="str">
        <f>_xll.DBR($B$18,$H237,"Description")</f>
        <v>Travel &amp; Lodging</v>
      </c>
      <c r="H237" s="43" t="s">
        <v>67</v>
      </c>
      <c r="I237" s="36">
        <f>_xll.DBRW($E$12,$F$16,$F$17,$F$18,$E237,$F$20,I$22,$H237,$F$19)</f>
        <v>3000</v>
      </c>
      <c r="J237" s="36">
        <f>_xll.DBRW($E$12,$F$16,$F$17,$F$18,$E237,$F$20,J$22,$H237,$F$19)</f>
        <v>0</v>
      </c>
      <c r="K237" s="36">
        <f>_xll.DBRW($E$12,$F$16,$F$17,$F$18,$E237,$F$20,K$22,$H237,$F$19)</f>
        <v>1800</v>
      </c>
      <c r="L237" s="36">
        <f>_xll.DBRW($E$12,$F$16,$F$17,$F$18,$E237,$F$20,L$22,$H237,$F$19)</f>
        <v>0</v>
      </c>
      <c r="M237" s="36">
        <f>_xll.DBRW($E$12,$F$16,$F$17,$F$18,$E237,$F$20,M$22,$H237,$F$19)</f>
        <v>0</v>
      </c>
      <c r="N237" s="36">
        <f>_xll.DBRW($E$12,$F$16,$F$17,$F$18,$E237,$F$20,N$22,$H237,$F$19)</f>
        <v>0</v>
      </c>
      <c r="O237" s="36">
        <f>_xll.DBRW($E$12,$F$16,$F$17,$F$18,$E237,$F$20,O$22,$H237,$F$19)</f>
        <v>0</v>
      </c>
      <c r="P237" s="36">
        <f>_xll.DBRW($E$12,$F$16,$F$17,$F$18,$E237,$F$20,P$22,$H237,$F$19)</f>
        <v>0</v>
      </c>
      <c r="Q237" s="36">
        <f>_xll.DBRW($E$12,$F$16,$F$17,$F$18,$E237,$F$20,Q$22,$H237,$F$19)</f>
        <v>0</v>
      </c>
      <c r="R237" s="36">
        <f>_xll.DBRW($E$12,$F$16,$F$17,$F$18,$E237,$F$20,R$22,$H237,$F$19)</f>
        <v>0</v>
      </c>
      <c r="S237" s="36">
        <f>_xll.DBRW($E$12,$F$16,$F$17,$F$18,$E237,$F$20,S$22,$H237,$F$19)</f>
        <v>0</v>
      </c>
      <c r="T237" s="36">
        <f>_xll.DBRW($E$12,$F$16,$F$17,$F$18,$E237,$F$20,T$22,$H237,$F$19)</f>
        <v>0</v>
      </c>
      <c r="U237" s="36">
        <f>_xll.DBRW($E$12,$F$16,$F$17,$F$18,$E237,$F$20,U$22,$H237,$F$19)</f>
        <v>4800</v>
      </c>
    </row>
    <row r="238" spans="4:21" s="37" customFormat="1" ht="15" outlineLevel="1" thickBot="1" x14ac:dyDescent="0.35">
      <c r="D238" s="33" t="str">
        <f>IF(_xll.TM1RPTELISCONSOLIDATED($H$34,$H238),IF(_xll.TM1RPTELLEV($H$34,$H238)&lt;=5,_xll.TM1RPTELLEV($H$34,$H238),"Default"),"Leaf")</f>
        <v>Leaf</v>
      </c>
      <c r="E238" s="42" t="s">
        <v>673</v>
      </c>
      <c r="F238" s="34" t="str">
        <f>_xll.DBR($B$18,$H238,"Account_Type")</f>
        <v>NON LABOR</v>
      </c>
      <c r="G238" s="34" t="str">
        <f>_xll.DBR($B$18,$H238,"Description")</f>
        <v>Business Meals &amp; Entertainment</v>
      </c>
      <c r="H238" s="43" t="s">
        <v>97</v>
      </c>
      <c r="I238" s="36">
        <f>_xll.DBRW($E$12,$F$16,$F$17,$F$18,$E238,$F$20,I$22,$H238,$F$19)</f>
        <v>63.7</v>
      </c>
      <c r="J238" s="36">
        <f>_xll.DBRW($E$12,$F$16,$F$17,$F$18,$E238,$F$20,J$22,$H238,$F$19)</f>
        <v>149.22</v>
      </c>
      <c r="K238" s="36">
        <f>_xll.DBRW($E$12,$F$16,$F$17,$F$18,$E238,$F$20,K$22,$H238,$F$19)</f>
        <v>0</v>
      </c>
      <c r="L238" s="36">
        <f>_xll.DBRW($E$12,$F$16,$F$17,$F$18,$E238,$F$20,L$22,$H238,$F$19)</f>
        <v>0</v>
      </c>
      <c r="M238" s="36">
        <f>_xll.DBRW($E$12,$F$16,$F$17,$F$18,$E238,$F$20,M$22,$H238,$F$19)</f>
        <v>109.18</v>
      </c>
      <c r="N238" s="36">
        <f>_xll.DBRW($E$12,$F$16,$F$17,$F$18,$E238,$F$20,N$22,$H238,$F$19)</f>
        <v>0</v>
      </c>
      <c r="O238" s="36">
        <f>_xll.DBRW($E$12,$F$16,$F$17,$F$18,$E238,$F$20,O$22,$H238,$F$19)</f>
        <v>0</v>
      </c>
      <c r="P238" s="36">
        <f>_xll.DBRW($E$12,$F$16,$F$17,$F$18,$E238,$F$20,P$22,$H238,$F$19)</f>
        <v>0</v>
      </c>
      <c r="Q238" s="36">
        <f>_xll.DBRW($E$12,$F$16,$F$17,$F$18,$E238,$F$20,Q$22,$H238,$F$19)</f>
        <v>0</v>
      </c>
      <c r="R238" s="36">
        <f>_xll.DBRW($E$12,$F$16,$F$17,$F$18,$E238,$F$20,R$22,$H238,$F$19)</f>
        <v>0</v>
      </c>
      <c r="S238" s="36">
        <f>_xll.DBRW($E$12,$F$16,$F$17,$F$18,$E238,$F$20,S$22,$H238,$F$19)</f>
        <v>0</v>
      </c>
      <c r="T238" s="36">
        <f>_xll.DBRW($E$12,$F$16,$F$17,$F$18,$E238,$F$20,T$22,$H238,$F$19)</f>
        <v>0</v>
      </c>
      <c r="U238" s="36">
        <f>_xll.DBRW($E$12,$F$16,$F$17,$F$18,$E238,$F$20,U$22,$H238,$F$19)</f>
        <v>322.10000000000002</v>
      </c>
    </row>
    <row r="239" spans="4:21" s="37" customFormat="1" ht="15" outlineLevel="1" thickBot="1" x14ac:dyDescent="0.35">
      <c r="D239" s="33" t="str">
        <f>IF(_xll.TM1RPTELISCONSOLIDATED($H$34,$H239),IF(_xll.TM1RPTELLEV($H$34,$H239)&lt;=5,_xll.TM1RPTELLEV($H$34,$H239),"Default"),"Leaf")</f>
        <v>Leaf</v>
      </c>
      <c r="E239" s="42" t="s">
        <v>673</v>
      </c>
      <c r="F239" s="34" t="str">
        <f>_xll.DBR($B$18,$H239,"Account_Type")</f>
        <v>NON LABOR</v>
      </c>
      <c r="G239" s="34" t="str">
        <f>_xll.DBR($B$18,$H239,"Description")</f>
        <v>Telecommunications / Internet</v>
      </c>
      <c r="H239" s="43" t="s">
        <v>117</v>
      </c>
      <c r="I239" s="36">
        <f>_xll.DBRW($E$12,$F$16,$F$17,$F$18,$E239,$F$20,I$22,$H239,$F$19)</f>
        <v>942.68</v>
      </c>
      <c r="J239" s="36">
        <f>_xll.DBRW($E$12,$F$16,$F$17,$F$18,$E239,$F$20,J$22,$H239,$F$19)</f>
        <v>853.54</v>
      </c>
      <c r="K239" s="36">
        <f>_xll.DBRW($E$12,$F$16,$F$17,$F$18,$E239,$F$20,K$22,$H239,$F$19)</f>
        <v>846.6</v>
      </c>
      <c r="L239" s="36">
        <f>_xll.DBRW($E$12,$F$16,$F$17,$F$18,$E239,$F$20,L$22,$H239,$F$19)</f>
        <v>821.6</v>
      </c>
      <c r="M239" s="36">
        <f>_xll.DBRW($E$12,$F$16,$F$17,$F$18,$E239,$F$20,M$22,$H239,$F$19)</f>
        <v>821.17</v>
      </c>
      <c r="N239" s="36">
        <f>_xll.DBRW($E$12,$F$16,$F$17,$F$18,$E239,$F$20,N$22,$H239,$F$19)</f>
        <v>803.43</v>
      </c>
      <c r="O239" s="36">
        <f>_xll.DBRW($E$12,$F$16,$F$17,$F$18,$E239,$F$20,O$22,$H239,$F$19)</f>
        <v>0</v>
      </c>
      <c r="P239" s="36">
        <f>_xll.DBRW($E$12,$F$16,$F$17,$F$18,$E239,$F$20,P$22,$H239,$F$19)</f>
        <v>0</v>
      </c>
      <c r="Q239" s="36">
        <f>_xll.DBRW($E$12,$F$16,$F$17,$F$18,$E239,$F$20,Q$22,$H239,$F$19)</f>
        <v>0</v>
      </c>
      <c r="R239" s="36">
        <f>_xll.DBRW($E$12,$F$16,$F$17,$F$18,$E239,$F$20,R$22,$H239,$F$19)</f>
        <v>0</v>
      </c>
      <c r="S239" s="36">
        <f>_xll.DBRW($E$12,$F$16,$F$17,$F$18,$E239,$F$20,S$22,$H239,$F$19)</f>
        <v>0</v>
      </c>
      <c r="T239" s="36">
        <f>_xll.DBRW($E$12,$F$16,$F$17,$F$18,$E239,$F$20,T$22,$H239,$F$19)</f>
        <v>0</v>
      </c>
      <c r="U239" s="36">
        <f>_xll.DBRW($E$12,$F$16,$F$17,$F$18,$E239,$F$20,U$22,$H239,$F$19)</f>
        <v>5089.0199999999995</v>
      </c>
    </row>
    <row r="240" spans="4:21" s="37" customFormat="1" ht="15" outlineLevel="1" thickBot="1" x14ac:dyDescent="0.35">
      <c r="D240" s="33" t="str">
        <f>IF(_xll.TM1RPTELISCONSOLIDATED($H$34,$H240),IF(_xll.TM1RPTELLEV($H$34,$H240)&lt;=5,_xll.TM1RPTELLEV($H$34,$H240),"Default"),"Leaf")</f>
        <v>Leaf</v>
      </c>
      <c r="E240" s="42" t="s">
        <v>673</v>
      </c>
      <c r="F240" s="34" t="str">
        <f>_xll.DBR($B$18,$H240,"Account_Type")</f>
        <v>NON LABOR</v>
      </c>
      <c r="G240" s="34" t="str">
        <f>_xll.DBR($B$18,$H240,"Description")</f>
        <v>Office/Computer Supplies &amp; Eqpt</v>
      </c>
      <c r="H240" s="43" t="s">
        <v>136</v>
      </c>
      <c r="I240" s="36">
        <f>_xll.DBRW($E$12,$F$16,$F$17,$F$18,$E240,$F$20,I$22,$H240,$F$19)</f>
        <v>5112.47</v>
      </c>
      <c r="J240" s="36">
        <f>_xll.DBRW($E$12,$F$16,$F$17,$F$18,$E240,$F$20,J$22,$H240,$F$19)</f>
        <v>5709.97</v>
      </c>
      <c r="K240" s="36">
        <f>_xll.DBRW($E$12,$F$16,$F$17,$F$18,$E240,$F$20,K$22,$H240,$F$19)</f>
        <v>5414.07</v>
      </c>
      <c r="L240" s="36">
        <f>_xll.DBRW($E$12,$F$16,$F$17,$F$18,$E240,$F$20,L$22,$H240,$F$19)</f>
        <v>6604.59</v>
      </c>
      <c r="M240" s="36">
        <f>_xll.DBRW($E$12,$F$16,$F$17,$F$18,$E240,$F$20,M$22,$H240,$F$19)</f>
        <v>5568.31</v>
      </c>
      <c r="N240" s="36">
        <f>_xll.DBRW($E$12,$F$16,$F$17,$F$18,$E240,$F$20,N$22,$H240,$F$19)</f>
        <v>8096.01</v>
      </c>
      <c r="O240" s="36">
        <f>_xll.DBRW($E$12,$F$16,$F$17,$F$18,$E240,$F$20,O$22,$H240,$F$19)</f>
        <v>-4842.91</v>
      </c>
      <c r="P240" s="36">
        <f>_xll.DBRW($E$12,$F$16,$F$17,$F$18,$E240,$F$20,P$22,$H240,$F$19)</f>
        <v>0</v>
      </c>
      <c r="Q240" s="36">
        <f>_xll.DBRW($E$12,$F$16,$F$17,$F$18,$E240,$F$20,Q$22,$H240,$F$19)</f>
        <v>0</v>
      </c>
      <c r="R240" s="36">
        <f>_xll.DBRW($E$12,$F$16,$F$17,$F$18,$E240,$F$20,R$22,$H240,$F$19)</f>
        <v>0</v>
      </c>
      <c r="S240" s="36">
        <f>_xll.DBRW($E$12,$F$16,$F$17,$F$18,$E240,$F$20,S$22,$H240,$F$19)</f>
        <v>0</v>
      </c>
      <c r="T240" s="36">
        <f>_xll.DBRW($E$12,$F$16,$F$17,$F$18,$E240,$F$20,T$22,$H240,$F$19)</f>
        <v>0</v>
      </c>
      <c r="U240" s="36">
        <f>_xll.DBRW($E$12,$F$16,$F$17,$F$18,$E240,$F$20,U$22,$H240,$F$19)</f>
        <v>31662.51</v>
      </c>
    </row>
    <row r="241" spans="4:21" s="37" customFormat="1" ht="15" outlineLevel="1" thickBot="1" x14ac:dyDescent="0.35">
      <c r="D241" s="33" t="str">
        <f>IF(_xll.TM1RPTELISCONSOLIDATED($H$34,$H241),IF(_xll.TM1RPTELLEV($H$34,$H241)&lt;=5,_xll.TM1RPTELLEV($H$34,$H241),"Default"),"Leaf")</f>
        <v>Leaf</v>
      </c>
      <c r="E241" s="42" t="s">
        <v>673</v>
      </c>
      <c r="F241" s="34" t="str">
        <f>_xll.DBR($B$18,$H241,"Account_Type")</f>
        <v>NON LABOR</v>
      </c>
      <c r="G241" s="34" t="str">
        <f>_xll.DBR($B$18,$H241,"Description")</f>
        <v>Office/Computer Supplies &amp; Eqpt</v>
      </c>
      <c r="H241" s="43" t="s">
        <v>137</v>
      </c>
      <c r="I241" s="36">
        <f>_xll.DBRW($E$12,$F$16,$F$17,$F$18,$E241,$F$20,I$22,$H241,$F$19)</f>
        <v>0</v>
      </c>
      <c r="J241" s="36">
        <f>_xll.DBRW($E$12,$F$16,$F$17,$F$18,$E241,$F$20,J$22,$H241,$F$19)</f>
        <v>0</v>
      </c>
      <c r="K241" s="36">
        <f>_xll.DBRW($E$12,$F$16,$F$17,$F$18,$E241,$F$20,K$22,$H241,$F$19)</f>
        <v>119.98</v>
      </c>
      <c r="L241" s="36">
        <f>_xll.DBRW($E$12,$F$16,$F$17,$F$18,$E241,$F$20,L$22,$H241,$F$19)</f>
        <v>0</v>
      </c>
      <c r="M241" s="36">
        <f>_xll.DBRW($E$12,$F$16,$F$17,$F$18,$E241,$F$20,M$22,$H241,$F$19)</f>
        <v>0</v>
      </c>
      <c r="N241" s="36">
        <f>_xll.DBRW($E$12,$F$16,$F$17,$F$18,$E241,$F$20,N$22,$H241,$F$19)</f>
        <v>0</v>
      </c>
      <c r="O241" s="36">
        <f>_xll.DBRW($E$12,$F$16,$F$17,$F$18,$E241,$F$20,O$22,$H241,$F$19)</f>
        <v>0</v>
      </c>
      <c r="P241" s="36">
        <f>_xll.DBRW($E$12,$F$16,$F$17,$F$18,$E241,$F$20,P$22,$H241,$F$19)</f>
        <v>0</v>
      </c>
      <c r="Q241" s="36">
        <f>_xll.DBRW($E$12,$F$16,$F$17,$F$18,$E241,$F$20,Q$22,$H241,$F$19)</f>
        <v>0</v>
      </c>
      <c r="R241" s="36">
        <f>_xll.DBRW($E$12,$F$16,$F$17,$F$18,$E241,$F$20,R$22,$H241,$F$19)</f>
        <v>0</v>
      </c>
      <c r="S241" s="36">
        <f>_xll.DBRW($E$12,$F$16,$F$17,$F$18,$E241,$F$20,S$22,$H241,$F$19)</f>
        <v>0</v>
      </c>
      <c r="T241" s="36">
        <f>_xll.DBRW($E$12,$F$16,$F$17,$F$18,$E241,$F$20,T$22,$H241,$F$19)</f>
        <v>0</v>
      </c>
      <c r="U241" s="36">
        <f>_xll.DBRW($E$12,$F$16,$F$17,$F$18,$E241,$F$20,U$22,$H241,$F$19)</f>
        <v>119.98</v>
      </c>
    </row>
    <row r="242" spans="4:21" s="37" customFormat="1" ht="15" outlineLevel="1" thickBot="1" x14ac:dyDescent="0.35">
      <c r="D242" s="33" t="str">
        <f>IF(_xll.TM1RPTELISCONSOLIDATED($H$34,$H242),IF(_xll.TM1RPTELLEV($H$34,$H242)&lt;=5,_xll.TM1RPTELLEV($H$34,$H242),"Default"),"Leaf")</f>
        <v>Leaf</v>
      </c>
      <c r="E242" s="42" t="s">
        <v>673</v>
      </c>
      <c r="F242" s="34" t="str">
        <f>_xll.DBR($B$18,$H242,"Account_Type")</f>
        <v>NON LABOR</v>
      </c>
      <c r="G242" s="34" t="str">
        <f>_xll.DBR($B$18,$H242,"Description")</f>
        <v>Postage &amp; Courier Fees</v>
      </c>
      <c r="H242" s="43" t="s">
        <v>155</v>
      </c>
      <c r="I242" s="36">
        <f>_xll.DBRW($E$12,$F$16,$F$17,$F$18,$E242,$F$20,I$22,$H242,$F$19)</f>
        <v>0</v>
      </c>
      <c r="J242" s="36">
        <f>_xll.DBRW($E$12,$F$16,$F$17,$F$18,$E242,$F$20,J$22,$H242,$F$19)</f>
        <v>27.41</v>
      </c>
      <c r="K242" s="36">
        <f>_xll.DBRW($E$12,$F$16,$F$17,$F$18,$E242,$F$20,K$22,$H242,$F$19)</f>
        <v>25.4</v>
      </c>
      <c r="L242" s="36">
        <f>_xll.DBRW($E$12,$F$16,$F$17,$F$18,$E242,$F$20,L$22,$H242,$F$19)</f>
        <v>0</v>
      </c>
      <c r="M242" s="36">
        <f>_xll.DBRW($E$12,$F$16,$F$17,$F$18,$E242,$F$20,M$22,$H242,$F$19)</f>
        <v>0</v>
      </c>
      <c r="N242" s="36">
        <f>_xll.DBRW($E$12,$F$16,$F$17,$F$18,$E242,$F$20,N$22,$H242,$F$19)</f>
        <v>0</v>
      </c>
      <c r="O242" s="36">
        <f>_xll.DBRW($E$12,$F$16,$F$17,$F$18,$E242,$F$20,O$22,$H242,$F$19)</f>
        <v>0</v>
      </c>
      <c r="P242" s="36">
        <f>_xll.DBRW($E$12,$F$16,$F$17,$F$18,$E242,$F$20,P$22,$H242,$F$19)</f>
        <v>0</v>
      </c>
      <c r="Q242" s="36">
        <f>_xll.DBRW($E$12,$F$16,$F$17,$F$18,$E242,$F$20,Q$22,$H242,$F$19)</f>
        <v>0</v>
      </c>
      <c r="R242" s="36">
        <f>_xll.DBRW($E$12,$F$16,$F$17,$F$18,$E242,$F$20,R$22,$H242,$F$19)</f>
        <v>0</v>
      </c>
      <c r="S242" s="36">
        <f>_xll.DBRW($E$12,$F$16,$F$17,$F$18,$E242,$F$20,S$22,$H242,$F$19)</f>
        <v>0</v>
      </c>
      <c r="T242" s="36">
        <f>_xll.DBRW($E$12,$F$16,$F$17,$F$18,$E242,$F$20,T$22,$H242,$F$19)</f>
        <v>0</v>
      </c>
      <c r="U242" s="36">
        <f>_xll.DBRW($E$12,$F$16,$F$17,$F$18,$E242,$F$20,U$22,$H242,$F$19)</f>
        <v>52.81</v>
      </c>
    </row>
    <row r="243" spans="4:21" s="37" customFormat="1" ht="15" outlineLevel="1" thickBot="1" x14ac:dyDescent="0.35">
      <c r="D243" s="33" t="str">
        <f>IF(_xll.TM1RPTELISCONSOLIDATED($H$34,$H243),IF(_xll.TM1RPTELLEV($H$34,$H243)&lt;=5,_xll.TM1RPTELLEV($H$34,$H243),"Default"),"Leaf")</f>
        <v>Leaf</v>
      </c>
      <c r="E243" s="42" t="s">
        <v>673</v>
      </c>
      <c r="F243" s="34" t="str">
        <f>_xll.DBR($B$18,$H243,"Account_Type")</f>
        <v>NON LABOR</v>
      </c>
      <c r="G243" s="34" t="str">
        <f>_xll.DBR($B$18,$H243,"Description")</f>
        <v>Printing &amp; Reproduction</v>
      </c>
      <c r="H243" s="43" t="s">
        <v>702</v>
      </c>
      <c r="I243" s="36">
        <f>_xll.DBRW($E$12,$F$16,$F$17,$F$18,$E243,$F$20,I$22,$H243,$F$19)</f>
        <v>0</v>
      </c>
      <c r="J243" s="36">
        <f>_xll.DBRW($E$12,$F$16,$F$17,$F$18,$E243,$F$20,J$22,$H243,$F$19)</f>
        <v>0</v>
      </c>
      <c r="K243" s="36">
        <f>_xll.DBRW($E$12,$F$16,$F$17,$F$18,$E243,$F$20,K$22,$H243,$F$19)</f>
        <v>0</v>
      </c>
      <c r="L243" s="36">
        <f>_xll.DBRW($E$12,$F$16,$F$17,$F$18,$E243,$F$20,L$22,$H243,$F$19)</f>
        <v>893.45</v>
      </c>
      <c r="M243" s="36">
        <f>_xll.DBRW($E$12,$F$16,$F$17,$F$18,$E243,$F$20,M$22,$H243,$F$19)</f>
        <v>0</v>
      </c>
      <c r="N243" s="36">
        <f>_xll.DBRW($E$12,$F$16,$F$17,$F$18,$E243,$F$20,N$22,$H243,$F$19)</f>
        <v>0</v>
      </c>
      <c r="O243" s="36">
        <f>_xll.DBRW($E$12,$F$16,$F$17,$F$18,$E243,$F$20,O$22,$H243,$F$19)</f>
        <v>-893.45</v>
      </c>
      <c r="P243" s="36">
        <f>_xll.DBRW($E$12,$F$16,$F$17,$F$18,$E243,$F$20,P$22,$H243,$F$19)</f>
        <v>0</v>
      </c>
      <c r="Q243" s="36">
        <f>_xll.DBRW($E$12,$F$16,$F$17,$F$18,$E243,$F$20,Q$22,$H243,$F$19)</f>
        <v>0</v>
      </c>
      <c r="R243" s="36">
        <f>_xll.DBRW($E$12,$F$16,$F$17,$F$18,$E243,$F$20,R$22,$H243,$F$19)</f>
        <v>0</v>
      </c>
      <c r="S243" s="36">
        <f>_xll.DBRW($E$12,$F$16,$F$17,$F$18,$E243,$F$20,S$22,$H243,$F$19)</f>
        <v>0</v>
      </c>
      <c r="T243" s="36">
        <f>_xll.DBRW($E$12,$F$16,$F$17,$F$18,$E243,$F$20,T$22,$H243,$F$19)</f>
        <v>0</v>
      </c>
      <c r="U243" s="36">
        <f>_xll.DBRW($E$12,$F$16,$F$17,$F$18,$E243,$F$20,U$22,$H243,$F$19)</f>
        <v>0</v>
      </c>
    </row>
    <row r="244" spans="4:21" s="37" customFormat="1" ht="15" outlineLevel="1" thickBot="1" x14ac:dyDescent="0.35">
      <c r="D244" s="33" t="str">
        <f>IF(_xll.TM1RPTELISCONSOLIDATED($H$34,$H244),IF(_xll.TM1RPTELLEV($H$34,$H244)&lt;=5,_xll.TM1RPTELLEV($H$34,$H244),"Default"),"Leaf")</f>
        <v>Leaf</v>
      </c>
      <c r="E244" s="42" t="s">
        <v>673</v>
      </c>
      <c r="F244" s="34" t="str">
        <f>_xll.DBR($B$18,$H244,"Account_Type")</f>
        <v>NON LABOR</v>
      </c>
      <c r="G244" s="34" t="str">
        <f>_xll.DBR($B$18,$H244,"Description")</f>
        <v>Education/Training/Dues/Subscriptions</v>
      </c>
      <c r="H244" s="43" t="s">
        <v>174</v>
      </c>
      <c r="I244" s="36">
        <f>_xll.DBRW($E$12,$F$16,$F$17,$F$18,$E244,$F$20,I$22,$H244,$F$19)</f>
        <v>-7302.25</v>
      </c>
      <c r="J244" s="36">
        <f>_xll.DBRW($E$12,$F$16,$F$17,$F$18,$E244,$F$20,J$22,$H244,$F$19)</f>
        <v>3749.55</v>
      </c>
      <c r="K244" s="36">
        <f>_xll.DBRW($E$12,$F$16,$F$17,$F$18,$E244,$F$20,K$22,$H244,$F$19)</f>
        <v>5458.8</v>
      </c>
      <c r="L244" s="36">
        <f>_xll.DBRW($E$12,$F$16,$F$17,$F$18,$E244,$F$20,L$22,$H244,$F$19)</f>
        <v>-7381.17</v>
      </c>
      <c r="M244" s="36">
        <f>_xll.DBRW($E$12,$F$16,$F$17,$F$18,$E244,$F$20,M$22,$H244,$F$19)</f>
        <v>-1416.54</v>
      </c>
      <c r="N244" s="36">
        <f>_xll.DBRW($E$12,$F$16,$F$17,$F$18,$E244,$F$20,N$22,$H244,$F$19)</f>
        <v>6216.04</v>
      </c>
      <c r="O244" s="36">
        <f>_xll.DBRW($E$12,$F$16,$F$17,$F$18,$E244,$F$20,O$22,$H244,$F$19)</f>
        <v>-6326.04</v>
      </c>
      <c r="P244" s="36">
        <f>_xll.DBRW($E$12,$F$16,$F$17,$F$18,$E244,$F$20,P$22,$H244,$F$19)</f>
        <v>0</v>
      </c>
      <c r="Q244" s="36">
        <f>_xll.DBRW($E$12,$F$16,$F$17,$F$18,$E244,$F$20,Q$22,$H244,$F$19)</f>
        <v>0</v>
      </c>
      <c r="R244" s="36">
        <f>_xll.DBRW($E$12,$F$16,$F$17,$F$18,$E244,$F$20,R$22,$H244,$F$19)</f>
        <v>0</v>
      </c>
      <c r="S244" s="36">
        <f>_xll.DBRW($E$12,$F$16,$F$17,$F$18,$E244,$F$20,S$22,$H244,$F$19)</f>
        <v>0</v>
      </c>
      <c r="T244" s="36">
        <f>_xll.DBRW($E$12,$F$16,$F$17,$F$18,$E244,$F$20,T$22,$H244,$F$19)</f>
        <v>0</v>
      </c>
      <c r="U244" s="36">
        <f>_xll.DBRW($E$12,$F$16,$F$17,$F$18,$E244,$F$20,U$22,$H244,$F$19)</f>
        <v>-7001.61</v>
      </c>
    </row>
    <row r="245" spans="4:21" s="37" customFormat="1" ht="15" outlineLevel="1" thickBot="1" x14ac:dyDescent="0.35">
      <c r="D245" s="33" t="str">
        <f>IF(_xll.TM1RPTELISCONSOLIDATED($H$34,$H245),IF(_xll.TM1RPTELLEV($H$34,$H245)&lt;=5,_xll.TM1RPTELLEV($H$34,$H245),"Default"),"Leaf")</f>
        <v>Leaf</v>
      </c>
      <c r="E245" s="42" t="s">
        <v>673</v>
      </c>
      <c r="F245" s="34" t="str">
        <f>_xll.DBR($B$18,$H245,"Account_Type")</f>
        <v>NON LABOR</v>
      </c>
      <c r="G245" s="34" t="str">
        <f>_xll.DBR($B$18,$H245,"Description")</f>
        <v>Certificates/Licenses/Permits</v>
      </c>
      <c r="H245" s="43" t="s">
        <v>188</v>
      </c>
      <c r="I245" s="36">
        <f>_xll.DBRW($E$12,$F$16,$F$17,$F$18,$E245,$F$20,I$22,$H245,$F$19)</f>
        <v>794.18</v>
      </c>
      <c r="J245" s="36">
        <f>_xll.DBRW($E$12,$F$16,$F$17,$F$18,$E245,$F$20,J$22,$H245,$F$19)</f>
        <v>592.76</v>
      </c>
      <c r="K245" s="36">
        <f>_xll.DBRW($E$12,$F$16,$F$17,$F$18,$E245,$F$20,K$22,$H245,$F$19)</f>
        <v>991.25</v>
      </c>
      <c r="L245" s="36">
        <f>_xll.DBRW($E$12,$F$16,$F$17,$F$18,$E245,$F$20,L$22,$H245,$F$19)</f>
        <v>12715.4</v>
      </c>
      <c r="M245" s="36">
        <f>_xll.DBRW($E$12,$F$16,$F$17,$F$18,$E245,$F$20,M$22,$H245,$F$19)</f>
        <v>6623.75</v>
      </c>
      <c r="N245" s="36">
        <f>_xll.DBRW($E$12,$F$16,$F$17,$F$18,$E245,$F$20,N$22,$H245,$F$19)</f>
        <v>976.01</v>
      </c>
      <c r="O245" s="36">
        <f>_xll.DBRW($E$12,$F$16,$F$17,$F$18,$E245,$F$20,O$22,$H245,$F$19)</f>
        <v>0</v>
      </c>
      <c r="P245" s="36">
        <f>_xll.DBRW($E$12,$F$16,$F$17,$F$18,$E245,$F$20,P$22,$H245,$F$19)</f>
        <v>0</v>
      </c>
      <c r="Q245" s="36">
        <f>_xll.DBRW($E$12,$F$16,$F$17,$F$18,$E245,$F$20,Q$22,$H245,$F$19)</f>
        <v>0</v>
      </c>
      <c r="R245" s="36">
        <f>_xll.DBRW($E$12,$F$16,$F$17,$F$18,$E245,$F$20,R$22,$H245,$F$19)</f>
        <v>0</v>
      </c>
      <c r="S245" s="36">
        <f>_xll.DBRW($E$12,$F$16,$F$17,$F$18,$E245,$F$20,S$22,$H245,$F$19)</f>
        <v>0</v>
      </c>
      <c r="T245" s="36">
        <f>_xll.DBRW($E$12,$F$16,$F$17,$F$18,$E245,$F$20,T$22,$H245,$F$19)</f>
        <v>0</v>
      </c>
      <c r="U245" s="36">
        <f>_xll.DBRW($E$12,$F$16,$F$17,$F$18,$E245,$F$20,U$22,$H245,$F$19)</f>
        <v>22693.35</v>
      </c>
    </row>
    <row r="246" spans="4:21" s="37" customFormat="1" ht="15" outlineLevel="1" thickBot="1" x14ac:dyDescent="0.35">
      <c r="D246" s="33" t="str">
        <f>IF(_xll.TM1RPTELISCONSOLIDATED($H$34,$H246),IF(_xll.TM1RPTELLEV($H$34,$H246)&lt;=5,_xll.TM1RPTELLEV($H$34,$H246),"Default"),"Leaf")</f>
        <v>Leaf</v>
      </c>
      <c r="E246" s="42" t="s">
        <v>673</v>
      </c>
      <c r="F246" s="34" t="str">
        <f>_xll.DBR($B$18,$H246,"Account_Type")</f>
        <v>NON LABOR</v>
      </c>
      <c r="G246" s="34" t="str">
        <f>_xll.DBR($B$18,$H246,"Description")</f>
        <v>Office Rent</v>
      </c>
      <c r="H246" s="43" t="s">
        <v>201</v>
      </c>
      <c r="I246" s="36">
        <f>_xll.DBRW($E$12,$F$16,$F$17,$F$18,$E246,$F$20,I$22,$H246,$F$19)</f>
        <v>-22113.95</v>
      </c>
      <c r="J246" s="36">
        <f>_xll.DBRW($E$12,$F$16,$F$17,$F$18,$E246,$F$20,J$22,$H246,$F$19)</f>
        <v>6980.37</v>
      </c>
      <c r="K246" s="36">
        <f>_xll.DBRW($E$12,$F$16,$F$17,$F$18,$E246,$F$20,K$22,$H246,$F$19)</f>
        <v>6398.26</v>
      </c>
      <c r="L246" s="36">
        <f>_xll.DBRW($E$12,$F$16,$F$17,$F$18,$E246,$F$20,L$22,$H246,$F$19)</f>
        <v>6980.37</v>
      </c>
      <c r="M246" s="36">
        <f>_xll.DBRW($E$12,$F$16,$F$17,$F$18,$E246,$F$20,M$22,$H246,$F$19)</f>
        <v>6980.37</v>
      </c>
      <c r="N246" s="36">
        <f>_xll.DBRW($E$12,$F$16,$F$17,$F$18,$E246,$F$20,N$22,$H246,$F$19)</f>
        <v>6980.37</v>
      </c>
      <c r="O246" s="36">
        <f>_xll.DBRW($E$12,$F$16,$F$17,$F$18,$E246,$F$20,O$22,$H246,$F$19)</f>
        <v>0</v>
      </c>
      <c r="P246" s="36">
        <f>_xll.DBRW($E$12,$F$16,$F$17,$F$18,$E246,$F$20,P$22,$H246,$F$19)</f>
        <v>0</v>
      </c>
      <c r="Q246" s="36">
        <f>_xll.DBRW($E$12,$F$16,$F$17,$F$18,$E246,$F$20,Q$22,$H246,$F$19)</f>
        <v>0</v>
      </c>
      <c r="R246" s="36">
        <f>_xll.DBRW($E$12,$F$16,$F$17,$F$18,$E246,$F$20,R$22,$H246,$F$19)</f>
        <v>0</v>
      </c>
      <c r="S246" s="36">
        <f>_xll.DBRW($E$12,$F$16,$F$17,$F$18,$E246,$F$20,S$22,$H246,$F$19)</f>
        <v>0</v>
      </c>
      <c r="T246" s="36">
        <f>_xll.DBRW($E$12,$F$16,$F$17,$F$18,$E246,$F$20,T$22,$H246,$F$19)</f>
        <v>0</v>
      </c>
      <c r="U246" s="36">
        <f>_xll.DBRW($E$12,$F$16,$F$17,$F$18,$E246,$F$20,U$22,$H246,$F$19)</f>
        <v>12205.789999999997</v>
      </c>
    </row>
    <row r="247" spans="4:21" s="37" customFormat="1" ht="15" outlineLevel="1" thickBot="1" x14ac:dyDescent="0.35">
      <c r="D247" s="33" t="str">
        <f>IF(_xll.TM1RPTELISCONSOLIDATED($H$34,$H247),IF(_xll.TM1RPTELLEV($H$34,$H247)&lt;=5,_xll.TM1RPTELLEV($H$34,$H247),"Default"),"Leaf")</f>
        <v>Leaf</v>
      </c>
      <c r="E247" s="42" t="s">
        <v>673</v>
      </c>
      <c r="F247" s="34" t="str">
        <f>_xll.DBR($B$18,$H247,"Account_Type")</f>
        <v>NON LABOR</v>
      </c>
      <c r="G247" s="34" t="str">
        <f>_xll.DBR($B$18,$H247,"Description")</f>
        <v>Utilities</v>
      </c>
      <c r="H247" s="43" t="s">
        <v>213</v>
      </c>
      <c r="I247" s="36">
        <f>_xll.DBRW($E$12,$F$16,$F$17,$F$18,$E247,$F$20,I$22,$H247,$F$19)</f>
        <v>6388.67</v>
      </c>
      <c r="J247" s="36">
        <f>_xll.DBRW($E$12,$F$16,$F$17,$F$18,$E247,$F$20,J$22,$H247,$F$19)</f>
        <v>4507.97</v>
      </c>
      <c r="K247" s="36">
        <f>_xll.DBRW($E$12,$F$16,$F$17,$F$18,$E247,$F$20,K$22,$H247,$F$19)</f>
        <v>9245.18</v>
      </c>
      <c r="L247" s="36">
        <f>_xll.DBRW($E$12,$F$16,$F$17,$F$18,$E247,$F$20,L$22,$H247,$F$19)</f>
        <v>5070.8999999999996</v>
      </c>
      <c r="M247" s="36">
        <f>_xll.DBRW($E$12,$F$16,$F$17,$F$18,$E247,$F$20,M$22,$H247,$F$19)</f>
        <v>6484.73</v>
      </c>
      <c r="N247" s="36">
        <f>_xll.DBRW($E$12,$F$16,$F$17,$F$18,$E247,$F$20,N$22,$H247,$F$19)</f>
        <v>5629.12</v>
      </c>
      <c r="O247" s="36">
        <f>_xll.DBRW($E$12,$F$16,$F$17,$F$18,$E247,$F$20,O$22,$H247,$F$19)</f>
        <v>0</v>
      </c>
      <c r="P247" s="36">
        <f>_xll.DBRW($E$12,$F$16,$F$17,$F$18,$E247,$F$20,P$22,$H247,$F$19)</f>
        <v>0</v>
      </c>
      <c r="Q247" s="36">
        <f>_xll.DBRW($E$12,$F$16,$F$17,$F$18,$E247,$F$20,Q$22,$H247,$F$19)</f>
        <v>0</v>
      </c>
      <c r="R247" s="36">
        <f>_xll.DBRW($E$12,$F$16,$F$17,$F$18,$E247,$F$20,R$22,$H247,$F$19)</f>
        <v>0</v>
      </c>
      <c r="S247" s="36">
        <f>_xll.DBRW($E$12,$F$16,$F$17,$F$18,$E247,$F$20,S$22,$H247,$F$19)</f>
        <v>0</v>
      </c>
      <c r="T247" s="36">
        <f>_xll.DBRW($E$12,$F$16,$F$17,$F$18,$E247,$F$20,T$22,$H247,$F$19)</f>
        <v>0</v>
      </c>
      <c r="U247" s="36">
        <f>_xll.DBRW($E$12,$F$16,$F$17,$F$18,$E247,$F$20,U$22,$H247,$F$19)</f>
        <v>37326.57</v>
      </c>
    </row>
    <row r="248" spans="4:21" s="37" customFormat="1" ht="15" outlineLevel="1" thickBot="1" x14ac:dyDescent="0.35">
      <c r="D248" s="33" t="str">
        <f>IF(_xll.TM1RPTELISCONSOLIDATED($H$34,$H248),IF(_xll.TM1RPTELLEV($H$34,$H248)&lt;=5,_xll.TM1RPTELLEV($H$34,$H248),"Default"),"Leaf")</f>
        <v>Leaf</v>
      </c>
      <c r="E248" s="42" t="s">
        <v>673</v>
      </c>
      <c r="F248" s="34" t="str">
        <f>_xll.DBR($B$18,$H248,"Account_Type")</f>
        <v>NON LABOR</v>
      </c>
      <c r="G248" s="34" t="str">
        <f>_xll.DBR($B$18,$H248,"Description")</f>
        <v>Utilities</v>
      </c>
      <c r="H248" s="43" t="s">
        <v>214</v>
      </c>
      <c r="I248" s="36">
        <f>_xll.DBRW($E$12,$F$16,$F$17,$F$18,$E248,$F$20,I$22,$H248,$F$19)</f>
        <v>2422.44</v>
      </c>
      <c r="J248" s="36">
        <f>_xll.DBRW($E$12,$F$16,$F$17,$F$18,$E248,$F$20,J$22,$H248,$F$19)</f>
        <v>1987.62</v>
      </c>
      <c r="K248" s="36">
        <f>_xll.DBRW($E$12,$F$16,$F$17,$F$18,$E248,$F$20,K$22,$H248,$F$19)</f>
        <v>2456.9899999999998</v>
      </c>
      <c r="L248" s="36">
        <f>_xll.DBRW($E$12,$F$16,$F$17,$F$18,$E248,$F$20,L$22,$H248,$F$19)</f>
        <v>2651.09</v>
      </c>
      <c r="M248" s="36">
        <f>_xll.DBRW($E$12,$F$16,$F$17,$F$18,$E248,$F$20,M$22,$H248,$F$19)</f>
        <v>1942.75</v>
      </c>
      <c r="N248" s="36">
        <f>_xll.DBRW($E$12,$F$16,$F$17,$F$18,$E248,$F$20,N$22,$H248,$F$19)</f>
        <v>1825.66</v>
      </c>
      <c r="O248" s="36">
        <f>_xll.DBRW($E$12,$F$16,$F$17,$F$18,$E248,$F$20,O$22,$H248,$F$19)</f>
        <v>0</v>
      </c>
      <c r="P248" s="36">
        <f>_xll.DBRW($E$12,$F$16,$F$17,$F$18,$E248,$F$20,P$22,$H248,$F$19)</f>
        <v>0</v>
      </c>
      <c r="Q248" s="36">
        <f>_xll.DBRW($E$12,$F$16,$F$17,$F$18,$E248,$F$20,Q$22,$H248,$F$19)</f>
        <v>0</v>
      </c>
      <c r="R248" s="36">
        <f>_xll.DBRW($E$12,$F$16,$F$17,$F$18,$E248,$F$20,R$22,$H248,$F$19)</f>
        <v>0</v>
      </c>
      <c r="S248" s="36">
        <f>_xll.DBRW($E$12,$F$16,$F$17,$F$18,$E248,$F$20,S$22,$H248,$F$19)</f>
        <v>0</v>
      </c>
      <c r="T248" s="36">
        <f>_xll.DBRW($E$12,$F$16,$F$17,$F$18,$E248,$F$20,T$22,$H248,$F$19)</f>
        <v>0</v>
      </c>
      <c r="U248" s="36">
        <f>_xll.DBRW($E$12,$F$16,$F$17,$F$18,$E248,$F$20,U$22,$H248,$F$19)</f>
        <v>13286.55</v>
      </c>
    </row>
    <row r="249" spans="4:21" s="37" customFormat="1" ht="15" outlineLevel="1" thickBot="1" x14ac:dyDescent="0.35">
      <c r="D249" s="33" t="str">
        <f>IF(_xll.TM1RPTELISCONSOLIDATED($H$34,$H249),IF(_xll.TM1RPTELLEV($H$34,$H249)&lt;=5,_xll.TM1RPTELLEV($H$34,$H249),"Default"),"Leaf")</f>
        <v>Leaf</v>
      </c>
      <c r="E249" s="42" t="s">
        <v>673</v>
      </c>
      <c r="F249" s="34" t="str">
        <f>_xll.DBR($B$18,$H249,"Account_Type")</f>
        <v>NON LABOR</v>
      </c>
      <c r="G249" s="34" t="str">
        <f>_xll.DBR($B$18,$H249,"Description")</f>
        <v>Facility Maintenance</v>
      </c>
      <c r="H249" s="43" t="s">
        <v>703</v>
      </c>
      <c r="I249" s="36">
        <f>_xll.DBRW($E$12,$F$16,$F$17,$F$18,$E249,$F$20,I$22,$H249,$F$19)</f>
        <v>0</v>
      </c>
      <c r="J249" s="36">
        <f>_xll.DBRW($E$12,$F$16,$F$17,$F$18,$E249,$F$20,J$22,$H249,$F$19)</f>
        <v>923.5</v>
      </c>
      <c r="K249" s="36">
        <f>_xll.DBRW($E$12,$F$16,$F$17,$F$18,$E249,$F$20,K$22,$H249,$F$19)</f>
        <v>0</v>
      </c>
      <c r="L249" s="36">
        <f>_xll.DBRW($E$12,$F$16,$F$17,$F$18,$E249,$F$20,L$22,$H249,$F$19)</f>
        <v>-923.5</v>
      </c>
      <c r="M249" s="36">
        <f>_xll.DBRW($E$12,$F$16,$F$17,$F$18,$E249,$F$20,M$22,$H249,$F$19)</f>
        <v>0</v>
      </c>
      <c r="N249" s="36">
        <f>_xll.DBRW($E$12,$F$16,$F$17,$F$18,$E249,$F$20,N$22,$H249,$F$19)</f>
        <v>0</v>
      </c>
      <c r="O249" s="36">
        <f>_xll.DBRW($E$12,$F$16,$F$17,$F$18,$E249,$F$20,O$22,$H249,$F$19)</f>
        <v>0</v>
      </c>
      <c r="P249" s="36">
        <f>_xll.DBRW($E$12,$F$16,$F$17,$F$18,$E249,$F$20,P$22,$H249,$F$19)</f>
        <v>0</v>
      </c>
      <c r="Q249" s="36">
        <f>_xll.DBRW($E$12,$F$16,$F$17,$F$18,$E249,$F$20,Q$22,$H249,$F$19)</f>
        <v>0</v>
      </c>
      <c r="R249" s="36">
        <f>_xll.DBRW($E$12,$F$16,$F$17,$F$18,$E249,$F$20,R$22,$H249,$F$19)</f>
        <v>0</v>
      </c>
      <c r="S249" s="36">
        <f>_xll.DBRW($E$12,$F$16,$F$17,$F$18,$E249,$F$20,S$22,$H249,$F$19)</f>
        <v>0</v>
      </c>
      <c r="T249" s="36">
        <f>_xll.DBRW($E$12,$F$16,$F$17,$F$18,$E249,$F$20,T$22,$H249,$F$19)</f>
        <v>0</v>
      </c>
      <c r="U249" s="36">
        <f>_xll.DBRW($E$12,$F$16,$F$17,$F$18,$E249,$F$20,U$22,$H249,$F$19)</f>
        <v>0</v>
      </c>
    </row>
    <row r="250" spans="4:21" s="37" customFormat="1" ht="15" outlineLevel="1" thickBot="1" x14ac:dyDescent="0.35">
      <c r="D250" s="33" t="str">
        <f>IF(_xll.TM1RPTELISCONSOLIDATED($H$34,$H250),IF(_xll.TM1RPTELLEV($H$34,$H250)&lt;=5,_xll.TM1RPTELLEV($H$34,$H250),"Default"),"Leaf")</f>
        <v>Leaf</v>
      </c>
      <c r="E250" s="42" t="s">
        <v>673</v>
      </c>
      <c r="F250" s="34" t="str">
        <f>_xll.DBR($B$18,$H250,"Account_Type")</f>
        <v>NON LABOR</v>
      </c>
      <c r="G250" s="34" t="str">
        <f>_xll.DBR($B$18,$H250,"Description")</f>
        <v>Environmental / Disposal Fees</v>
      </c>
      <c r="H250" s="43" t="s">
        <v>247</v>
      </c>
      <c r="I250" s="36">
        <f>_xll.DBRW($E$12,$F$16,$F$17,$F$18,$E250,$F$20,I$22,$H250,$F$19)</f>
        <v>0</v>
      </c>
      <c r="J250" s="36">
        <f>_xll.DBRW($E$12,$F$16,$F$17,$F$18,$E250,$F$20,J$22,$H250,$F$19)</f>
        <v>0</v>
      </c>
      <c r="K250" s="36">
        <f>_xll.DBRW($E$12,$F$16,$F$17,$F$18,$E250,$F$20,K$22,$H250,$F$19)</f>
        <v>0</v>
      </c>
      <c r="L250" s="36">
        <f>_xll.DBRW($E$12,$F$16,$F$17,$F$18,$E250,$F$20,L$22,$H250,$F$19)</f>
        <v>214.57</v>
      </c>
      <c r="M250" s="36">
        <f>_xll.DBRW($E$12,$F$16,$F$17,$F$18,$E250,$F$20,M$22,$H250,$F$19)</f>
        <v>1103</v>
      </c>
      <c r="N250" s="36">
        <f>_xll.DBRW($E$12,$F$16,$F$17,$F$18,$E250,$F$20,N$22,$H250,$F$19)</f>
        <v>1086.7</v>
      </c>
      <c r="O250" s="36">
        <f>_xll.DBRW($E$12,$F$16,$F$17,$F$18,$E250,$F$20,O$22,$H250,$F$19)</f>
        <v>-1056.25</v>
      </c>
      <c r="P250" s="36">
        <f>_xll.DBRW($E$12,$F$16,$F$17,$F$18,$E250,$F$20,P$22,$H250,$F$19)</f>
        <v>0</v>
      </c>
      <c r="Q250" s="36">
        <f>_xll.DBRW($E$12,$F$16,$F$17,$F$18,$E250,$F$20,Q$22,$H250,$F$19)</f>
        <v>0</v>
      </c>
      <c r="R250" s="36">
        <f>_xll.DBRW($E$12,$F$16,$F$17,$F$18,$E250,$F$20,R$22,$H250,$F$19)</f>
        <v>0</v>
      </c>
      <c r="S250" s="36">
        <f>_xll.DBRW($E$12,$F$16,$F$17,$F$18,$E250,$F$20,S$22,$H250,$F$19)</f>
        <v>0</v>
      </c>
      <c r="T250" s="36">
        <f>_xll.DBRW($E$12,$F$16,$F$17,$F$18,$E250,$F$20,T$22,$H250,$F$19)</f>
        <v>0</v>
      </c>
      <c r="U250" s="36">
        <f>_xll.DBRW($E$12,$F$16,$F$17,$F$18,$E250,$F$20,U$22,$H250,$F$19)</f>
        <v>1348.02</v>
      </c>
    </row>
    <row r="251" spans="4:21" s="37" customFormat="1" ht="15" outlineLevel="1" thickBot="1" x14ac:dyDescent="0.35">
      <c r="D251" s="33" t="str">
        <f>IF(_xll.TM1RPTELISCONSOLIDATED($H$34,$H251),IF(_xll.TM1RPTELLEV($H$34,$H251)&lt;=5,_xll.TM1RPTELLEV($H$34,$H251),"Default"),"Leaf")</f>
        <v>Leaf</v>
      </c>
      <c r="E251" s="42" t="s">
        <v>673</v>
      </c>
      <c r="F251" s="34" t="str">
        <f>_xll.DBR($B$18,$H251,"Account_Type")</f>
        <v>NON LABOR</v>
      </c>
      <c r="G251" s="34" t="str">
        <f>_xll.DBR($B$18,$H251,"Description")</f>
        <v>Legal Fees</v>
      </c>
      <c r="H251" s="43" t="s">
        <v>255</v>
      </c>
      <c r="I251" s="36">
        <f>_xll.DBRW($E$12,$F$16,$F$17,$F$18,$E251,$F$20,I$22,$H251,$F$19)</f>
        <v>0</v>
      </c>
      <c r="J251" s="36">
        <f>_xll.DBRW($E$12,$F$16,$F$17,$F$18,$E251,$F$20,J$22,$H251,$F$19)</f>
        <v>0</v>
      </c>
      <c r="K251" s="36">
        <f>_xll.DBRW($E$12,$F$16,$F$17,$F$18,$E251,$F$20,K$22,$H251,$F$19)</f>
        <v>0</v>
      </c>
      <c r="L251" s="36">
        <f>_xll.DBRW($E$12,$F$16,$F$17,$F$18,$E251,$F$20,L$22,$H251,$F$19)</f>
        <v>0</v>
      </c>
      <c r="M251" s="36">
        <f>_xll.DBRW($E$12,$F$16,$F$17,$F$18,$E251,$F$20,M$22,$H251,$F$19)</f>
        <v>-600</v>
      </c>
      <c r="N251" s="36">
        <f>_xll.DBRW($E$12,$F$16,$F$17,$F$18,$E251,$F$20,N$22,$H251,$F$19)</f>
        <v>600</v>
      </c>
      <c r="O251" s="36">
        <f>_xll.DBRW($E$12,$F$16,$F$17,$F$18,$E251,$F$20,O$22,$H251,$F$19)</f>
        <v>-600</v>
      </c>
      <c r="P251" s="36">
        <f>_xll.DBRW($E$12,$F$16,$F$17,$F$18,$E251,$F$20,P$22,$H251,$F$19)</f>
        <v>0</v>
      </c>
      <c r="Q251" s="36">
        <f>_xll.DBRW($E$12,$F$16,$F$17,$F$18,$E251,$F$20,Q$22,$H251,$F$19)</f>
        <v>0</v>
      </c>
      <c r="R251" s="36">
        <f>_xll.DBRW($E$12,$F$16,$F$17,$F$18,$E251,$F$20,R$22,$H251,$F$19)</f>
        <v>0</v>
      </c>
      <c r="S251" s="36">
        <f>_xll.DBRW($E$12,$F$16,$F$17,$F$18,$E251,$F$20,S$22,$H251,$F$19)</f>
        <v>0</v>
      </c>
      <c r="T251" s="36">
        <f>_xll.DBRW($E$12,$F$16,$F$17,$F$18,$E251,$F$20,T$22,$H251,$F$19)</f>
        <v>0</v>
      </c>
      <c r="U251" s="36">
        <f>_xll.DBRW($E$12,$F$16,$F$17,$F$18,$E251,$F$20,U$22,$H251,$F$19)</f>
        <v>-600</v>
      </c>
    </row>
    <row r="252" spans="4:21" s="37" customFormat="1" ht="15" outlineLevel="1" thickBot="1" x14ac:dyDescent="0.35">
      <c r="D252" s="33" t="str">
        <f>IF(_xll.TM1RPTELISCONSOLIDATED($H$34,$H252),IF(_xll.TM1RPTELLEV($H$34,$H252)&lt;=5,_xll.TM1RPTELLEV($H$34,$H252),"Default"),"Leaf")</f>
        <v>Leaf</v>
      </c>
      <c r="E252" s="42" t="s">
        <v>673</v>
      </c>
      <c r="F252" s="34" t="str">
        <f>_xll.DBR($B$18,$H252,"Account_Type")</f>
        <v>NON LABOR</v>
      </c>
      <c r="G252" s="34" t="str">
        <f>_xll.DBR($B$18,$H252,"Description")</f>
        <v>Drug Testing &amp; Physicals</v>
      </c>
      <c r="H252" s="43" t="s">
        <v>267</v>
      </c>
      <c r="I252" s="36">
        <f>_xll.DBRW($E$12,$F$16,$F$17,$F$18,$E252,$F$20,I$22,$H252,$F$19)</f>
        <v>0</v>
      </c>
      <c r="J252" s="36">
        <f>_xll.DBRW($E$12,$F$16,$F$17,$F$18,$E252,$F$20,J$22,$H252,$F$19)</f>
        <v>-2305.3200000000002</v>
      </c>
      <c r="K252" s="36">
        <f>_xll.DBRW($E$12,$F$16,$F$17,$F$18,$E252,$F$20,K$22,$H252,$F$19)</f>
        <v>2305.3200000000002</v>
      </c>
      <c r="L252" s="36">
        <f>_xll.DBRW($E$12,$F$16,$F$17,$F$18,$E252,$F$20,L$22,$H252,$F$19)</f>
        <v>2700</v>
      </c>
      <c r="M252" s="36">
        <f>_xll.DBRW($E$12,$F$16,$F$17,$F$18,$E252,$F$20,M$22,$H252,$F$19)</f>
        <v>-2423</v>
      </c>
      <c r="N252" s="36">
        <f>_xll.DBRW($E$12,$F$16,$F$17,$F$18,$E252,$F$20,N$22,$H252,$F$19)</f>
        <v>4015</v>
      </c>
      <c r="O252" s="36">
        <f>_xll.DBRW($E$12,$F$16,$F$17,$F$18,$E252,$F$20,O$22,$H252,$F$19)</f>
        <v>-4015</v>
      </c>
      <c r="P252" s="36">
        <f>_xll.DBRW($E$12,$F$16,$F$17,$F$18,$E252,$F$20,P$22,$H252,$F$19)</f>
        <v>0</v>
      </c>
      <c r="Q252" s="36">
        <f>_xll.DBRW($E$12,$F$16,$F$17,$F$18,$E252,$F$20,Q$22,$H252,$F$19)</f>
        <v>0</v>
      </c>
      <c r="R252" s="36">
        <f>_xll.DBRW($E$12,$F$16,$F$17,$F$18,$E252,$F$20,R$22,$H252,$F$19)</f>
        <v>0</v>
      </c>
      <c r="S252" s="36">
        <f>_xll.DBRW($E$12,$F$16,$F$17,$F$18,$E252,$F$20,S$22,$H252,$F$19)</f>
        <v>0</v>
      </c>
      <c r="T252" s="36">
        <f>_xll.DBRW($E$12,$F$16,$F$17,$F$18,$E252,$F$20,T$22,$H252,$F$19)</f>
        <v>0</v>
      </c>
      <c r="U252" s="36">
        <f>_xll.DBRW($E$12,$F$16,$F$17,$F$18,$E252,$F$20,U$22,$H252,$F$19)</f>
        <v>277</v>
      </c>
    </row>
    <row r="253" spans="4:21" s="37" customFormat="1" ht="15" outlineLevel="1" thickBot="1" x14ac:dyDescent="0.35">
      <c r="D253" s="33" t="str">
        <f>IF(_xll.TM1RPTELISCONSOLIDATED($H$34,$H253),IF(_xll.TM1RPTELLEV($H$34,$H253)&lt;=5,_xll.TM1RPTELLEV($H$34,$H253),"Default"),"Leaf")</f>
        <v>Leaf</v>
      </c>
      <c r="E253" s="42" t="s">
        <v>673</v>
      </c>
      <c r="F253" s="34" t="str">
        <f>_xll.DBR($B$18,$H253,"Account_Type")</f>
        <v>NON LABOR</v>
      </c>
      <c r="G253" s="34" t="str">
        <f>_xll.DBR($B$18,$H253,"Description")</f>
        <v>Uniforms</v>
      </c>
      <c r="H253" s="43" t="s">
        <v>280</v>
      </c>
      <c r="I253" s="36">
        <f>_xll.DBRW($E$12,$F$16,$F$17,$F$18,$E253,$F$20,I$22,$H253,$F$19)</f>
        <v>-273.49</v>
      </c>
      <c r="J253" s="36">
        <f>_xll.DBRW($E$12,$F$16,$F$17,$F$18,$E253,$F$20,J$22,$H253,$F$19)</f>
        <v>-352.07</v>
      </c>
      <c r="K253" s="36">
        <f>_xll.DBRW($E$12,$F$16,$F$17,$F$18,$E253,$F$20,K$22,$H253,$F$19)</f>
        <v>-291.58999999999997</v>
      </c>
      <c r="L253" s="36">
        <f>_xll.DBRW($E$12,$F$16,$F$17,$F$18,$E253,$F$20,L$22,$H253,$F$19)</f>
        <v>-388.19</v>
      </c>
      <c r="M253" s="36">
        <f>_xll.DBRW($E$12,$F$16,$F$17,$F$18,$E253,$F$20,M$22,$H253,$F$19)</f>
        <v>-495.93</v>
      </c>
      <c r="N253" s="36">
        <f>_xll.DBRW($E$12,$F$16,$F$17,$F$18,$E253,$F$20,N$22,$H253,$F$19)</f>
        <v>156.66</v>
      </c>
      <c r="O253" s="36">
        <f>_xll.DBRW($E$12,$F$16,$F$17,$F$18,$E253,$F$20,O$22,$H253,$F$19)</f>
        <v>-1116.78</v>
      </c>
      <c r="P253" s="36">
        <f>_xll.DBRW($E$12,$F$16,$F$17,$F$18,$E253,$F$20,P$22,$H253,$F$19)</f>
        <v>0</v>
      </c>
      <c r="Q253" s="36">
        <f>_xll.DBRW($E$12,$F$16,$F$17,$F$18,$E253,$F$20,Q$22,$H253,$F$19)</f>
        <v>0</v>
      </c>
      <c r="R253" s="36">
        <f>_xll.DBRW($E$12,$F$16,$F$17,$F$18,$E253,$F$20,R$22,$H253,$F$19)</f>
        <v>0</v>
      </c>
      <c r="S253" s="36">
        <f>_xll.DBRW($E$12,$F$16,$F$17,$F$18,$E253,$F$20,S$22,$H253,$F$19)</f>
        <v>0</v>
      </c>
      <c r="T253" s="36">
        <f>_xll.DBRW($E$12,$F$16,$F$17,$F$18,$E253,$F$20,T$22,$H253,$F$19)</f>
        <v>0</v>
      </c>
      <c r="U253" s="36">
        <f>_xll.DBRW($E$12,$F$16,$F$17,$F$18,$E253,$F$20,U$22,$H253,$F$19)</f>
        <v>-2761.39</v>
      </c>
    </row>
    <row r="254" spans="4:21" s="37" customFormat="1" ht="15" outlineLevel="1" thickBot="1" x14ac:dyDescent="0.35">
      <c r="D254" s="33" t="str">
        <f>IF(_xll.TM1RPTELISCONSOLIDATED($H$34,$H254),IF(_xll.TM1RPTELLEV($H$34,$H254)&lt;=5,_xll.TM1RPTELLEV($H$34,$H254),"Default"),"Leaf")</f>
        <v>Leaf</v>
      </c>
      <c r="E254" s="42" t="s">
        <v>673</v>
      </c>
      <c r="F254" s="34" t="str">
        <f>_xll.DBR($B$18,$H254,"Account_Type")</f>
        <v>NON LABOR</v>
      </c>
      <c r="G254" s="34" t="str">
        <f>_xll.DBR($B$18,$H254,"Description")</f>
        <v>Safety</v>
      </c>
      <c r="H254" s="43" t="s">
        <v>291</v>
      </c>
      <c r="I254" s="36">
        <f>_xll.DBRW($E$12,$F$16,$F$17,$F$18,$E254,$F$20,I$22,$H254,$F$19)</f>
        <v>60.08</v>
      </c>
      <c r="J254" s="36">
        <f>_xll.DBRW($E$12,$F$16,$F$17,$F$18,$E254,$F$20,J$22,$H254,$F$19)</f>
        <v>8.5399999999999991</v>
      </c>
      <c r="K254" s="36">
        <f>_xll.DBRW($E$12,$F$16,$F$17,$F$18,$E254,$F$20,K$22,$H254,$F$19)</f>
        <v>59.84</v>
      </c>
      <c r="L254" s="36">
        <f>_xll.DBRW($E$12,$F$16,$F$17,$F$18,$E254,$F$20,L$22,$H254,$F$19)</f>
        <v>877.06</v>
      </c>
      <c r="M254" s="36">
        <f>_xll.DBRW($E$12,$F$16,$F$17,$F$18,$E254,$F$20,M$22,$H254,$F$19)</f>
        <v>53.65</v>
      </c>
      <c r="N254" s="36">
        <f>_xll.DBRW($E$12,$F$16,$F$17,$F$18,$E254,$F$20,N$22,$H254,$F$19)</f>
        <v>0</v>
      </c>
      <c r="O254" s="36">
        <f>_xll.DBRW($E$12,$F$16,$F$17,$F$18,$E254,$F$20,O$22,$H254,$F$19)</f>
        <v>0</v>
      </c>
      <c r="P254" s="36">
        <f>_xll.DBRW($E$12,$F$16,$F$17,$F$18,$E254,$F$20,P$22,$H254,$F$19)</f>
        <v>0</v>
      </c>
      <c r="Q254" s="36">
        <f>_xll.DBRW($E$12,$F$16,$F$17,$F$18,$E254,$F$20,Q$22,$H254,$F$19)</f>
        <v>0</v>
      </c>
      <c r="R254" s="36">
        <f>_xll.DBRW($E$12,$F$16,$F$17,$F$18,$E254,$F$20,R$22,$H254,$F$19)</f>
        <v>0</v>
      </c>
      <c r="S254" s="36">
        <f>_xll.DBRW($E$12,$F$16,$F$17,$F$18,$E254,$F$20,S$22,$H254,$F$19)</f>
        <v>0</v>
      </c>
      <c r="T254" s="36">
        <f>_xll.DBRW($E$12,$F$16,$F$17,$F$18,$E254,$F$20,T$22,$H254,$F$19)</f>
        <v>0</v>
      </c>
      <c r="U254" s="36">
        <f>_xll.DBRW($E$12,$F$16,$F$17,$F$18,$E254,$F$20,U$22,$H254,$F$19)</f>
        <v>1059.17</v>
      </c>
    </row>
    <row r="255" spans="4:21" s="37" customFormat="1" ht="15" outlineLevel="1" thickBot="1" x14ac:dyDescent="0.35">
      <c r="D255" s="33" t="str">
        <f>IF(_xll.TM1RPTELISCONSOLIDATED($H$34,$H255),IF(_xll.TM1RPTELLEV($H$34,$H255)&lt;=5,_xll.TM1RPTELLEV($H$34,$H255),"Default"),"Leaf")</f>
        <v>Leaf</v>
      </c>
      <c r="E255" s="42" t="s">
        <v>673</v>
      </c>
      <c r="F255" s="34" t="str">
        <f>_xll.DBR($B$18,$H255,"Account_Type")</f>
        <v>NON LABOR</v>
      </c>
      <c r="G255" s="34" t="str">
        <f>_xll.DBR($B$18,$H255,"Description")</f>
        <v>Small Tools</v>
      </c>
      <c r="H255" s="43" t="s">
        <v>309</v>
      </c>
      <c r="I255" s="36">
        <f>_xll.DBRW($E$12,$F$16,$F$17,$F$18,$E255,$F$20,I$22,$H255,$F$19)</f>
        <v>1024.6600000000001</v>
      </c>
      <c r="J255" s="36">
        <f>_xll.DBRW($E$12,$F$16,$F$17,$F$18,$E255,$F$20,J$22,$H255,$F$19)</f>
        <v>212.61</v>
      </c>
      <c r="K255" s="36">
        <f>_xll.DBRW($E$12,$F$16,$F$17,$F$18,$E255,$F$20,K$22,$H255,$F$19)</f>
        <v>18.63</v>
      </c>
      <c r="L255" s="36">
        <f>_xll.DBRW($E$12,$F$16,$F$17,$F$18,$E255,$F$20,L$22,$H255,$F$19)</f>
        <v>1527.91</v>
      </c>
      <c r="M255" s="36">
        <f>_xll.DBRW($E$12,$F$16,$F$17,$F$18,$E255,$F$20,M$22,$H255,$F$19)</f>
        <v>0</v>
      </c>
      <c r="N255" s="36">
        <f>_xll.DBRW($E$12,$F$16,$F$17,$F$18,$E255,$F$20,N$22,$H255,$F$19)</f>
        <v>1725.25</v>
      </c>
      <c r="O255" s="36">
        <f>_xll.DBRW($E$12,$F$16,$F$17,$F$18,$E255,$F$20,O$22,$H255,$F$19)</f>
        <v>1376.98</v>
      </c>
      <c r="P255" s="36">
        <f>_xll.DBRW($E$12,$F$16,$F$17,$F$18,$E255,$F$20,P$22,$H255,$F$19)</f>
        <v>0</v>
      </c>
      <c r="Q255" s="36">
        <f>_xll.DBRW($E$12,$F$16,$F$17,$F$18,$E255,$F$20,Q$22,$H255,$F$19)</f>
        <v>0</v>
      </c>
      <c r="R255" s="36">
        <f>_xll.DBRW($E$12,$F$16,$F$17,$F$18,$E255,$F$20,R$22,$H255,$F$19)</f>
        <v>0</v>
      </c>
      <c r="S255" s="36">
        <f>_xll.DBRW($E$12,$F$16,$F$17,$F$18,$E255,$F$20,S$22,$H255,$F$19)</f>
        <v>0</v>
      </c>
      <c r="T255" s="36">
        <f>_xll.DBRW($E$12,$F$16,$F$17,$F$18,$E255,$F$20,T$22,$H255,$F$19)</f>
        <v>0</v>
      </c>
      <c r="U255" s="36">
        <f>_xll.DBRW($E$12,$F$16,$F$17,$F$18,$E255,$F$20,U$22,$H255,$F$19)</f>
        <v>5886.0400000000009</v>
      </c>
    </row>
    <row r="256" spans="4:21" s="37" customFormat="1" ht="15" outlineLevel="1" thickBot="1" x14ac:dyDescent="0.35">
      <c r="D256" s="33" t="str">
        <f>IF(_xll.TM1RPTELISCONSOLIDATED($H$34,$H256),IF(_xll.TM1RPTELLEV($H$34,$H256)&lt;=5,_xll.TM1RPTELLEV($H$34,$H256),"Default"),"Leaf")</f>
        <v>Leaf</v>
      </c>
      <c r="E256" s="42" t="s">
        <v>673</v>
      </c>
      <c r="F256" s="34" t="str">
        <f>_xll.DBR($B$18,$H256,"Account_Type")</f>
        <v>NON LABOR</v>
      </c>
      <c r="G256" s="34" t="str">
        <f>_xll.DBR($B$18,$H256,"Description")</f>
        <v>Consumable Purchases</v>
      </c>
      <c r="H256" s="43" t="s">
        <v>321</v>
      </c>
      <c r="I256" s="36">
        <f>_xll.DBRW($E$12,$F$16,$F$17,$F$18,$E256,$F$20,I$22,$H256,$F$19)</f>
        <v>-4018.98</v>
      </c>
      <c r="J256" s="36">
        <f>_xll.DBRW($E$12,$F$16,$F$17,$F$18,$E256,$F$20,J$22,$H256,$F$19)</f>
        <v>0</v>
      </c>
      <c r="K256" s="36">
        <f>_xll.DBRW($E$12,$F$16,$F$17,$F$18,$E256,$F$20,K$22,$H256,$F$19)</f>
        <v>0</v>
      </c>
      <c r="L256" s="36">
        <f>_xll.DBRW($E$12,$F$16,$F$17,$F$18,$E256,$F$20,L$22,$H256,$F$19)</f>
        <v>0</v>
      </c>
      <c r="M256" s="36">
        <f>_xll.DBRW($E$12,$F$16,$F$17,$F$18,$E256,$F$20,M$22,$H256,$F$19)</f>
        <v>0</v>
      </c>
      <c r="N256" s="36">
        <f>_xll.DBRW($E$12,$F$16,$F$17,$F$18,$E256,$F$20,N$22,$H256,$F$19)</f>
        <v>0</v>
      </c>
      <c r="O256" s="36">
        <f>_xll.DBRW($E$12,$F$16,$F$17,$F$18,$E256,$F$20,O$22,$H256,$F$19)</f>
        <v>0</v>
      </c>
      <c r="P256" s="36">
        <f>_xll.DBRW($E$12,$F$16,$F$17,$F$18,$E256,$F$20,P$22,$H256,$F$19)</f>
        <v>0</v>
      </c>
      <c r="Q256" s="36">
        <f>_xll.DBRW($E$12,$F$16,$F$17,$F$18,$E256,$F$20,Q$22,$H256,$F$19)</f>
        <v>0</v>
      </c>
      <c r="R256" s="36">
        <f>_xll.DBRW($E$12,$F$16,$F$17,$F$18,$E256,$F$20,R$22,$H256,$F$19)</f>
        <v>0</v>
      </c>
      <c r="S256" s="36">
        <f>_xll.DBRW($E$12,$F$16,$F$17,$F$18,$E256,$F$20,S$22,$H256,$F$19)</f>
        <v>0</v>
      </c>
      <c r="T256" s="36">
        <f>_xll.DBRW($E$12,$F$16,$F$17,$F$18,$E256,$F$20,T$22,$H256,$F$19)</f>
        <v>0</v>
      </c>
      <c r="U256" s="36">
        <f>_xll.DBRW($E$12,$F$16,$F$17,$F$18,$E256,$F$20,U$22,$H256,$F$19)</f>
        <v>-4018.98</v>
      </c>
    </row>
    <row r="257" spans="4:21" s="37" customFormat="1" ht="15" outlineLevel="1" thickBot="1" x14ac:dyDescent="0.35">
      <c r="D257" s="33" t="str">
        <f>IF(_xll.TM1RPTELISCONSOLIDATED($H$34,$H257),IF(_xll.TM1RPTELLEV($H$34,$H257)&lt;=5,_xll.TM1RPTELLEV($H$34,$H257),"Default"),"Leaf")</f>
        <v>Leaf</v>
      </c>
      <c r="E257" s="42" t="s">
        <v>673</v>
      </c>
      <c r="F257" s="34" t="str">
        <f>_xll.DBR($B$18,$H257,"Account_Type")</f>
        <v>NON LABOR</v>
      </c>
      <c r="G257" s="34" t="str">
        <f>_xll.DBR($B$18,$H257,"Description")</f>
        <v>Consumable Purchases</v>
      </c>
      <c r="H257" s="43" t="s">
        <v>332</v>
      </c>
      <c r="I257" s="36">
        <f>_xll.DBRW($E$12,$F$16,$F$17,$F$18,$E257,$F$20,I$22,$H257,$F$19)</f>
        <v>0</v>
      </c>
      <c r="J257" s="36">
        <f>_xll.DBRW($E$12,$F$16,$F$17,$F$18,$E257,$F$20,J$22,$H257,$F$19)</f>
        <v>0</v>
      </c>
      <c r="K257" s="36">
        <f>_xll.DBRW($E$12,$F$16,$F$17,$F$18,$E257,$F$20,K$22,$H257,$F$19)</f>
        <v>0</v>
      </c>
      <c r="L257" s="36">
        <f>_xll.DBRW($E$12,$F$16,$F$17,$F$18,$E257,$F$20,L$22,$H257,$F$19)</f>
        <v>0</v>
      </c>
      <c r="M257" s="36">
        <f>_xll.DBRW($E$12,$F$16,$F$17,$F$18,$E257,$F$20,M$22,$H257,$F$19)</f>
        <v>0</v>
      </c>
      <c r="N257" s="36">
        <f>_xll.DBRW($E$12,$F$16,$F$17,$F$18,$E257,$F$20,N$22,$H257,$F$19)</f>
        <v>59.58</v>
      </c>
      <c r="O257" s="36">
        <f>_xll.DBRW($E$12,$F$16,$F$17,$F$18,$E257,$F$20,O$22,$H257,$F$19)</f>
        <v>0</v>
      </c>
      <c r="P257" s="36">
        <f>_xll.DBRW($E$12,$F$16,$F$17,$F$18,$E257,$F$20,P$22,$H257,$F$19)</f>
        <v>0</v>
      </c>
      <c r="Q257" s="36">
        <f>_xll.DBRW($E$12,$F$16,$F$17,$F$18,$E257,$F$20,Q$22,$H257,$F$19)</f>
        <v>0</v>
      </c>
      <c r="R257" s="36">
        <f>_xll.DBRW($E$12,$F$16,$F$17,$F$18,$E257,$F$20,R$22,$H257,$F$19)</f>
        <v>0</v>
      </c>
      <c r="S257" s="36">
        <f>_xll.DBRW($E$12,$F$16,$F$17,$F$18,$E257,$F$20,S$22,$H257,$F$19)</f>
        <v>0</v>
      </c>
      <c r="T257" s="36">
        <f>_xll.DBRW($E$12,$F$16,$F$17,$F$18,$E257,$F$20,T$22,$H257,$F$19)</f>
        <v>0</v>
      </c>
      <c r="U257" s="36">
        <f>_xll.DBRW($E$12,$F$16,$F$17,$F$18,$E257,$F$20,U$22,$H257,$F$19)</f>
        <v>59.58</v>
      </c>
    </row>
    <row r="258" spans="4:21" s="37" customFormat="1" ht="15" outlineLevel="1" thickBot="1" x14ac:dyDescent="0.35">
      <c r="D258" s="33" t="str">
        <f>IF(_xll.TM1RPTELISCONSOLIDATED($H$34,$H258),IF(_xll.TM1RPTELLEV($H$34,$H258)&lt;=5,_xll.TM1RPTELLEV($H$34,$H258),"Default"),"Leaf")</f>
        <v>Leaf</v>
      </c>
      <c r="E258" s="42" t="s">
        <v>673</v>
      </c>
      <c r="F258" s="34" t="str">
        <f>_xll.DBR($B$18,$H258,"Account_Type")</f>
        <v>NON LABOR</v>
      </c>
      <c r="G258" s="34" t="str">
        <f>_xll.DBR($B$18,$H258,"Description")</f>
        <v>Toolroom Consumables Applied</v>
      </c>
      <c r="H258" s="43" t="s">
        <v>337</v>
      </c>
      <c r="I258" s="36">
        <f>_xll.DBRW($E$12,$F$16,$F$17,$F$18,$E258,$F$20,I$22,$H258,$F$19)</f>
        <v>27.47</v>
      </c>
      <c r="J258" s="36">
        <f>_xll.DBRW($E$12,$F$16,$F$17,$F$18,$E258,$F$20,J$22,$H258,$F$19)</f>
        <v>0</v>
      </c>
      <c r="K258" s="36">
        <f>_xll.DBRW($E$12,$F$16,$F$17,$F$18,$E258,$F$20,K$22,$H258,$F$19)</f>
        <v>0</v>
      </c>
      <c r="L258" s="36">
        <f>_xll.DBRW($E$12,$F$16,$F$17,$F$18,$E258,$F$20,L$22,$H258,$F$19)</f>
        <v>924.05</v>
      </c>
      <c r="M258" s="36">
        <f>_xll.DBRW($E$12,$F$16,$F$17,$F$18,$E258,$F$20,M$22,$H258,$F$19)</f>
        <v>0</v>
      </c>
      <c r="N258" s="36">
        <f>_xll.DBRW($E$12,$F$16,$F$17,$F$18,$E258,$F$20,N$22,$H258,$F$19)</f>
        <v>0</v>
      </c>
      <c r="O258" s="36">
        <f>_xll.DBRW($E$12,$F$16,$F$17,$F$18,$E258,$F$20,O$22,$H258,$F$19)</f>
        <v>0</v>
      </c>
      <c r="P258" s="36">
        <f>_xll.DBRW($E$12,$F$16,$F$17,$F$18,$E258,$F$20,P$22,$H258,$F$19)</f>
        <v>0</v>
      </c>
      <c r="Q258" s="36">
        <f>_xll.DBRW($E$12,$F$16,$F$17,$F$18,$E258,$F$20,Q$22,$H258,$F$19)</f>
        <v>0</v>
      </c>
      <c r="R258" s="36">
        <f>_xll.DBRW($E$12,$F$16,$F$17,$F$18,$E258,$F$20,R$22,$H258,$F$19)</f>
        <v>0</v>
      </c>
      <c r="S258" s="36">
        <f>_xll.DBRW($E$12,$F$16,$F$17,$F$18,$E258,$F$20,S$22,$H258,$F$19)</f>
        <v>0</v>
      </c>
      <c r="T258" s="36">
        <f>_xll.DBRW($E$12,$F$16,$F$17,$F$18,$E258,$F$20,T$22,$H258,$F$19)</f>
        <v>0</v>
      </c>
      <c r="U258" s="36">
        <f>_xll.DBRW($E$12,$F$16,$F$17,$F$18,$E258,$F$20,U$22,$H258,$F$19)</f>
        <v>951.52</v>
      </c>
    </row>
    <row r="259" spans="4:21" s="37" customFormat="1" ht="15" outlineLevel="1" thickBot="1" x14ac:dyDescent="0.35">
      <c r="D259" s="33" t="str">
        <f>IF(_xll.TM1RPTELISCONSOLIDATED($H$34,$H259),IF(_xll.TM1RPTELLEV($H$34,$H259)&lt;=5,_xll.TM1RPTELLEV($H$34,$H259),"Default"),"Leaf")</f>
        <v>Leaf</v>
      </c>
      <c r="E259" s="42" t="s">
        <v>673</v>
      </c>
      <c r="F259" s="34" t="str">
        <f>_xll.DBR($B$18,$H259,"Account_Type")</f>
        <v>NON LABOR</v>
      </c>
      <c r="G259" s="34" t="str">
        <f>_xll.DBR($B$18,$H259,"Description")</f>
        <v>STC/Eqpt Maintenance &amp; Repair</v>
      </c>
      <c r="H259" s="43" t="s">
        <v>345</v>
      </c>
      <c r="I259" s="36">
        <f>_xll.DBRW($E$12,$F$16,$F$17,$F$18,$E259,$F$20,I$22,$H259,$F$19)</f>
        <v>0</v>
      </c>
      <c r="J259" s="36">
        <f>_xll.DBRW($E$12,$F$16,$F$17,$F$18,$E259,$F$20,J$22,$H259,$F$19)</f>
        <v>521.66</v>
      </c>
      <c r="K259" s="36">
        <f>_xll.DBRW($E$12,$F$16,$F$17,$F$18,$E259,$F$20,K$22,$H259,$F$19)</f>
        <v>1043.31</v>
      </c>
      <c r="L259" s="36">
        <f>_xll.DBRW($E$12,$F$16,$F$17,$F$18,$E259,$F$20,L$22,$H259,$F$19)</f>
        <v>0</v>
      </c>
      <c r="M259" s="36">
        <f>_xll.DBRW($E$12,$F$16,$F$17,$F$18,$E259,$F$20,M$22,$H259,$F$19)</f>
        <v>0</v>
      </c>
      <c r="N259" s="36">
        <f>_xll.DBRW($E$12,$F$16,$F$17,$F$18,$E259,$F$20,N$22,$H259,$F$19)</f>
        <v>0</v>
      </c>
      <c r="O259" s="36">
        <f>_xll.DBRW($E$12,$F$16,$F$17,$F$18,$E259,$F$20,O$22,$H259,$F$19)</f>
        <v>0</v>
      </c>
      <c r="P259" s="36">
        <f>_xll.DBRW($E$12,$F$16,$F$17,$F$18,$E259,$F$20,P$22,$H259,$F$19)</f>
        <v>0</v>
      </c>
      <c r="Q259" s="36">
        <f>_xll.DBRW($E$12,$F$16,$F$17,$F$18,$E259,$F$20,Q$22,$H259,$F$19)</f>
        <v>0</v>
      </c>
      <c r="R259" s="36">
        <f>_xll.DBRW($E$12,$F$16,$F$17,$F$18,$E259,$F$20,R$22,$H259,$F$19)</f>
        <v>0</v>
      </c>
      <c r="S259" s="36">
        <f>_xll.DBRW($E$12,$F$16,$F$17,$F$18,$E259,$F$20,S$22,$H259,$F$19)</f>
        <v>0</v>
      </c>
      <c r="T259" s="36">
        <f>_xll.DBRW($E$12,$F$16,$F$17,$F$18,$E259,$F$20,T$22,$H259,$F$19)</f>
        <v>0</v>
      </c>
      <c r="U259" s="36">
        <f>_xll.DBRW($E$12,$F$16,$F$17,$F$18,$E259,$F$20,U$22,$H259,$F$19)</f>
        <v>1564.9699999999998</v>
      </c>
    </row>
    <row r="260" spans="4:21" s="37" customFormat="1" ht="15" outlineLevel="1" thickBot="1" x14ac:dyDescent="0.35">
      <c r="D260" s="33" t="str">
        <f>IF(_xll.TM1RPTELISCONSOLIDATED($H$34,$H260),IF(_xll.TM1RPTELLEV($H$34,$H260)&lt;=5,_xll.TM1RPTELLEV($H$34,$H260),"Default"),"Leaf")</f>
        <v>Leaf</v>
      </c>
      <c r="E260" s="42" t="s">
        <v>673</v>
      </c>
      <c r="F260" s="34" t="str">
        <f>_xll.DBR($B$18,$H260,"Account_Type")</f>
        <v>NON LABOR</v>
      </c>
      <c r="G260" s="34" t="str">
        <f>_xll.DBR($B$18,$H260,"Description")</f>
        <v>Employee Leased Vehicles</v>
      </c>
      <c r="H260" s="43" t="s">
        <v>355</v>
      </c>
      <c r="I260" s="36">
        <f>_xll.DBRW($E$12,$F$16,$F$17,$F$18,$E260,$F$20,I$22,$H260,$F$19)</f>
        <v>6650</v>
      </c>
      <c r="J260" s="36">
        <f>_xll.DBRW($E$12,$F$16,$F$17,$F$18,$E260,$F$20,J$22,$H260,$F$19)</f>
        <v>4700</v>
      </c>
      <c r="K260" s="36">
        <f>_xll.DBRW($E$12,$F$16,$F$17,$F$18,$E260,$F$20,K$22,$H260,$F$19)</f>
        <v>7307.14</v>
      </c>
      <c r="L260" s="36">
        <f>_xll.DBRW($E$12,$F$16,$F$17,$F$18,$E260,$F$20,L$22,$H260,$F$19)</f>
        <v>5500</v>
      </c>
      <c r="M260" s="36">
        <f>_xll.DBRW($E$12,$F$16,$F$17,$F$18,$E260,$F$20,M$22,$H260,$F$19)</f>
        <v>5500</v>
      </c>
      <c r="N260" s="36">
        <f>_xll.DBRW($E$12,$F$16,$F$17,$F$18,$E260,$F$20,N$22,$H260,$F$19)</f>
        <v>5500</v>
      </c>
      <c r="O260" s="36">
        <f>_xll.DBRW($E$12,$F$16,$F$17,$F$18,$E260,$F$20,O$22,$H260,$F$19)</f>
        <v>5500</v>
      </c>
      <c r="P260" s="36">
        <f>_xll.DBRW($E$12,$F$16,$F$17,$F$18,$E260,$F$20,P$22,$H260,$F$19)</f>
        <v>0</v>
      </c>
      <c r="Q260" s="36">
        <f>_xll.DBRW($E$12,$F$16,$F$17,$F$18,$E260,$F$20,Q$22,$H260,$F$19)</f>
        <v>0</v>
      </c>
      <c r="R260" s="36">
        <f>_xll.DBRW($E$12,$F$16,$F$17,$F$18,$E260,$F$20,R$22,$H260,$F$19)</f>
        <v>0</v>
      </c>
      <c r="S260" s="36">
        <f>_xll.DBRW($E$12,$F$16,$F$17,$F$18,$E260,$F$20,S$22,$H260,$F$19)</f>
        <v>0</v>
      </c>
      <c r="T260" s="36">
        <f>_xll.DBRW($E$12,$F$16,$F$17,$F$18,$E260,$F$20,T$22,$H260,$F$19)</f>
        <v>0</v>
      </c>
      <c r="U260" s="36">
        <f>_xll.DBRW($E$12,$F$16,$F$17,$F$18,$E260,$F$20,U$22,$H260,$F$19)</f>
        <v>40657.14</v>
      </c>
    </row>
    <row r="261" spans="4:21" s="37" customFormat="1" ht="15" outlineLevel="1" thickBot="1" x14ac:dyDescent="0.35">
      <c r="D261" s="33" t="str">
        <f>IF(_xll.TM1RPTELISCONSOLIDATED($H$34,$H261),IF(_xll.TM1RPTELLEV($H$34,$H261)&lt;=5,_xll.TM1RPTELLEV($H$34,$H261),"Default"),"Leaf")</f>
        <v>Leaf</v>
      </c>
      <c r="E261" s="42" t="s">
        <v>673</v>
      </c>
      <c r="F261" s="34" t="str">
        <f>_xll.DBR($B$18,$H261,"Account_Type")</f>
        <v>NON LABOR</v>
      </c>
      <c r="G261" s="34" t="str">
        <f>_xll.DBR($B$18,$H261,"Description")</f>
        <v>Fleet Leased Vehicle Expense</v>
      </c>
      <c r="H261" s="43" t="s">
        <v>374</v>
      </c>
      <c r="I261" s="36">
        <f>_xll.DBRW($E$12,$F$16,$F$17,$F$18,$E261,$F$20,I$22,$H261,$F$19)</f>
        <v>368</v>
      </c>
      <c r="J261" s="36">
        <f>_xll.DBRW($E$12,$F$16,$F$17,$F$18,$E261,$F$20,J$22,$H261,$F$19)</f>
        <v>685.75</v>
      </c>
      <c r="K261" s="36">
        <f>_xll.DBRW($E$12,$F$16,$F$17,$F$18,$E261,$F$20,K$22,$H261,$F$19)</f>
        <v>1606.25</v>
      </c>
      <c r="L261" s="36">
        <f>_xll.DBRW($E$12,$F$16,$F$17,$F$18,$E261,$F$20,L$22,$H261,$F$19)</f>
        <v>632.5</v>
      </c>
      <c r="M261" s="36">
        <f>_xll.DBRW($E$12,$F$16,$F$17,$F$18,$E261,$F$20,M$22,$H261,$F$19)</f>
        <v>0</v>
      </c>
      <c r="N261" s="36">
        <f>_xll.DBRW($E$12,$F$16,$F$17,$F$18,$E261,$F$20,N$22,$H261,$F$19)</f>
        <v>674.8</v>
      </c>
      <c r="O261" s="36">
        <f>_xll.DBRW($E$12,$F$16,$F$17,$F$18,$E261,$F$20,O$22,$H261,$F$19)</f>
        <v>0</v>
      </c>
      <c r="P261" s="36">
        <f>_xll.DBRW($E$12,$F$16,$F$17,$F$18,$E261,$F$20,P$22,$H261,$F$19)</f>
        <v>0</v>
      </c>
      <c r="Q261" s="36">
        <f>_xll.DBRW($E$12,$F$16,$F$17,$F$18,$E261,$F$20,Q$22,$H261,$F$19)</f>
        <v>0</v>
      </c>
      <c r="R261" s="36">
        <f>_xll.DBRW($E$12,$F$16,$F$17,$F$18,$E261,$F$20,R$22,$H261,$F$19)</f>
        <v>0</v>
      </c>
      <c r="S261" s="36">
        <f>_xll.DBRW($E$12,$F$16,$F$17,$F$18,$E261,$F$20,S$22,$H261,$F$19)</f>
        <v>0</v>
      </c>
      <c r="T261" s="36">
        <f>_xll.DBRW($E$12,$F$16,$F$17,$F$18,$E261,$F$20,T$22,$H261,$F$19)</f>
        <v>0</v>
      </c>
      <c r="U261" s="36">
        <f>_xll.DBRW($E$12,$F$16,$F$17,$F$18,$E261,$F$20,U$22,$H261,$F$19)</f>
        <v>3967.3</v>
      </c>
    </row>
    <row r="262" spans="4:21" s="37" customFormat="1" ht="15" outlineLevel="1" thickBot="1" x14ac:dyDescent="0.35">
      <c r="D262" s="33" t="str">
        <f>IF(_xll.TM1RPTELISCONSOLIDATED($H$34,$H262),IF(_xll.TM1RPTELLEV($H$34,$H262)&lt;=5,_xll.TM1RPTELLEV($H$34,$H262),"Default"),"Leaf")</f>
        <v>Leaf</v>
      </c>
      <c r="E262" s="42" t="s">
        <v>673</v>
      </c>
      <c r="F262" s="34" t="str">
        <f>_xll.DBR($B$18,$H262,"Account_Type")</f>
        <v>NON LABOR</v>
      </c>
      <c r="G262" s="34" t="str">
        <f>_xll.DBR($B$18,$H262,"Description")</f>
        <v>Fleet Leased Vehicle Expense</v>
      </c>
      <c r="H262" s="43" t="s">
        <v>704</v>
      </c>
      <c r="I262" s="36">
        <f>_xll.DBRW($E$12,$F$16,$F$17,$F$18,$E262,$F$20,I$22,$H262,$F$19)</f>
        <v>411.82</v>
      </c>
      <c r="J262" s="36">
        <f>_xll.DBRW($E$12,$F$16,$F$17,$F$18,$E262,$F$20,J$22,$H262,$F$19)</f>
        <v>0</v>
      </c>
      <c r="K262" s="36">
        <f>_xll.DBRW($E$12,$F$16,$F$17,$F$18,$E262,$F$20,K$22,$H262,$F$19)</f>
        <v>-411.82</v>
      </c>
      <c r="L262" s="36">
        <f>_xll.DBRW($E$12,$F$16,$F$17,$F$18,$E262,$F$20,L$22,$H262,$F$19)</f>
        <v>0</v>
      </c>
      <c r="M262" s="36">
        <f>_xll.DBRW($E$12,$F$16,$F$17,$F$18,$E262,$F$20,M$22,$H262,$F$19)</f>
        <v>0</v>
      </c>
      <c r="N262" s="36">
        <f>_xll.DBRW($E$12,$F$16,$F$17,$F$18,$E262,$F$20,N$22,$H262,$F$19)</f>
        <v>0</v>
      </c>
      <c r="O262" s="36">
        <f>_xll.DBRW($E$12,$F$16,$F$17,$F$18,$E262,$F$20,O$22,$H262,$F$19)</f>
        <v>0</v>
      </c>
      <c r="P262" s="36">
        <f>_xll.DBRW($E$12,$F$16,$F$17,$F$18,$E262,$F$20,P$22,$H262,$F$19)</f>
        <v>0</v>
      </c>
      <c r="Q262" s="36">
        <f>_xll.DBRW($E$12,$F$16,$F$17,$F$18,$E262,$F$20,Q$22,$H262,$F$19)</f>
        <v>0</v>
      </c>
      <c r="R262" s="36">
        <f>_xll.DBRW($E$12,$F$16,$F$17,$F$18,$E262,$F$20,R$22,$H262,$F$19)</f>
        <v>0</v>
      </c>
      <c r="S262" s="36">
        <f>_xll.DBRW($E$12,$F$16,$F$17,$F$18,$E262,$F$20,S$22,$H262,$F$19)</f>
        <v>0</v>
      </c>
      <c r="T262" s="36">
        <f>_xll.DBRW($E$12,$F$16,$F$17,$F$18,$E262,$F$20,T$22,$H262,$F$19)</f>
        <v>0</v>
      </c>
      <c r="U262" s="36">
        <f>_xll.DBRW($E$12,$F$16,$F$17,$F$18,$E262,$F$20,U$22,$H262,$F$19)</f>
        <v>0</v>
      </c>
    </row>
    <row r="263" spans="4:21" s="37" customFormat="1" ht="15" outlineLevel="1" thickBot="1" x14ac:dyDescent="0.35">
      <c r="D263" s="33" t="str">
        <f>IF(_xll.TM1RPTELISCONSOLIDATED($H$34,$H263),IF(_xll.TM1RPTELLEV($H$34,$H263)&lt;=5,_xll.TM1RPTELLEV($H$34,$H263),"Default"),"Leaf")</f>
        <v>Leaf</v>
      </c>
      <c r="E263" s="42" t="s">
        <v>673</v>
      </c>
      <c r="F263" s="34" t="str">
        <f>_xll.DBR($B$18,$H263,"Account_Type")</f>
        <v>NON LABOR</v>
      </c>
      <c r="G263" s="34" t="str">
        <f>_xll.DBR($B$18,$H263,"Description")</f>
        <v>Fuel to Leased Vehicles</v>
      </c>
      <c r="H263" s="43" t="s">
        <v>391</v>
      </c>
      <c r="I263" s="36">
        <f>_xll.DBRW($E$12,$F$16,$F$17,$F$18,$E263,$F$20,I$22,$H263,$F$19)</f>
        <v>454.22</v>
      </c>
      <c r="J263" s="36">
        <f>_xll.DBRW($E$12,$F$16,$F$17,$F$18,$E263,$F$20,J$22,$H263,$F$19)</f>
        <v>346.9</v>
      </c>
      <c r="K263" s="36">
        <f>_xll.DBRW($E$12,$F$16,$F$17,$F$18,$E263,$F$20,K$22,$H263,$F$19)</f>
        <v>440.59</v>
      </c>
      <c r="L263" s="36">
        <f>_xll.DBRW($E$12,$F$16,$F$17,$F$18,$E263,$F$20,L$22,$H263,$F$19)</f>
        <v>521.91999999999996</v>
      </c>
      <c r="M263" s="36">
        <f>_xll.DBRW($E$12,$F$16,$F$17,$F$18,$E263,$F$20,M$22,$H263,$F$19)</f>
        <v>362.7</v>
      </c>
      <c r="N263" s="36">
        <f>_xll.DBRW($E$12,$F$16,$F$17,$F$18,$E263,$F$20,N$22,$H263,$F$19)</f>
        <v>0</v>
      </c>
      <c r="O263" s="36">
        <f>_xll.DBRW($E$12,$F$16,$F$17,$F$18,$E263,$F$20,O$22,$H263,$F$19)</f>
        <v>0</v>
      </c>
      <c r="P263" s="36">
        <f>_xll.DBRW($E$12,$F$16,$F$17,$F$18,$E263,$F$20,P$22,$H263,$F$19)</f>
        <v>0</v>
      </c>
      <c r="Q263" s="36">
        <f>_xll.DBRW($E$12,$F$16,$F$17,$F$18,$E263,$F$20,Q$22,$H263,$F$19)</f>
        <v>0</v>
      </c>
      <c r="R263" s="36">
        <f>_xll.DBRW($E$12,$F$16,$F$17,$F$18,$E263,$F$20,R$22,$H263,$F$19)</f>
        <v>0</v>
      </c>
      <c r="S263" s="36">
        <f>_xll.DBRW($E$12,$F$16,$F$17,$F$18,$E263,$F$20,S$22,$H263,$F$19)</f>
        <v>0</v>
      </c>
      <c r="T263" s="36">
        <f>_xll.DBRW($E$12,$F$16,$F$17,$F$18,$E263,$F$20,T$22,$H263,$F$19)</f>
        <v>0</v>
      </c>
      <c r="U263" s="36">
        <f>_xll.DBRW($E$12,$F$16,$F$17,$F$18,$E263,$F$20,U$22,$H263,$F$19)</f>
        <v>2126.33</v>
      </c>
    </row>
    <row r="264" spans="4:21" s="37" customFormat="1" ht="15" outlineLevel="1" thickBot="1" x14ac:dyDescent="0.35">
      <c r="D264" s="33" t="str">
        <f>IF(_xll.TM1RPTELISCONSOLIDATED($H$34,$H264),IF(_xll.TM1RPTELLEV($H$34,$H264)&lt;=5,_xll.TM1RPTELLEV($H$34,$H264),"Default"),"Leaf")</f>
        <v>Leaf</v>
      </c>
      <c r="E264" s="42" t="s">
        <v>673</v>
      </c>
      <c r="F264" s="34" t="str">
        <f>_xll.DBR($B$18,$H264,"Account_Type")</f>
        <v>NON LABOR</v>
      </c>
      <c r="G264" s="34" t="str">
        <f>_xll.DBR($B$18,$H264,"Description")</f>
        <v>Fuel Purchases to Leased Vehicles</v>
      </c>
      <c r="H264" s="43" t="s">
        <v>407</v>
      </c>
      <c r="I264" s="36">
        <f>_xll.DBRW($E$12,$F$16,$F$17,$F$18,$E264,$F$20,I$22,$H264,$F$19)</f>
        <v>0</v>
      </c>
      <c r="J264" s="36">
        <f>_xll.DBRW($E$12,$F$16,$F$17,$F$18,$E264,$F$20,J$22,$H264,$F$19)</f>
        <v>0</v>
      </c>
      <c r="K264" s="36">
        <f>_xll.DBRW($E$12,$F$16,$F$17,$F$18,$E264,$F$20,K$22,$H264,$F$19)</f>
        <v>23.22</v>
      </c>
      <c r="L264" s="36">
        <f>_xll.DBRW($E$12,$F$16,$F$17,$F$18,$E264,$F$20,L$22,$H264,$F$19)</f>
        <v>0</v>
      </c>
      <c r="M264" s="36">
        <f>_xll.DBRW($E$12,$F$16,$F$17,$F$18,$E264,$F$20,M$22,$H264,$F$19)</f>
        <v>0</v>
      </c>
      <c r="N264" s="36">
        <f>_xll.DBRW($E$12,$F$16,$F$17,$F$18,$E264,$F$20,N$22,$H264,$F$19)</f>
        <v>0</v>
      </c>
      <c r="O264" s="36">
        <f>_xll.DBRW($E$12,$F$16,$F$17,$F$18,$E264,$F$20,O$22,$H264,$F$19)</f>
        <v>0</v>
      </c>
      <c r="P264" s="36">
        <f>_xll.DBRW($E$12,$F$16,$F$17,$F$18,$E264,$F$20,P$22,$H264,$F$19)</f>
        <v>0</v>
      </c>
      <c r="Q264" s="36">
        <f>_xll.DBRW($E$12,$F$16,$F$17,$F$18,$E264,$F$20,Q$22,$H264,$F$19)</f>
        <v>0</v>
      </c>
      <c r="R264" s="36">
        <f>_xll.DBRW($E$12,$F$16,$F$17,$F$18,$E264,$F$20,R$22,$H264,$F$19)</f>
        <v>0</v>
      </c>
      <c r="S264" s="36">
        <f>_xll.DBRW($E$12,$F$16,$F$17,$F$18,$E264,$F$20,S$22,$H264,$F$19)</f>
        <v>0</v>
      </c>
      <c r="T264" s="36">
        <f>_xll.DBRW($E$12,$F$16,$F$17,$F$18,$E264,$F$20,T$22,$H264,$F$19)</f>
        <v>0</v>
      </c>
      <c r="U264" s="36">
        <f>_xll.DBRW($E$12,$F$16,$F$17,$F$18,$E264,$F$20,U$22,$H264,$F$19)</f>
        <v>23.22</v>
      </c>
    </row>
    <row r="265" spans="4:21" s="37" customFormat="1" ht="15" outlineLevel="1" thickBot="1" x14ac:dyDescent="0.35">
      <c r="D265" s="33" t="str">
        <f>IF(_xll.TM1RPTELISCONSOLIDATED($H$34,$H265),IF(_xll.TM1RPTELLEV($H$34,$H265)&lt;=5,_xll.TM1RPTELLEV($H$34,$H265),"Default"),"Leaf")</f>
        <v>Leaf</v>
      </c>
      <c r="E265" s="42" t="s">
        <v>673</v>
      </c>
      <c r="F265" s="34" t="str">
        <f>_xll.DBR($B$18,$H265,"Account_Type")</f>
        <v>NON LABOR</v>
      </c>
      <c r="G265" s="34" t="str">
        <f>_xll.DBR($B$18,$H265,"Description")</f>
        <v>Company Owned Equipment</v>
      </c>
      <c r="H265" s="43" t="s">
        <v>417</v>
      </c>
      <c r="I265" s="36">
        <f>_xll.DBRW($E$12,$F$16,$F$17,$F$18,$E265,$F$20,I$22,$H265,$F$19)</f>
        <v>920</v>
      </c>
      <c r="J265" s="36">
        <f>_xll.DBRW($E$12,$F$16,$F$17,$F$18,$E265,$F$20,J$22,$H265,$F$19)</f>
        <v>690</v>
      </c>
      <c r="K265" s="36">
        <f>_xll.DBRW($E$12,$F$16,$F$17,$F$18,$E265,$F$20,K$22,$H265,$F$19)</f>
        <v>920</v>
      </c>
      <c r="L265" s="36">
        <f>_xll.DBRW($E$12,$F$16,$F$17,$F$18,$E265,$F$20,L$22,$H265,$F$19)</f>
        <v>920</v>
      </c>
      <c r="M265" s="36">
        <f>_xll.DBRW($E$12,$F$16,$F$17,$F$18,$E265,$F$20,M$22,$H265,$F$19)</f>
        <v>1150</v>
      </c>
      <c r="N265" s="36">
        <f>_xll.DBRW($E$12,$F$16,$F$17,$F$18,$E265,$F$20,N$22,$H265,$F$19)</f>
        <v>460</v>
      </c>
      <c r="O265" s="36">
        <f>_xll.DBRW($E$12,$F$16,$F$17,$F$18,$E265,$F$20,O$22,$H265,$F$19)</f>
        <v>230</v>
      </c>
      <c r="P265" s="36">
        <f>_xll.DBRW($E$12,$F$16,$F$17,$F$18,$E265,$F$20,P$22,$H265,$F$19)</f>
        <v>0</v>
      </c>
      <c r="Q265" s="36">
        <f>_xll.DBRW($E$12,$F$16,$F$17,$F$18,$E265,$F$20,Q$22,$H265,$F$19)</f>
        <v>0</v>
      </c>
      <c r="R265" s="36">
        <f>_xll.DBRW($E$12,$F$16,$F$17,$F$18,$E265,$F$20,R$22,$H265,$F$19)</f>
        <v>0</v>
      </c>
      <c r="S265" s="36">
        <f>_xll.DBRW($E$12,$F$16,$F$17,$F$18,$E265,$F$20,S$22,$H265,$F$19)</f>
        <v>0</v>
      </c>
      <c r="T265" s="36">
        <f>_xll.DBRW($E$12,$F$16,$F$17,$F$18,$E265,$F$20,T$22,$H265,$F$19)</f>
        <v>0</v>
      </c>
      <c r="U265" s="36">
        <f>_xll.DBRW($E$12,$F$16,$F$17,$F$18,$E265,$F$20,U$22,$H265,$F$19)</f>
        <v>5290</v>
      </c>
    </row>
    <row r="266" spans="4:21" s="37" customFormat="1" ht="15" outlineLevel="1" thickBot="1" x14ac:dyDescent="0.35">
      <c r="D266" s="33" t="str">
        <f>IF(_xll.TM1RPTELISCONSOLIDATED($H$34,$H266),IF(_xll.TM1RPTELLEV($H$34,$H266)&lt;=5,_xll.TM1RPTELLEV($H$34,$H266),"Default"),"Leaf")</f>
        <v>Leaf</v>
      </c>
      <c r="E266" s="42" t="s">
        <v>673</v>
      </c>
      <c r="F266" s="34" t="str">
        <f>_xll.DBR($B$18,$H266,"Account_Type")</f>
        <v>NON LABOR</v>
      </c>
      <c r="G266" s="34" t="str">
        <f>_xll.DBR($B$18,$H266,"Description")</f>
        <v>Fuel to Company Owned Equipment</v>
      </c>
      <c r="H266" s="43" t="s">
        <v>431</v>
      </c>
      <c r="I266" s="36">
        <f>_xll.DBRW($E$12,$F$16,$F$17,$F$18,$E266,$F$20,I$22,$H266,$F$19)</f>
        <v>954.18</v>
      </c>
      <c r="J266" s="36">
        <f>_xll.DBRW($E$12,$F$16,$F$17,$F$18,$E266,$F$20,J$22,$H266,$F$19)</f>
        <v>1133.95</v>
      </c>
      <c r="K266" s="36">
        <f>_xll.DBRW($E$12,$F$16,$F$17,$F$18,$E266,$F$20,K$22,$H266,$F$19)</f>
        <v>1292.79</v>
      </c>
      <c r="L266" s="36">
        <f>_xll.DBRW($E$12,$F$16,$F$17,$F$18,$E266,$F$20,L$22,$H266,$F$19)</f>
        <v>1080.68</v>
      </c>
      <c r="M266" s="36">
        <f>_xll.DBRW($E$12,$F$16,$F$17,$F$18,$E266,$F$20,M$22,$H266,$F$19)</f>
        <v>1878.9</v>
      </c>
      <c r="N266" s="36">
        <f>_xll.DBRW($E$12,$F$16,$F$17,$F$18,$E266,$F$20,N$22,$H266,$F$19)</f>
        <v>900.67</v>
      </c>
      <c r="O266" s="36">
        <f>_xll.DBRW($E$12,$F$16,$F$17,$F$18,$E266,$F$20,O$22,$H266,$F$19)</f>
        <v>288.38</v>
      </c>
      <c r="P266" s="36">
        <f>_xll.DBRW($E$12,$F$16,$F$17,$F$18,$E266,$F$20,P$22,$H266,$F$19)</f>
        <v>0</v>
      </c>
      <c r="Q266" s="36">
        <f>_xll.DBRW($E$12,$F$16,$F$17,$F$18,$E266,$F$20,Q$22,$H266,$F$19)</f>
        <v>0</v>
      </c>
      <c r="R266" s="36">
        <f>_xll.DBRW($E$12,$F$16,$F$17,$F$18,$E266,$F$20,R$22,$H266,$F$19)</f>
        <v>0</v>
      </c>
      <c r="S266" s="36">
        <f>_xll.DBRW($E$12,$F$16,$F$17,$F$18,$E266,$F$20,S$22,$H266,$F$19)</f>
        <v>0</v>
      </c>
      <c r="T266" s="36">
        <f>_xll.DBRW($E$12,$F$16,$F$17,$F$18,$E266,$F$20,T$22,$H266,$F$19)</f>
        <v>0</v>
      </c>
      <c r="U266" s="36">
        <f>_xll.DBRW($E$12,$F$16,$F$17,$F$18,$E266,$F$20,U$22,$H266,$F$19)</f>
        <v>7529.55</v>
      </c>
    </row>
    <row r="267" spans="4:21" s="37" customFormat="1" ht="15" outlineLevel="1" thickBot="1" x14ac:dyDescent="0.35">
      <c r="D267" s="33" t="str">
        <f>IF(_xll.TM1RPTELISCONSOLIDATED($H$34,$H267),IF(_xll.TM1RPTELLEV($H$34,$H267)&lt;=5,_xll.TM1RPTELLEV($H$34,$H267),"Default"),"Leaf")</f>
        <v>Leaf</v>
      </c>
      <c r="E267" s="42" t="s">
        <v>673</v>
      </c>
      <c r="F267" s="34" t="str">
        <f>_xll.DBR($B$18,$H267,"Account_Type")</f>
        <v>NON LABOR</v>
      </c>
      <c r="G267" s="34" t="str">
        <f>_xll.DBR($B$18,$H267,"Description")</f>
        <v>Corporate Allocation</v>
      </c>
      <c r="H267" s="43" t="s">
        <v>453</v>
      </c>
      <c r="I267" s="36">
        <f>_xll.DBRW($E$12,$F$16,$F$17,$F$18,$E267,$F$20,I$22,$H267,$F$19)</f>
        <v>183426.07</v>
      </c>
      <c r="J267" s="36">
        <f>_xll.DBRW($E$12,$F$16,$F$17,$F$18,$E267,$F$20,J$22,$H267,$F$19)</f>
        <v>175614.93</v>
      </c>
      <c r="K267" s="36">
        <f>_xll.DBRW($E$12,$F$16,$F$17,$F$18,$E267,$F$20,K$22,$H267,$F$19)</f>
        <v>280937.90999999997</v>
      </c>
      <c r="L267" s="36">
        <f>_xll.DBRW($E$12,$F$16,$F$17,$F$18,$E267,$F$20,L$22,$H267,$F$19)</f>
        <v>329832.18</v>
      </c>
      <c r="M267" s="36">
        <f>_xll.DBRW($E$12,$F$16,$F$17,$F$18,$E267,$F$20,M$22,$H267,$F$19)</f>
        <v>373234.15</v>
      </c>
      <c r="N267" s="36">
        <f>_xll.DBRW($E$12,$F$16,$F$17,$F$18,$E267,$F$20,N$22,$H267,$F$19)</f>
        <v>0</v>
      </c>
      <c r="O267" s="36">
        <f>_xll.DBRW($E$12,$F$16,$F$17,$F$18,$E267,$F$20,O$22,$H267,$F$19)</f>
        <v>0</v>
      </c>
      <c r="P267" s="36">
        <f>_xll.DBRW($E$12,$F$16,$F$17,$F$18,$E267,$F$20,P$22,$H267,$F$19)</f>
        <v>0</v>
      </c>
      <c r="Q267" s="36">
        <f>_xll.DBRW($E$12,$F$16,$F$17,$F$18,$E267,$F$20,Q$22,$H267,$F$19)</f>
        <v>0</v>
      </c>
      <c r="R267" s="36">
        <f>_xll.DBRW($E$12,$F$16,$F$17,$F$18,$E267,$F$20,R$22,$H267,$F$19)</f>
        <v>0</v>
      </c>
      <c r="S267" s="36">
        <f>_xll.DBRW($E$12,$F$16,$F$17,$F$18,$E267,$F$20,S$22,$H267,$F$19)</f>
        <v>0</v>
      </c>
      <c r="T267" s="36">
        <f>_xll.DBRW($E$12,$F$16,$F$17,$F$18,$E267,$F$20,T$22,$H267,$F$19)</f>
        <v>0</v>
      </c>
      <c r="U267" s="36">
        <f>_xll.DBRW($E$12,$F$16,$F$17,$F$18,$E267,$F$20,U$22,$H267,$F$19)</f>
        <v>1343045.2399999998</v>
      </c>
    </row>
    <row r="268" spans="4:21" s="37" customFormat="1" ht="15" outlineLevel="1" thickBot="1" x14ac:dyDescent="0.35">
      <c r="D268" s="33" t="str">
        <f>IF(_xll.TM1RPTELISCONSOLIDATED($H$34,$H268),IF(_xll.TM1RPTELLEV($H$34,$H268)&lt;=5,_xll.TM1RPTELLEV($H$34,$H268),"Default"),"Leaf")</f>
        <v>Leaf</v>
      </c>
      <c r="E268" s="42" t="s">
        <v>674</v>
      </c>
      <c r="F268" s="34" t="str">
        <f>_xll.DBR($B$18,$H268,"Account_Type")</f>
        <v>NON LABOR</v>
      </c>
      <c r="G268" s="34" t="str">
        <f>_xll.DBR($B$18,$H268,"Description")</f>
        <v>Travel &amp; Lodging</v>
      </c>
      <c r="H268" s="43" t="s">
        <v>69</v>
      </c>
      <c r="I268" s="36">
        <f>_xll.DBRW($E$12,$F$16,$F$17,$F$18,$E268,$F$20,I$22,$H268,$F$19)</f>
        <v>20.55</v>
      </c>
      <c r="J268" s="36">
        <f>_xll.DBRW($E$12,$F$16,$F$17,$F$18,$E268,$F$20,J$22,$H268,$F$19)</f>
        <v>0</v>
      </c>
      <c r="K268" s="36">
        <f>_xll.DBRW($E$12,$F$16,$F$17,$F$18,$E268,$F$20,K$22,$H268,$F$19)</f>
        <v>1450.22</v>
      </c>
      <c r="L268" s="36">
        <f>_xll.DBRW($E$12,$F$16,$F$17,$F$18,$E268,$F$20,L$22,$H268,$F$19)</f>
        <v>0</v>
      </c>
      <c r="M268" s="36">
        <f>_xll.DBRW($E$12,$F$16,$F$17,$F$18,$E268,$F$20,M$22,$H268,$F$19)</f>
        <v>0</v>
      </c>
      <c r="N268" s="36">
        <f>_xll.DBRW($E$12,$F$16,$F$17,$F$18,$E268,$F$20,N$22,$H268,$F$19)</f>
        <v>0</v>
      </c>
      <c r="O268" s="36">
        <f>_xll.DBRW($E$12,$F$16,$F$17,$F$18,$E268,$F$20,O$22,$H268,$F$19)</f>
        <v>0</v>
      </c>
      <c r="P268" s="36">
        <f>_xll.DBRW($E$12,$F$16,$F$17,$F$18,$E268,$F$20,P$22,$H268,$F$19)</f>
        <v>0</v>
      </c>
      <c r="Q268" s="36">
        <f>_xll.DBRW($E$12,$F$16,$F$17,$F$18,$E268,$F$20,Q$22,$H268,$F$19)</f>
        <v>0</v>
      </c>
      <c r="R268" s="36">
        <f>_xll.DBRW($E$12,$F$16,$F$17,$F$18,$E268,$F$20,R$22,$H268,$F$19)</f>
        <v>0</v>
      </c>
      <c r="S268" s="36">
        <f>_xll.DBRW($E$12,$F$16,$F$17,$F$18,$E268,$F$20,S$22,$H268,$F$19)</f>
        <v>0</v>
      </c>
      <c r="T268" s="36">
        <f>_xll.DBRW($E$12,$F$16,$F$17,$F$18,$E268,$F$20,T$22,$H268,$F$19)</f>
        <v>0</v>
      </c>
      <c r="U268" s="36">
        <f>_xll.DBRW($E$12,$F$16,$F$17,$F$18,$E268,$F$20,U$22,$H268,$F$19)</f>
        <v>1470.77</v>
      </c>
    </row>
    <row r="269" spans="4:21" s="37" customFormat="1" ht="15" outlineLevel="1" thickBot="1" x14ac:dyDescent="0.35">
      <c r="D269" s="33" t="str">
        <f>IF(_xll.TM1RPTELISCONSOLIDATED($H$34,$H269),IF(_xll.TM1RPTELLEV($H$34,$H269)&lt;=5,_xll.TM1RPTELLEV($H$34,$H269),"Default"),"Leaf")</f>
        <v>Leaf</v>
      </c>
      <c r="E269" s="42" t="s">
        <v>674</v>
      </c>
      <c r="F269" s="34" t="str">
        <f>_xll.DBR($B$18,$H269,"Account_Type")</f>
        <v>NON LABOR</v>
      </c>
      <c r="G269" s="34" t="str">
        <f>_xll.DBR($B$18,$H269,"Description")</f>
        <v>Client Development</v>
      </c>
      <c r="H269" s="43" t="s">
        <v>82</v>
      </c>
      <c r="I269" s="36">
        <f>_xll.DBRW($E$12,$F$16,$F$17,$F$18,$E269,$F$20,I$22,$H269,$F$19)</f>
        <v>218.65</v>
      </c>
      <c r="J269" s="36">
        <f>_xll.DBRW($E$12,$F$16,$F$17,$F$18,$E269,$F$20,J$22,$H269,$F$19)</f>
        <v>0</v>
      </c>
      <c r="K269" s="36">
        <f>_xll.DBRW($E$12,$F$16,$F$17,$F$18,$E269,$F$20,K$22,$H269,$F$19)</f>
        <v>448.93</v>
      </c>
      <c r="L269" s="36">
        <f>_xll.DBRW($E$12,$F$16,$F$17,$F$18,$E269,$F$20,L$22,$H269,$F$19)</f>
        <v>126.11</v>
      </c>
      <c r="M269" s="36">
        <f>_xll.DBRW($E$12,$F$16,$F$17,$F$18,$E269,$F$20,M$22,$H269,$F$19)</f>
        <v>155.22</v>
      </c>
      <c r="N269" s="36">
        <f>_xll.DBRW($E$12,$F$16,$F$17,$F$18,$E269,$F$20,N$22,$H269,$F$19)</f>
        <v>372.16</v>
      </c>
      <c r="O269" s="36">
        <f>_xll.DBRW($E$12,$F$16,$F$17,$F$18,$E269,$F$20,O$22,$H269,$F$19)</f>
        <v>0</v>
      </c>
      <c r="P269" s="36">
        <f>_xll.DBRW($E$12,$F$16,$F$17,$F$18,$E269,$F$20,P$22,$H269,$F$19)</f>
        <v>0</v>
      </c>
      <c r="Q269" s="36">
        <f>_xll.DBRW($E$12,$F$16,$F$17,$F$18,$E269,$F$20,Q$22,$H269,$F$19)</f>
        <v>0</v>
      </c>
      <c r="R269" s="36">
        <f>_xll.DBRW($E$12,$F$16,$F$17,$F$18,$E269,$F$20,R$22,$H269,$F$19)</f>
        <v>0</v>
      </c>
      <c r="S269" s="36">
        <f>_xll.DBRW($E$12,$F$16,$F$17,$F$18,$E269,$F$20,S$22,$H269,$F$19)</f>
        <v>0</v>
      </c>
      <c r="T269" s="36">
        <f>_xll.DBRW($E$12,$F$16,$F$17,$F$18,$E269,$F$20,T$22,$H269,$F$19)</f>
        <v>0</v>
      </c>
      <c r="U269" s="36">
        <f>_xll.DBRW($E$12,$F$16,$F$17,$F$18,$E269,$F$20,U$22,$H269,$F$19)</f>
        <v>1321.0700000000002</v>
      </c>
    </row>
    <row r="270" spans="4:21" s="37" customFormat="1" ht="15" outlineLevel="1" thickBot="1" x14ac:dyDescent="0.35">
      <c r="D270" s="33" t="str">
        <f>IF(_xll.TM1RPTELISCONSOLIDATED($H$34,$H270),IF(_xll.TM1RPTELLEV($H$34,$H270)&lt;=5,_xll.TM1RPTELLEV($H$34,$H270),"Default"),"Leaf")</f>
        <v>Leaf</v>
      </c>
      <c r="E270" s="42" t="s">
        <v>674</v>
      </c>
      <c r="F270" s="34" t="str">
        <f>_xll.DBR($B$18,$H270,"Account_Type")</f>
        <v>NON LABOR</v>
      </c>
      <c r="G270" s="34" t="str">
        <f>_xll.DBR($B$18,$H270,"Description")</f>
        <v>Business Meals &amp; Entertainment</v>
      </c>
      <c r="H270" s="43" t="s">
        <v>100</v>
      </c>
      <c r="I270" s="36">
        <f>_xll.DBRW($E$12,$F$16,$F$17,$F$18,$E270,$F$20,I$22,$H270,$F$19)</f>
        <v>0</v>
      </c>
      <c r="J270" s="36">
        <f>_xll.DBRW($E$12,$F$16,$F$17,$F$18,$E270,$F$20,J$22,$H270,$F$19)</f>
        <v>155.63999999999999</v>
      </c>
      <c r="K270" s="36">
        <f>_xll.DBRW($E$12,$F$16,$F$17,$F$18,$E270,$F$20,K$22,$H270,$F$19)</f>
        <v>0</v>
      </c>
      <c r="L270" s="36">
        <f>_xll.DBRW($E$12,$F$16,$F$17,$F$18,$E270,$F$20,L$22,$H270,$F$19)</f>
        <v>84.09</v>
      </c>
      <c r="M270" s="36">
        <f>_xll.DBRW($E$12,$F$16,$F$17,$F$18,$E270,$F$20,M$22,$H270,$F$19)</f>
        <v>55.64</v>
      </c>
      <c r="N270" s="36">
        <f>_xll.DBRW($E$12,$F$16,$F$17,$F$18,$E270,$F$20,N$22,$H270,$F$19)</f>
        <v>0</v>
      </c>
      <c r="O270" s="36">
        <f>_xll.DBRW($E$12,$F$16,$F$17,$F$18,$E270,$F$20,O$22,$H270,$F$19)</f>
        <v>0</v>
      </c>
      <c r="P270" s="36">
        <f>_xll.DBRW($E$12,$F$16,$F$17,$F$18,$E270,$F$20,P$22,$H270,$F$19)</f>
        <v>0</v>
      </c>
      <c r="Q270" s="36">
        <f>_xll.DBRW($E$12,$F$16,$F$17,$F$18,$E270,$F$20,Q$22,$H270,$F$19)</f>
        <v>0</v>
      </c>
      <c r="R270" s="36">
        <f>_xll.DBRW($E$12,$F$16,$F$17,$F$18,$E270,$F$20,R$22,$H270,$F$19)</f>
        <v>0</v>
      </c>
      <c r="S270" s="36">
        <f>_xll.DBRW($E$12,$F$16,$F$17,$F$18,$E270,$F$20,S$22,$H270,$F$19)</f>
        <v>0</v>
      </c>
      <c r="T270" s="36">
        <f>_xll.DBRW($E$12,$F$16,$F$17,$F$18,$E270,$F$20,T$22,$H270,$F$19)</f>
        <v>0</v>
      </c>
      <c r="U270" s="36">
        <f>_xll.DBRW($E$12,$F$16,$F$17,$F$18,$E270,$F$20,U$22,$H270,$F$19)</f>
        <v>295.37</v>
      </c>
    </row>
    <row r="271" spans="4:21" s="37" customFormat="1" ht="15" outlineLevel="1" thickBot="1" x14ac:dyDescent="0.35">
      <c r="D271" s="33" t="str">
        <f>IF(_xll.TM1RPTELISCONSOLIDATED($H$34,$H271),IF(_xll.TM1RPTELLEV($H$34,$H271)&lt;=5,_xll.TM1RPTELLEV($H$34,$H271),"Default"),"Leaf")</f>
        <v>Leaf</v>
      </c>
      <c r="E271" s="42" t="s">
        <v>674</v>
      </c>
      <c r="F271" s="34" t="str">
        <f>_xll.DBR($B$18,$H271,"Account_Type")</f>
        <v>NON LABOR</v>
      </c>
      <c r="G271" s="34" t="str">
        <f>_xll.DBR($B$18,$H271,"Description")</f>
        <v>Business Meals &amp; Entertainment</v>
      </c>
      <c r="H271" s="43" t="s">
        <v>101</v>
      </c>
      <c r="I271" s="36">
        <f>_xll.DBRW($E$12,$F$16,$F$17,$F$18,$E271,$F$20,I$22,$H271,$F$19)</f>
        <v>40.44</v>
      </c>
      <c r="J271" s="36">
        <f>_xll.DBRW($E$12,$F$16,$F$17,$F$18,$E271,$F$20,J$22,$H271,$F$19)</f>
        <v>183.57</v>
      </c>
      <c r="K271" s="36">
        <f>_xll.DBRW($E$12,$F$16,$F$17,$F$18,$E271,$F$20,K$22,$H271,$F$19)</f>
        <v>135.1</v>
      </c>
      <c r="L271" s="36">
        <f>_xll.DBRW($E$12,$F$16,$F$17,$F$18,$E271,$F$20,L$22,$H271,$F$19)</f>
        <v>84.09</v>
      </c>
      <c r="M271" s="36">
        <f>_xll.DBRW($E$12,$F$16,$F$17,$F$18,$E271,$F$20,M$22,$H271,$F$19)</f>
        <v>302.01</v>
      </c>
      <c r="N271" s="36">
        <f>_xll.DBRW($E$12,$F$16,$F$17,$F$18,$E271,$F$20,N$22,$H271,$F$19)</f>
        <v>85.73</v>
      </c>
      <c r="O271" s="36">
        <f>_xll.DBRW($E$12,$F$16,$F$17,$F$18,$E271,$F$20,O$22,$H271,$F$19)</f>
        <v>0</v>
      </c>
      <c r="P271" s="36">
        <f>_xll.DBRW($E$12,$F$16,$F$17,$F$18,$E271,$F$20,P$22,$H271,$F$19)</f>
        <v>0</v>
      </c>
      <c r="Q271" s="36">
        <f>_xll.DBRW($E$12,$F$16,$F$17,$F$18,$E271,$F$20,Q$22,$H271,$F$19)</f>
        <v>0</v>
      </c>
      <c r="R271" s="36">
        <f>_xll.DBRW($E$12,$F$16,$F$17,$F$18,$E271,$F$20,R$22,$H271,$F$19)</f>
        <v>0</v>
      </c>
      <c r="S271" s="36">
        <f>_xll.DBRW($E$12,$F$16,$F$17,$F$18,$E271,$F$20,S$22,$H271,$F$19)</f>
        <v>0</v>
      </c>
      <c r="T271" s="36">
        <f>_xll.DBRW($E$12,$F$16,$F$17,$F$18,$E271,$F$20,T$22,$H271,$F$19)</f>
        <v>0</v>
      </c>
      <c r="U271" s="36">
        <f>_xll.DBRW($E$12,$F$16,$F$17,$F$18,$E271,$F$20,U$22,$H271,$F$19)</f>
        <v>830.94</v>
      </c>
    </row>
    <row r="272" spans="4:21" s="37" customFormat="1" ht="15" outlineLevel="1" thickBot="1" x14ac:dyDescent="0.35">
      <c r="D272" s="33" t="str">
        <f>IF(_xll.TM1RPTELISCONSOLIDATED($H$34,$H272),IF(_xll.TM1RPTELLEV($H$34,$H272)&lt;=5,_xll.TM1RPTELLEV($H$34,$H272),"Default"),"Leaf")</f>
        <v>Leaf</v>
      </c>
      <c r="E272" s="42" t="s">
        <v>674</v>
      </c>
      <c r="F272" s="34" t="str">
        <f>_xll.DBR($B$18,$H272,"Account_Type")</f>
        <v>NON LABOR</v>
      </c>
      <c r="G272" s="34" t="str">
        <f>_xll.DBR($B$18,$H272,"Description")</f>
        <v>Telecommunications / Internet</v>
      </c>
      <c r="H272" s="43" t="s">
        <v>120</v>
      </c>
      <c r="I272" s="36">
        <f>_xll.DBRW($E$12,$F$16,$F$17,$F$18,$E272,$F$20,I$22,$H272,$F$19)</f>
        <v>1127.28</v>
      </c>
      <c r="J272" s="36">
        <f>_xll.DBRW($E$12,$F$16,$F$17,$F$18,$E272,$F$20,J$22,$H272,$F$19)</f>
        <v>3151.72</v>
      </c>
      <c r="K272" s="36">
        <f>_xll.DBRW($E$12,$F$16,$F$17,$F$18,$E272,$F$20,K$22,$H272,$F$19)</f>
        <v>16116.65</v>
      </c>
      <c r="L272" s="36">
        <f>_xll.DBRW($E$12,$F$16,$F$17,$F$18,$E272,$F$20,L$22,$H272,$F$19)</f>
        <v>2020.08</v>
      </c>
      <c r="M272" s="36">
        <f>_xll.DBRW($E$12,$F$16,$F$17,$F$18,$E272,$F$20,M$22,$H272,$F$19)</f>
        <v>7265.99</v>
      </c>
      <c r="N272" s="36">
        <f>_xll.DBRW($E$12,$F$16,$F$17,$F$18,$E272,$F$20,N$22,$H272,$F$19)</f>
        <v>209.27</v>
      </c>
      <c r="O272" s="36">
        <f>_xll.DBRW($E$12,$F$16,$F$17,$F$18,$E272,$F$20,O$22,$H272,$F$19)</f>
        <v>1151.03</v>
      </c>
      <c r="P272" s="36">
        <f>_xll.DBRW($E$12,$F$16,$F$17,$F$18,$E272,$F$20,P$22,$H272,$F$19)</f>
        <v>0</v>
      </c>
      <c r="Q272" s="36">
        <f>_xll.DBRW($E$12,$F$16,$F$17,$F$18,$E272,$F$20,Q$22,$H272,$F$19)</f>
        <v>0</v>
      </c>
      <c r="R272" s="36">
        <f>_xll.DBRW($E$12,$F$16,$F$17,$F$18,$E272,$F$20,R$22,$H272,$F$19)</f>
        <v>0</v>
      </c>
      <c r="S272" s="36">
        <f>_xll.DBRW($E$12,$F$16,$F$17,$F$18,$E272,$F$20,S$22,$H272,$F$19)</f>
        <v>0</v>
      </c>
      <c r="T272" s="36">
        <f>_xll.DBRW($E$12,$F$16,$F$17,$F$18,$E272,$F$20,T$22,$H272,$F$19)</f>
        <v>0</v>
      </c>
      <c r="U272" s="36">
        <f>_xll.DBRW($E$12,$F$16,$F$17,$F$18,$E272,$F$20,U$22,$H272,$F$19)</f>
        <v>31042.02</v>
      </c>
    </row>
    <row r="273" spans="4:21" s="37" customFormat="1" ht="15" outlineLevel="1" thickBot="1" x14ac:dyDescent="0.35">
      <c r="D273" s="33" t="str">
        <f>IF(_xll.TM1RPTELISCONSOLIDATED($H$34,$H273),IF(_xll.TM1RPTELLEV($H$34,$H273)&lt;=5,_xll.TM1RPTELLEV($H$34,$H273),"Default"),"Leaf")</f>
        <v>Leaf</v>
      </c>
      <c r="E273" s="42" t="s">
        <v>674</v>
      </c>
      <c r="F273" s="34" t="str">
        <f>_xll.DBR($B$18,$H273,"Account_Type")</f>
        <v>NON LABOR</v>
      </c>
      <c r="G273" s="34" t="str">
        <f>_xll.DBR($B$18,$H273,"Description")</f>
        <v>Telecommunications / Internet</v>
      </c>
      <c r="H273" s="43" t="s">
        <v>121</v>
      </c>
      <c r="I273" s="36">
        <f>_xll.DBRW($E$12,$F$16,$F$17,$F$18,$E273,$F$20,I$22,$H273,$F$19)</f>
        <v>1142</v>
      </c>
      <c r="J273" s="36">
        <f>_xll.DBRW($E$12,$F$16,$F$17,$F$18,$E273,$F$20,J$22,$H273,$F$19)</f>
        <v>4135.1099999999997</v>
      </c>
      <c r="K273" s="36">
        <f>_xll.DBRW($E$12,$F$16,$F$17,$F$18,$E273,$F$20,K$22,$H273,$F$19)</f>
        <v>4641.3599999999997</v>
      </c>
      <c r="L273" s="36">
        <f>_xll.DBRW($E$12,$F$16,$F$17,$F$18,$E273,$F$20,L$22,$H273,$F$19)</f>
        <v>932.12</v>
      </c>
      <c r="M273" s="36">
        <f>_xll.DBRW($E$12,$F$16,$F$17,$F$18,$E273,$F$20,M$22,$H273,$F$19)</f>
        <v>4332.3599999999997</v>
      </c>
      <c r="N273" s="36">
        <f>_xll.DBRW($E$12,$F$16,$F$17,$F$18,$E273,$F$20,N$22,$H273,$F$19)</f>
        <v>300.12</v>
      </c>
      <c r="O273" s="36">
        <f>_xll.DBRW($E$12,$F$16,$F$17,$F$18,$E273,$F$20,O$22,$H273,$F$19)</f>
        <v>1151.05</v>
      </c>
      <c r="P273" s="36">
        <f>_xll.DBRW($E$12,$F$16,$F$17,$F$18,$E273,$F$20,P$22,$H273,$F$19)</f>
        <v>0</v>
      </c>
      <c r="Q273" s="36">
        <f>_xll.DBRW($E$12,$F$16,$F$17,$F$18,$E273,$F$20,Q$22,$H273,$F$19)</f>
        <v>0</v>
      </c>
      <c r="R273" s="36">
        <f>_xll.DBRW($E$12,$F$16,$F$17,$F$18,$E273,$F$20,R$22,$H273,$F$19)</f>
        <v>0</v>
      </c>
      <c r="S273" s="36">
        <f>_xll.DBRW($E$12,$F$16,$F$17,$F$18,$E273,$F$20,S$22,$H273,$F$19)</f>
        <v>0</v>
      </c>
      <c r="T273" s="36">
        <f>_xll.DBRW($E$12,$F$16,$F$17,$F$18,$E273,$F$20,T$22,$H273,$F$19)</f>
        <v>0</v>
      </c>
      <c r="U273" s="36">
        <f>_xll.DBRW($E$12,$F$16,$F$17,$F$18,$E273,$F$20,U$22,$H273,$F$19)</f>
        <v>16634.120000000003</v>
      </c>
    </row>
    <row r="274" spans="4:21" s="37" customFormat="1" ht="15" outlineLevel="1" thickBot="1" x14ac:dyDescent="0.35">
      <c r="D274" s="33" t="str">
        <f>IF(_xll.TM1RPTELISCONSOLIDATED($H$34,$H274),IF(_xll.TM1RPTELLEV($H$34,$H274)&lt;=5,_xll.TM1RPTELLEV($H$34,$H274),"Default"),"Leaf")</f>
        <v>Leaf</v>
      </c>
      <c r="E274" s="42" t="s">
        <v>674</v>
      </c>
      <c r="F274" s="34" t="str">
        <f>_xll.DBR($B$18,$H274,"Account_Type")</f>
        <v>NON LABOR</v>
      </c>
      <c r="G274" s="34" t="str">
        <f>_xll.DBR($B$18,$H274,"Description")</f>
        <v>Telecommunications / Internet</v>
      </c>
      <c r="H274" s="43" t="s">
        <v>122</v>
      </c>
      <c r="I274" s="36">
        <f>_xll.DBRW($E$12,$F$16,$F$17,$F$18,$E274,$F$20,I$22,$H274,$F$19)</f>
        <v>31.95</v>
      </c>
      <c r="J274" s="36">
        <f>_xll.DBRW($E$12,$F$16,$F$17,$F$18,$E274,$F$20,J$22,$H274,$F$19)</f>
        <v>31.94</v>
      </c>
      <c r="K274" s="36">
        <f>_xll.DBRW($E$12,$F$16,$F$17,$F$18,$E274,$F$20,K$22,$H274,$F$19)</f>
        <v>31.94</v>
      </c>
      <c r="L274" s="36">
        <f>_xll.DBRW($E$12,$F$16,$F$17,$F$18,$E274,$F$20,L$22,$H274,$F$19)</f>
        <v>31.94</v>
      </c>
      <c r="M274" s="36">
        <f>_xll.DBRW($E$12,$F$16,$F$17,$F$18,$E274,$F$20,M$22,$H274,$F$19)</f>
        <v>31.92</v>
      </c>
      <c r="N274" s="36">
        <f>_xll.DBRW($E$12,$F$16,$F$17,$F$18,$E274,$F$20,N$22,$H274,$F$19)</f>
        <v>31.92</v>
      </c>
      <c r="O274" s="36">
        <f>_xll.DBRW($E$12,$F$16,$F$17,$F$18,$E274,$F$20,O$22,$H274,$F$19)</f>
        <v>0</v>
      </c>
      <c r="P274" s="36">
        <f>_xll.DBRW($E$12,$F$16,$F$17,$F$18,$E274,$F$20,P$22,$H274,$F$19)</f>
        <v>0</v>
      </c>
      <c r="Q274" s="36">
        <f>_xll.DBRW($E$12,$F$16,$F$17,$F$18,$E274,$F$20,Q$22,$H274,$F$19)</f>
        <v>0</v>
      </c>
      <c r="R274" s="36">
        <f>_xll.DBRW($E$12,$F$16,$F$17,$F$18,$E274,$F$20,R$22,$H274,$F$19)</f>
        <v>0</v>
      </c>
      <c r="S274" s="36">
        <f>_xll.DBRW($E$12,$F$16,$F$17,$F$18,$E274,$F$20,S$22,$H274,$F$19)</f>
        <v>0</v>
      </c>
      <c r="T274" s="36">
        <f>_xll.DBRW($E$12,$F$16,$F$17,$F$18,$E274,$F$20,T$22,$H274,$F$19)</f>
        <v>0</v>
      </c>
      <c r="U274" s="36">
        <f>_xll.DBRW($E$12,$F$16,$F$17,$F$18,$E274,$F$20,U$22,$H274,$F$19)</f>
        <v>191.61</v>
      </c>
    </row>
    <row r="275" spans="4:21" s="37" customFormat="1" ht="15" outlineLevel="1" thickBot="1" x14ac:dyDescent="0.35">
      <c r="D275" s="33" t="str">
        <f>IF(_xll.TM1RPTELISCONSOLIDATED($H$34,$H275),IF(_xll.TM1RPTELLEV($H$34,$H275)&lt;=5,_xll.TM1RPTELLEV($H$34,$H275),"Default"),"Leaf")</f>
        <v>Leaf</v>
      </c>
      <c r="E275" s="42" t="s">
        <v>674</v>
      </c>
      <c r="F275" s="34" t="str">
        <f>_xll.DBR($B$18,$H275,"Account_Type")</f>
        <v>NON LABOR</v>
      </c>
      <c r="G275" s="34" t="str">
        <f>_xll.DBR($B$18,$H275,"Description")</f>
        <v>Office/Computer Supplies &amp; Eqpt</v>
      </c>
      <c r="H275" s="43" t="s">
        <v>139</v>
      </c>
      <c r="I275" s="36">
        <f>_xll.DBRW($E$12,$F$16,$F$17,$F$18,$E275,$F$20,I$22,$H275,$F$19)</f>
        <v>1240.8800000000001</v>
      </c>
      <c r="J275" s="36">
        <f>_xll.DBRW($E$12,$F$16,$F$17,$F$18,$E275,$F$20,J$22,$H275,$F$19)</f>
        <v>2318.56</v>
      </c>
      <c r="K275" s="36">
        <f>_xll.DBRW($E$12,$F$16,$F$17,$F$18,$E275,$F$20,K$22,$H275,$F$19)</f>
        <v>699.55</v>
      </c>
      <c r="L275" s="36">
        <f>_xll.DBRW($E$12,$F$16,$F$17,$F$18,$E275,$F$20,L$22,$H275,$F$19)</f>
        <v>588.9</v>
      </c>
      <c r="M275" s="36">
        <f>_xll.DBRW($E$12,$F$16,$F$17,$F$18,$E275,$F$20,M$22,$H275,$F$19)</f>
        <v>1474.15</v>
      </c>
      <c r="N275" s="36">
        <f>_xll.DBRW($E$12,$F$16,$F$17,$F$18,$E275,$F$20,N$22,$H275,$F$19)</f>
        <v>-711.79</v>
      </c>
      <c r="O275" s="36">
        <f>_xll.DBRW($E$12,$F$16,$F$17,$F$18,$E275,$F$20,O$22,$H275,$F$19)</f>
        <v>0</v>
      </c>
      <c r="P275" s="36">
        <f>_xll.DBRW($E$12,$F$16,$F$17,$F$18,$E275,$F$20,P$22,$H275,$F$19)</f>
        <v>0</v>
      </c>
      <c r="Q275" s="36">
        <f>_xll.DBRW($E$12,$F$16,$F$17,$F$18,$E275,$F$20,Q$22,$H275,$F$19)</f>
        <v>0</v>
      </c>
      <c r="R275" s="36">
        <f>_xll.DBRW($E$12,$F$16,$F$17,$F$18,$E275,$F$20,R$22,$H275,$F$19)</f>
        <v>0</v>
      </c>
      <c r="S275" s="36">
        <f>_xll.DBRW($E$12,$F$16,$F$17,$F$18,$E275,$F$20,S$22,$H275,$F$19)</f>
        <v>0</v>
      </c>
      <c r="T275" s="36">
        <f>_xll.DBRW($E$12,$F$16,$F$17,$F$18,$E275,$F$20,T$22,$H275,$F$19)</f>
        <v>0</v>
      </c>
      <c r="U275" s="36">
        <f>_xll.DBRW($E$12,$F$16,$F$17,$F$18,$E275,$F$20,U$22,$H275,$F$19)</f>
        <v>5610.2499999999991</v>
      </c>
    </row>
    <row r="276" spans="4:21" s="37" customFormat="1" ht="15" outlineLevel="1" thickBot="1" x14ac:dyDescent="0.35">
      <c r="D276" s="33" t="str">
        <f>IF(_xll.TM1RPTELISCONSOLIDATED($H$34,$H276),IF(_xll.TM1RPTELLEV($H$34,$H276)&lt;=5,_xll.TM1RPTELLEV($H$34,$H276),"Default"),"Leaf")</f>
        <v>Leaf</v>
      </c>
      <c r="E276" s="42" t="s">
        <v>674</v>
      </c>
      <c r="F276" s="34" t="str">
        <f>_xll.DBR($B$18,$H276,"Account_Type")</f>
        <v>NON LABOR</v>
      </c>
      <c r="G276" s="34" t="str">
        <f>_xll.DBR($B$18,$H276,"Description")</f>
        <v>Office/Computer Supplies &amp; Eqpt</v>
      </c>
      <c r="H276" s="43" t="s">
        <v>140</v>
      </c>
      <c r="I276" s="36">
        <f>_xll.DBRW($E$12,$F$16,$F$17,$F$18,$E276,$F$20,I$22,$H276,$F$19)</f>
        <v>373.98</v>
      </c>
      <c r="J276" s="36">
        <f>_xll.DBRW($E$12,$F$16,$F$17,$F$18,$E276,$F$20,J$22,$H276,$F$19)</f>
        <v>422.64</v>
      </c>
      <c r="K276" s="36">
        <f>_xll.DBRW($E$12,$F$16,$F$17,$F$18,$E276,$F$20,K$22,$H276,$F$19)</f>
        <v>338.54</v>
      </c>
      <c r="L276" s="36">
        <f>_xll.DBRW($E$12,$F$16,$F$17,$F$18,$E276,$F$20,L$22,$H276,$F$19)</f>
        <v>363.84</v>
      </c>
      <c r="M276" s="36">
        <f>_xll.DBRW($E$12,$F$16,$F$17,$F$18,$E276,$F$20,M$22,$H276,$F$19)</f>
        <v>392.16</v>
      </c>
      <c r="N276" s="36">
        <f>_xll.DBRW($E$12,$F$16,$F$17,$F$18,$E276,$F$20,N$22,$H276,$F$19)</f>
        <v>0</v>
      </c>
      <c r="O276" s="36">
        <f>_xll.DBRW($E$12,$F$16,$F$17,$F$18,$E276,$F$20,O$22,$H276,$F$19)</f>
        <v>0</v>
      </c>
      <c r="P276" s="36">
        <f>_xll.DBRW($E$12,$F$16,$F$17,$F$18,$E276,$F$20,P$22,$H276,$F$19)</f>
        <v>0</v>
      </c>
      <c r="Q276" s="36">
        <f>_xll.DBRW($E$12,$F$16,$F$17,$F$18,$E276,$F$20,Q$22,$H276,$F$19)</f>
        <v>0</v>
      </c>
      <c r="R276" s="36">
        <f>_xll.DBRW($E$12,$F$16,$F$17,$F$18,$E276,$F$20,R$22,$H276,$F$19)</f>
        <v>0</v>
      </c>
      <c r="S276" s="36">
        <f>_xll.DBRW($E$12,$F$16,$F$17,$F$18,$E276,$F$20,S$22,$H276,$F$19)</f>
        <v>0</v>
      </c>
      <c r="T276" s="36">
        <f>_xll.DBRW($E$12,$F$16,$F$17,$F$18,$E276,$F$20,T$22,$H276,$F$19)</f>
        <v>0</v>
      </c>
      <c r="U276" s="36">
        <f>_xll.DBRW($E$12,$F$16,$F$17,$F$18,$E276,$F$20,U$22,$H276,$F$19)</f>
        <v>1891.16</v>
      </c>
    </row>
    <row r="277" spans="4:21" s="37" customFormat="1" ht="15" outlineLevel="1" thickBot="1" x14ac:dyDescent="0.35">
      <c r="D277" s="33" t="str">
        <f>IF(_xll.TM1RPTELISCONSOLIDATED($H$34,$H277),IF(_xll.TM1RPTELLEV($H$34,$H277)&lt;=5,_xll.TM1RPTELLEV($H$34,$H277),"Default"),"Leaf")</f>
        <v>Leaf</v>
      </c>
      <c r="E277" s="42" t="s">
        <v>674</v>
      </c>
      <c r="F277" s="34" t="str">
        <f>_xll.DBR($B$18,$H277,"Account_Type")</f>
        <v>NON LABOR</v>
      </c>
      <c r="G277" s="34" t="str">
        <f>_xll.DBR($B$18,$H277,"Description")</f>
        <v>Office/Computer Supplies &amp; Eqpt</v>
      </c>
      <c r="H277" s="43" t="s">
        <v>141</v>
      </c>
      <c r="I277" s="36">
        <f>_xll.DBRW($E$12,$F$16,$F$17,$F$18,$E277,$F$20,I$22,$H277,$F$19)</f>
        <v>-78.36</v>
      </c>
      <c r="J277" s="36">
        <f>_xll.DBRW($E$12,$F$16,$F$17,$F$18,$E277,$F$20,J$22,$H277,$F$19)</f>
        <v>86.62</v>
      </c>
      <c r="K277" s="36">
        <f>_xll.DBRW($E$12,$F$16,$F$17,$F$18,$E277,$F$20,K$22,$H277,$F$19)</f>
        <v>86.62</v>
      </c>
      <c r="L277" s="36">
        <f>_xll.DBRW($E$12,$F$16,$F$17,$F$18,$E277,$F$20,L$22,$H277,$F$19)</f>
        <v>86.62</v>
      </c>
      <c r="M277" s="36">
        <f>_xll.DBRW($E$12,$F$16,$F$17,$F$18,$E277,$F$20,M$22,$H277,$F$19)</f>
        <v>86.62</v>
      </c>
      <c r="N277" s="36">
        <f>_xll.DBRW($E$12,$F$16,$F$17,$F$18,$E277,$F$20,N$22,$H277,$F$19)</f>
        <v>86.62</v>
      </c>
      <c r="O277" s="36">
        <f>_xll.DBRW($E$12,$F$16,$F$17,$F$18,$E277,$F$20,O$22,$H277,$F$19)</f>
        <v>0</v>
      </c>
      <c r="P277" s="36">
        <f>_xll.DBRW($E$12,$F$16,$F$17,$F$18,$E277,$F$20,P$22,$H277,$F$19)</f>
        <v>0</v>
      </c>
      <c r="Q277" s="36">
        <f>_xll.DBRW($E$12,$F$16,$F$17,$F$18,$E277,$F$20,Q$22,$H277,$F$19)</f>
        <v>0</v>
      </c>
      <c r="R277" s="36">
        <f>_xll.DBRW($E$12,$F$16,$F$17,$F$18,$E277,$F$20,R$22,$H277,$F$19)</f>
        <v>0</v>
      </c>
      <c r="S277" s="36">
        <f>_xll.DBRW($E$12,$F$16,$F$17,$F$18,$E277,$F$20,S$22,$H277,$F$19)</f>
        <v>0</v>
      </c>
      <c r="T277" s="36">
        <f>_xll.DBRW($E$12,$F$16,$F$17,$F$18,$E277,$F$20,T$22,$H277,$F$19)</f>
        <v>0</v>
      </c>
      <c r="U277" s="36">
        <f>_xll.DBRW($E$12,$F$16,$F$17,$F$18,$E277,$F$20,U$22,$H277,$F$19)</f>
        <v>354.74</v>
      </c>
    </row>
    <row r="278" spans="4:21" s="37" customFormat="1" ht="15" outlineLevel="1" thickBot="1" x14ac:dyDescent="0.35">
      <c r="D278" s="33" t="str">
        <f>IF(_xll.TM1RPTELISCONSOLIDATED($H$34,$H278),IF(_xll.TM1RPTELLEV($H$34,$H278)&lt;=5,_xll.TM1RPTELLEV($H$34,$H278),"Default"),"Leaf")</f>
        <v>Leaf</v>
      </c>
      <c r="E278" s="42" t="s">
        <v>674</v>
      </c>
      <c r="F278" s="34" t="str">
        <f>_xll.DBR($B$18,$H278,"Account_Type")</f>
        <v>NON LABOR</v>
      </c>
      <c r="G278" s="34" t="str">
        <f>_xll.DBR($B$18,$H278,"Description")</f>
        <v>Postage &amp; Courier Fees</v>
      </c>
      <c r="H278" s="43" t="s">
        <v>157</v>
      </c>
      <c r="I278" s="36">
        <f>_xll.DBRW($E$12,$F$16,$F$17,$F$18,$E278,$F$20,I$22,$H278,$F$19)</f>
        <v>0</v>
      </c>
      <c r="J278" s="36">
        <f>_xll.DBRW($E$12,$F$16,$F$17,$F$18,$E278,$F$20,J$22,$H278,$F$19)</f>
        <v>0</v>
      </c>
      <c r="K278" s="36">
        <f>_xll.DBRW($E$12,$F$16,$F$17,$F$18,$E278,$F$20,K$22,$H278,$F$19)</f>
        <v>0</v>
      </c>
      <c r="L278" s="36">
        <f>_xll.DBRW($E$12,$F$16,$F$17,$F$18,$E278,$F$20,L$22,$H278,$F$19)</f>
        <v>36.409999999999997</v>
      </c>
      <c r="M278" s="36">
        <f>_xll.DBRW($E$12,$F$16,$F$17,$F$18,$E278,$F$20,M$22,$H278,$F$19)</f>
        <v>0</v>
      </c>
      <c r="N278" s="36">
        <f>_xll.DBRW($E$12,$F$16,$F$17,$F$18,$E278,$F$20,N$22,$H278,$F$19)</f>
        <v>0</v>
      </c>
      <c r="O278" s="36">
        <f>_xll.DBRW($E$12,$F$16,$F$17,$F$18,$E278,$F$20,O$22,$H278,$F$19)</f>
        <v>0</v>
      </c>
      <c r="P278" s="36">
        <f>_xll.DBRW($E$12,$F$16,$F$17,$F$18,$E278,$F$20,P$22,$H278,$F$19)</f>
        <v>0</v>
      </c>
      <c r="Q278" s="36">
        <f>_xll.DBRW($E$12,$F$16,$F$17,$F$18,$E278,$F$20,Q$22,$H278,$F$19)</f>
        <v>0</v>
      </c>
      <c r="R278" s="36">
        <f>_xll.DBRW($E$12,$F$16,$F$17,$F$18,$E278,$F$20,R$22,$H278,$F$19)</f>
        <v>0</v>
      </c>
      <c r="S278" s="36">
        <f>_xll.DBRW($E$12,$F$16,$F$17,$F$18,$E278,$F$20,S$22,$H278,$F$19)</f>
        <v>0</v>
      </c>
      <c r="T278" s="36">
        <f>_xll.DBRW($E$12,$F$16,$F$17,$F$18,$E278,$F$20,T$22,$H278,$F$19)</f>
        <v>0</v>
      </c>
      <c r="U278" s="36">
        <f>_xll.DBRW($E$12,$F$16,$F$17,$F$18,$E278,$F$20,U$22,$H278,$F$19)</f>
        <v>36.409999999999997</v>
      </c>
    </row>
    <row r="279" spans="4:21" s="37" customFormat="1" ht="15" outlineLevel="1" thickBot="1" x14ac:dyDescent="0.35">
      <c r="D279" s="33" t="str">
        <f>IF(_xll.TM1RPTELISCONSOLIDATED($H$34,$H279),IF(_xll.TM1RPTELLEV($H$34,$H279)&lt;=5,_xll.TM1RPTELLEV($H$34,$H279),"Default"),"Leaf")</f>
        <v>Leaf</v>
      </c>
      <c r="E279" s="42" t="s">
        <v>674</v>
      </c>
      <c r="F279" s="34" t="str">
        <f>_xll.DBR($B$18,$H279,"Account_Type")</f>
        <v>NON LABOR</v>
      </c>
      <c r="G279" s="34" t="str">
        <f>_xll.DBR($B$18,$H279,"Description")</f>
        <v>Education/Training/Dues/Subscriptions</v>
      </c>
      <c r="H279" s="43" t="s">
        <v>176</v>
      </c>
      <c r="I279" s="36">
        <f>_xll.DBRW($E$12,$F$16,$F$17,$F$18,$E279,$F$20,I$22,$H279,$F$19)</f>
        <v>2754.52</v>
      </c>
      <c r="J279" s="36">
        <f>_xll.DBRW($E$12,$F$16,$F$17,$F$18,$E279,$F$20,J$22,$H279,$F$19)</f>
        <v>5117.21</v>
      </c>
      <c r="K279" s="36">
        <f>_xll.DBRW($E$12,$F$16,$F$17,$F$18,$E279,$F$20,K$22,$H279,$F$19)</f>
        <v>1928.26</v>
      </c>
      <c r="L279" s="36">
        <f>_xll.DBRW($E$12,$F$16,$F$17,$F$18,$E279,$F$20,L$22,$H279,$F$19)</f>
        <v>4281.8100000000004</v>
      </c>
      <c r="M279" s="36">
        <f>_xll.DBRW($E$12,$F$16,$F$17,$F$18,$E279,$F$20,M$22,$H279,$F$19)</f>
        <v>43419.75</v>
      </c>
      <c r="N279" s="36">
        <f>_xll.DBRW($E$12,$F$16,$F$17,$F$18,$E279,$F$20,N$22,$H279,$F$19)</f>
        <v>1799.98</v>
      </c>
      <c r="O279" s="36">
        <f>_xll.DBRW($E$12,$F$16,$F$17,$F$18,$E279,$F$20,O$22,$H279,$F$19)</f>
        <v>0</v>
      </c>
      <c r="P279" s="36">
        <f>_xll.DBRW($E$12,$F$16,$F$17,$F$18,$E279,$F$20,P$22,$H279,$F$19)</f>
        <v>0</v>
      </c>
      <c r="Q279" s="36">
        <f>_xll.DBRW($E$12,$F$16,$F$17,$F$18,$E279,$F$20,Q$22,$H279,$F$19)</f>
        <v>0</v>
      </c>
      <c r="R279" s="36">
        <f>_xll.DBRW($E$12,$F$16,$F$17,$F$18,$E279,$F$20,R$22,$H279,$F$19)</f>
        <v>0</v>
      </c>
      <c r="S279" s="36">
        <f>_xll.DBRW($E$12,$F$16,$F$17,$F$18,$E279,$F$20,S$22,$H279,$F$19)</f>
        <v>0</v>
      </c>
      <c r="T279" s="36">
        <f>_xll.DBRW($E$12,$F$16,$F$17,$F$18,$E279,$F$20,T$22,$H279,$F$19)</f>
        <v>0</v>
      </c>
      <c r="U279" s="36">
        <f>_xll.DBRW($E$12,$F$16,$F$17,$F$18,$E279,$F$20,U$22,$H279,$F$19)</f>
        <v>59301.530000000006</v>
      </c>
    </row>
    <row r="280" spans="4:21" s="37" customFormat="1" ht="15" outlineLevel="1" thickBot="1" x14ac:dyDescent="0.35">
      <c r="D280" s="33" t="str">
        <f>IF(_xll.TM1RPTELISCONSOLIDATED($H$34,$H280),IF(_xll.TM1RPTELLEV($H$34,$H280)&lt;=5,_xll.TM1RPTELLEV($H$34,$H280),"Default"),"Leaf")</f>
        <v>Leaf</v>
      </c>
      <c r="E280" s="42" t="s">
        <v>674</v>
      </c>
      <c r="F280" s="34" t="str">
        <f>_xll.DBR($B$18,$H280,"Account_Type")</f>
        <v>NON LABOR</v>
      </c>
      <c r="G280" s="34" t="str">
        <f>_xll.DBR($B$18,$H280,"Description")</f>
        <v>Education/Training/Dues/Subscriptions</v>
      </c>
      <c r="H280" s="43" t="s">
        <v>177</v>
      </c>
      <c r="I280" s="36">
        <f>_xll.DBRW($E$12,$F$16,$F$17,$F$18,$E280,$F$20,I$22,$H280,$F$19)</f>
        <v>0</v>
      </c>
      <c r="J280" s="36">
        <f>_xll.DBRW($E$12,$F$16,$F$17,$F$18,$E280,$F$20,J$22,$H280,$F$19)</f>
        <v>0</v>
      </c>
      <c r="K280" s="36">
        <f>_xll.DBRW($E$12,$F$16,$F$17,$F$18,$E280,$F$20,K$22,$H280,$F$19)</f>
        <v>0</v>
      </c>
      <c r="L280" s="36">
        <f>_xll.DBRW($E$12,$F$16,$F$17,$F$18,$E280,$F$20,L$22,$H280,$F$19)</f>
        <v>108.77</v>
      </c>
      <c r="M280" s="36">
        <f>_xll.DBRW($E$12,$F$16,$F$17,$F$18,$E280,$F$20,M$22,$H280,$F$19)</f>
        <v>108.77</v>
      </c>
      <c r="N280" s="36">
        <f>_xll.DBRW($E$12,$F$16,$F$17,$F$18,$E280,$F$20,N$22,$H280,$F$19)</f>
        <v>0</v>
      </c>
      <c r="O280" s="36">
        <f>_xll.DBRW($E$12,$F$16,$F$17,$F$18,$E280,$F$20,O$22,$H280,$F$19)</f>
        <v>0</v>
      </c>
      <c r="P280" s="36">
        <f>_xll.DBRW($E$12,$F$16,$F$17,$F$18,$E280,$F$20,P$22,$H280,$F$19)</f>
        <v>0</v>
      </c>
      <c r="Q280" s="36">
        <f>_xll.DBRW($E$12,$F$16,$F$17,$F$18,$E280,$F$20,Q$22,$H280,$F$19)</f>
        <v>0</v>
      </c>
      <c r="R280" s="36">
        <f>_xll.DBRW($E$12,$F$16,$F$17,$F$18,$E280,$F$20,R$22,$H280,$F$19)</f>
        <v>0</v>
      </c>
      <c r="S280" s="36">
        <f>_xll.DBRW($E$12,$F$16,$F$17,$F$18,$E280,$F$20,S$22,$H280,$F$19)</f>
        <v>0</v>
      </c>
      <c r="T280" s="36">
        <f>_xll.DBRW($E$12,$F$16,$F$17,$F$18,$E280,$F$20,T$22,$H280,$F$19)</f>
        <v>0</v>
      </c>
      <c r="U280" s="36">
        <f>_xll.DBRW($E$12,$F$16,$F$17,$F$18,$E280,$F$20,U$22,$H280,$F$19)</f>
        <v>217.54</v>
      </c>
    </row>
    <row r="281" spans="4:21" s="37" customFormat="1" ht="15" outlineLevel="1" thickBot="1" x14ac:dyDescent="0.35">
      <c r="D281" s="33" t="str">
        <f>IF(_xll.TM1RPTELISCONSOLIDATED($H$34,$H281),IF(_xll.TM1RPTELLEV($H$34,$H281)&lt;=5,_xll.TM1RPTELLEV($H$34,$H281),"Default"),"Leaf")</f>
        <v>Leaf</v>
      </c>
      <c r="E281" s="42" t="s">
        <v>674</v>
      </c>
      <c r="F281" s="34" t="str">
        <f>_xll.DBR($B$18,$H281,"Account_Type")</f>
        <v>NON LABOR</v>
      </c>
      <c r="G281" s="34" t="str">
        <f>_xll.DBR($B$18,$H281,"Description")</f>
        <v>Certificates/Licenses/Permits</v>
      </c>
      <c r="H281" s="43" t="s">
        <v>190</v>
      </c>
      <c r="I281" s="36">
        <f>_xll.DBRW($E$12,$F$16,$F$17,$F$18,$E281,$F$20,I$22,$H281,$F$19)</f>
        <v>1763.67</v>
      </c>
      <c r="J281" s="36">
        <f>_xll.DBRW($E$12,$F$16,$F$17,$F$18,$E281,$F$20,J$22,$H281,$F$19)</f>
        <v>2041.12</v>
      </c>
      <c r="K281" s="36">
        <f>_xll.DBRW($E$12,$F$16,$F$17,$F$18,$E281,$F$20,K$22,$H281,$F$19)</f>
        <v>7466.13</v>
      </c>
      <c r="L281" s="36">
        <f>_xll.DBRW($E$12,$F$16,$F$17,$F$18,$E281,$F$20,L$22,$H281,$F$19)</f>
        <v>980.53</v>
      </c>
      <c r="M281" s="36">
        <f>_xll.DBRW($E$12,$F$16,$F$17,$F$18,$E281,$F$20,M$22,$H281,$F$19)</f>
        <v>-400</v>
      </c>
      <c r="N281" s="36">
        <f>_xll.DBRW($E$12,$F$16,$F$17,$F$18,$E281,$F$20,N$22,$H281,$F$19)</f>
        <v>230.32</v>
      </c>
      <c r="O281" s="36">
        <f>_xll.DBRW($E$12,$F$16,$F$17,$F$18,$E281,$F$20,O$22,$H281,$F$19)</f>
        <v>0</v>
      </c>
      <c r="P281" s="36">
        <f>_xll.DBRW($E$12,$F$16,$F$17,$F$18,$E281,$F$20,P$22,$H281,$F$19)</f>
        <v>0</v>
      </c>
      <c r="Q281" s="36">
        <f>_xll.DBRW($E$12,$F$16,$F$17,$F$18,$E281,$F$20,Q$22,$H281,$F$19)</f>
        <v>0</v>
      </c>
      <c r="R281" s="36">
        <f>_xll.DBRW($E$12,$F$16,$F$17,$F$18,$E281,$F$20,R$22,$H281,$F$19)</f>
        <v>0</v>
      </c>
      <c r="S281" s="36">
        <f>_xll.DBRW($E$12,$F$16,$F$17,$F$18,$E281,$F$20,S$22,$H281,$F$19)</f>
        <v>0</v>
      </c>
      <c r="T281" s="36">
        <f>_xll.DBRW($E$12,$F$16,$F$17,$F$18,$E281,$F$20,T$22,$H281,$F$19)</f>
        <v>0</v>
      </c>
      <c r="U281" s="36">
        <f>_xll.DBRW($E$12,$F$16,$F$17,$F$18,$E281,$F$20,U$22,$H281,$F$19)</f>
        <v>12081.77</v>
      </c>
    </row>
    <row r="282" spans="4:21" s="37" customFormat="1" ht="15" outlineLevel="1" thickBot="1" x14ac:dyDescent="0.35">
      <c r="D282" s="33" t="str">
        <f>IF(_xll.TM1RPTELISCONSOLIDATED($H$34,$H282),IF(_xll.TM1RPTELLEV($H$34,$H282)&lt;=5,_xll.TM1RPTELLEV($H$34,$H282),"Default"),"Leaf")</f>
        <v>Leaf</v>
      </c>
      <c r="E282" s="42" t="s">
        <v>674</v>
      </c>
      <c r="F282" s="34" t="str">
        <f>_xll.DBR($B$18,$H282,"Account_Type")</f>
        <v>NON LABOR</v>
      </c>
      <c r="G282" s="34" t="str">
        <f>_xll.DBR($B$18,$H282,"Description")</f>
        <v>Office Rent</v>
      </c>
      <c r="H282" s="43" t="s">
        <v>203</v>
      </c>
      <c r="I282" s="36">
        <f>_xll.DBRW($E$12,$F$16,$F$17,$F$18,$E282,$F$20,I$22,$H282,$F$19)</f>
        <v>15661.97</v>
      </c>
      <c r="J282" s="36">
        <f>_xll.DBRW($E$12,$F$16,$F$17,$F$18,$E282,$F$20,J$22,$H282,$F$19)</f>
        <v>15661.97</v>
      </c>
      <c r="K282" s="36">
        <f>_xll.DBRW($E$12,$F$16,$F$17,$F$18,$E282,$F$20,K$22,$H282,$F$19)</f>
        <v>15661.97</v>
      </c>
      <c r="L282" s="36">
        <f>_xll.DBRW($E$12,$F$16,$F$17,$F$18,$E282,$F$20,L$22,$H282,$F$19)</f>
        <v>15661.97</v>
      </c>
      <c r="M282" s="36">
        <f>_xll.DBRW($E$12,$F$16,$F$17,$F$18,$E282,$F$20,M$22,$H282,$F$19)</f>
        <v>-2421.61</v>
      </c>
      <c r="N282" s="36">
        <f>_xll.DBRW($E$12,$F$16,$F$17,$F$18,$E282,$F$20,N$22,$H282,$F$19)</f>
        <v>638.79999999999995</v>
      </c>
      <c r="O282" s="36">
        <f>_xll.DBRW($E$12,$F$16,$F$17,$F$18,$E282,$F$20,O$22,$H282,$F$19)</f>
        <v>0</v>
      </c>
      <c r="P282" s="36">
        <f>_xll.DBRW($E$12,$F$16,$F$17,$F$18,$E282,$F$20,P$22,$H282,$F$19)</f>
        <v>0</v>
      </c>
      <c r="Q282" s="36">
        <f>_xll.DBRW($E$12,$F$16,$F$17,$F$18,$E282,$F$20,Q$22,$H282,$F$19)</f>
        <v>0</v>
      </c>
      <c r="R282" s="36">
        <f>_xll.DBRW($E$12,$F$16,$F$17,$F$18,$E282,$F$20,R$22,$H282,$F$19)</f>
        <v>0</v>
      </c>
      <c r="S282" s="36">
        <f>_xll.DBRW($E$12,$F$16,$F$17,$F$18,$E282,$F$20,S$22,$H282,$F$19)</f>
        <v>0</v>
      </c>
      <c r="T282" s="36">
        <f>_xll.DBRW($E$12,$F$16,$F$17,$F$18,$E282,$F$20,T$22,$H282,$F$19)</f>
        <v>0</v>
      </c>
      <c r="U282" s="36">
        <f>_xll.DBRW($E$12,$F$16,$F$17,$F$18,$E282,$F$20,U$22,$H282,$F$19)</f>
        <v>60865.07</v>
      </c>
    </row>
    <row r="283" spans="4:21" s="37" customFormat="1" ht="15" outlineLevel="1" thickBot="1" x14ac:dyDescent="0.35">
      <c r="D283" s="33" t="str">
        <f>IF(_xll.TM1RPTELISCONSOLIDATED($H$34,$H283),IF(_xll.TM1RPTELLEV($H$34,$H283)&lt;=5,_xll.TM1RPTELLEV($H$34,$H283),"Default"),"Leaf")</f>
        <v>Leaf</v>
      </c>
      <c r="E283" s="42" t="s">
        <v>674</v>
      </c>
      <c r="F283" s="34" t="str">
        <f>_xll.DBR($B$18,$H283,"Account_Type")</f>
        <v>NON LABOR</v>
      </c>
      <c r="G283" s="34" t="str">
        <f>_xll.DBR($B$18,$H283,"Description")</f>
        <v>Utilities</v>
      </c>
      <c r="H283" s="43" t="s">
        <v>215</v>
      </c>
      <c r="I283" s="36">
        <f>_xll.DBRW($E$12,$F$16,$F$17,$F$18,$E283,$F$20,I$22,$H283,$F$19)</f>
        <v>879.87</v>
      </c>
      <c r="J283" s="36">
        <f>_xll.DBRW($E$12,$F$16,$F$17,$F$18,$E283,$F$20,J$22,$H283,$F$19)</f>
        <v>27.55</v>
      </c>
      <c r="K283" s="36">
        <f>_xll.DBRW($E$12,$F$16,$F$17,$F$18,$E283,$F$20,K$22,$H283,$F$19)</f>
        <v>1039.55</v>
      </c>
      <c r="L283" s="36">
        <f>_xll.DBRW($E$12,$F$16,$F$17,$F$18,$E283,$F$20,L$22,$H283,$F$19)</f>
        <v>1377.53</v>
      </c>
      <c r="M283" s="36">
        <f>_xll.DBRW($E$12,$F$16,$F$17,$F$18,$E283,$F$20,M$22,$H283,$F$19)</f>
        <v>0</v>
      </c>
      <c r="N283" s="36">
        <f>_xll.DBRW($E$12,$F$16,$F$17,$F$18,$E283,$F$20,N$22,$H283,$F$19)</f>
        <v>865.69</v>
      </c>
      <c r="O283" s="36">
        <f>_xll.DBRW($E$12,$F$16,$F$17,$F$18,$E283,$F$20,O$22,$H283,$F$19)</f>
        <v>0</v>
      </c>
      <c r="P283" s="36">
        <f>_xll.DBRW($E$12,$F$16,$F$17,$F$18,$E283,$F$20,P$22,$H283,$F$19)</f>
        <v>0</v>
      </c>
      <c r="Q283" s="36">
        <f>_xll.DBRW($E$12,$F$16,$F$17,$F$18,$E283,$F$20,Q$22,$H283,$F$19)</f>
        <v>0</v>
      </c>
      <c r="R283" s="36">
        <f>_xll.DBRW($E$12,$F$16,$F$17,$F$18,$E283,$F$20,R$22,$H283,$F$19)</f>
        <v>0</v>
      </c>
      <c r="S283" s="36">
        <f>_xll.DBRW($E$12,$F$16,$F$17,$F$18,$E283,$F$20,S$22,$H283,$F$19)</f>
        <v>0</v>
      </c>
      <c r="T283" s="36">
        <f>_xll.DBRW($E$12,$F$16,$F$17,$F$18,$E283,$F$20,T$22,$H283,$F$19)</f>
        <v>0</v>
      </c>
      <c r="U283" s="36">
        <f>_xll.DBRW($E$12,$F$16,$F$17,$F$18,$E283,$F$20,U$22,$H283,$F$19)</f>
        <v>4190.1900000000005</v>
      </c>
    </row>
    <row r="284" spans="4:21" s="37" customFormat="1" ht="15" outlineLevel="1" thickBot="1" x14ac:dyDescent="0.35">
      <c r="D284" s="33" t="str">
        <f>IF(_xll.TM1RPTELISCONSOLIDATED($H$34,$H284),IF(_xll.TM1RPTELLEV($H$34,$H284)&lt;=5,_xll.TM1RPTELLEV($H$34,$H284),"Default"),"Leaf")</f>
        <v>Leaf</v>
      </c>
      <c r="E284" s="42" t="s">
        <v>674</v>
      </c>
      <c r="F284" s="34" t="str">
        <f>_xll.DBR($B$18,$H284,"Account_Type")</f>
        <v>NON LABOR</v>
      </c>
      <c r="G284" s="34" t="str">
        <f>_xll.DBR($B$18,$H284,"Description")</f>
        <v>Utilities</v>
      </c>
      <c r="H284" s="43" t="s">
        <v>216</v>
      </c>
      <c r="I284" s="36">
        <f>_xll.DBRW($E$12,$F$16,$F$17,$F$18,$E284,$F$20,I$22,$H284,$F$19)</f>
        <v>351.95</v>
      </c>
      <c r="J284" s="36">
        <f>_xll.DBRW($E$12,$F$16,$F$17,$F$18,$E284,$F$20,J$22,$H284,$F$19)</f>
        <v>11.02</v>
      </c>
      <c r="K284" s="36">
        <f>_xll.DBRW($E$12,$F$16,$F$17,$F$18,$E284,$F$20,K$22,$H284,$F$19)</f>
        <v>415.81</v>
      </c>
      <c r="L284" s="36">
        <f>_xll.DBRW($E$12,$F$16,$F$17,$F$18,$E284,$F$20,L$22,$H284,$F$19)</f>
        <v>656</v>
      </c>
      <c r="M284" s="36">
        <f>_xll.DBRW($E$12,$F$16,$F$17,$F$18,$E284,$F$20,M$22,$H284,$F$19)</f>
        <v>0</v>
      </c>
      <c r="N284" s="36">
        <f>_xll.DBRW($E$12,$F$16,$F$17,$F$18,$E284,$F$20,N$22,$H284,$F$19)</f>
        <v>346.28</v>
      </c>
      <c r="O284" s="36">
        <f>_xll.DBRW($E$12,$F$16,$F$17,$F$18,$E284,$F$20,O$22,$H284,$F$19)</f>
        <v>0</v>
      </c>
      <c r="P284" s="36">
        <f>_xll.DBRW($E$12,$F$16,$F$17,$F$18,$E284,$F$20,P$22,$H284,$F$19)</f>
        <v>0</v>
      </c>
      <c r="Q284" s="36">
        <f>_xll.DBRW($E$12,$F$16,$F$17,$F$18,$E284,$F$20,Q$22,$H284,$F$19)</f>
        <v>0</v>
      </c>
      <c r="R284" s="36">
        <f>_xll.DBRW($E$12,$F$16,$F$17,$F$18,$E284,$F$20,R$22,$H284,$F$19)</f>
        <v>0</v>
      </c>
      <c r="S284" s="36">
        <f>_xll.DBRW($E$12,$F$16,$F$17,$F$18,$E284,$F$20,S$22,$H284,$F$19)</f>
        <v>0</v>
      </c>
      <c r="T284" s="36">
        <f>_xll.DBRW($E$12,$F$16,$F$17,$F$18,$E284,$F$20,T$22,$H284,$F$19)</f>
        <v>0</v>
      </c>
      <c r="U284" s="36">
        <f>_xll.DBRW($E$12,$F$16,$F$17,$F$18,$E284,$F$20,U$22,$H284,$F$19)</f>
        <v>1781.06</v>
      </c>
    </row>
    <row r="285" spans="4:21" s="37" customFormat="1" ht="15" outlineLevel="1" thickBot="1" x14ac:dyDescent="0.35">
      <c r="D285" s="33" t="str">
        <f>IF(_xll.TM1RPTELISCONSOLIDATED($H$34,$H285),IF(_xll.TM1RPTELLEV($H$34,$H285)&lt;=5,_xll.TM1RPTELLEV($H$34,$H285),"Default"),"Leaf")</f>
        <v>Leaf</v>
      </c>
      <c r="E285" s="42" t="s">
        <v>674</v>
      </c>
      <c r="F285" s="34" t="str">
        <f>_xll.DBR($B$18,$H285,"Account_Type")</f>
        <v>NON LABOR</v>
      </c>
      <c r="G285" s="34" t="str">
        <f>_xll.DBR($B$18,$H285,"Description")</f>
        <v>Security / Janitorial Charges</v>
      </c>
      <c r="H285" s="43" t="s">
        <v>225</v>
      </c>
      <c r="I285" s="36">
        <f>_xll.DBRW($E$12,$F$16,$F$17,$F$18,$E285,$F$20,I$22,$H285,$F$19)</f>
        <v>-1523.19</v>
      </c>
      <c r="J285" s="36">
        <f>_xll.DBRW($E$12,$F$16,$F$17,$F$18,$E285,$F$20,J$22,$H285,$F$19)</f>
        <v>35.369999999999997</v>
      </c>
      <c r="K285" s="36">
        <f>_xll.DBRW($E$12,$F$16,$F$17,$F$18,$E285,$F$20,K$22,$H285,$F$19)</f>
        <v>-2562.0500000000002</v>
      </c>
      <c r="L285" s="36">
        <f>_xll.DBRW($E$12,$F$16,$F$17,$F$18,$E285,$F$20,L$22,$H285,$F$19)</f>
        <v>58.53</v>
      </c>
      <c r="M285" s="36">
        <f>_xll.DBRW($E$12,$F$16,$F$17,$F$18,$E285,$F$20,M$22,$H285,$F$19)</f>
        <v>0</v>
      </c>
      <c r="N285" s="36">
        <f>_xll.DBRW($E$12,$F$16,$F$17,$F$18,$E285,$F$20,N$22,$H285,$F$19)</f>
        <v>47</v>
      </c>
      <c r="O285" s="36">
        <f>_xll.DBRW($E$12,$F$16,$F$17,$F$18,$E285,$F$20,O$22,$H285,$F$19)</f>
        <v>0</v>
      </c>
      <c r="P285" s="36">
        <f>_xll.DBRW($E$12,$F$16,$F$17,$F$18,$E285,$F$20,P$22,$H285,$F$19)</f>
        <v>0</v>
      </c>
      <c r="Q285" s="36">
        <f>_xll.DBRW($E$12,$F$16,$F$17,$F$18,$E285,$F$20,Q$22,$H285,$F$19)</f>
        <v>0</v>
      </c>
      <c r="R285" s="36">
        <f>_xll.DBRW($E$12,$F$16,$F$17,$F$18,$E285,$F$20,R$22,$H285,$F$19)</f>
        <v>0</v>
      </c>
      <c r="S285" s="36">
        <f>_xll.DBRW($E$12,$F$16,$F$17,$F$18,$E285,$F$20,S$22,$H285,$F$19)</f>
        <v>0</v>
      </c>
      <c r="T285" s="36">
        <f>_xll.DBRW($E$12,$F$16,$F$17,$F$18,$E285,$F$20,T$22,$H285,$F$19)</f>
        <v>0</v>
      </c>
      <c r="U285" s="36">
        <f>_xll.DBRW($E$12,$F$16,$F$17,$F$18,$E285,$F$20,U$22,$H285,$F$19)</f>
        <v>-3944.34</v>
      </c>
    </row>
    <row r="286" spans="4:21" s="37" customFormat="1" ht="15" outlineLevel="1" thickBot="1" x14ac:dyDescent="0.35">
      <c r="D286" s="33" t="str">
        <f>IF(_xll.TM1RPTELISCONSOLIDATED($H$34,$H286),IF(_xll.TM1RPTELLEV($H$34,$H286)&lt;=5,_xll.TM1RPTELLEV($H$34,$H286),"Default"),"Leaf")</f>
        <v>Leaf</v>
      </c>
      <c r="E286" s="42" t="s">
        <v>674</v>
      </c>
      <c r="F286" s="34" t="str">
        <f>_xll.DBR($B$18,$H286,"Account_Type")</f>
        <v>NON LABOR</v>
      </c>
      <c r="G286" s="34" t="str">
        <f>_xll.DBR($B$18,$H286,"Description")</f>
        <v>Security / Janitorial Charges</v>
      </c>
      <c r="H286" s="43" t="s">
        <v>226</v>
      </c>
      <c r="I286" s="36">
        <f>_xll.DBRW($E$12,$F$16,$F$17,$F$18,$E286,$F$20,I$22,$H286,$F$19)</f>
        <v>0</v>
      </c>
      <c r="J286" s="36">
        <f>_xll.DBRW($E$12,$F$16,$F$17,$F$18,$E286,$F$20,J$22,$H286,$F$19)</f>
        <v>270.5</v>
      </c>
      <c r="K286" s="36">
        <f>_xll.DBRW($E$12,$F$16,$F$17,$F$18,$E286,$F$20,K$22,$H286,$F$19)</f>
        <v>0</v>
      </c>
      <c r="L286" s="36">
        <f>_xll.DBRW($E$12,$F$16,$F$17,$F$18,$E286,$F$20,L$22,$H286,$F$19)</f>
        <v>0</v>
      </c>
      <c r="M286" s="36">
        <f>_xll.DBRW($E$12,$F$16,$F$17,$F$18,$E286,$F$20,M$22,$H286,$F$19)</f>
        <v>201.95</v>
      </c>
      <c r="N286" s="36">
        <f>_xll.DBRW($E$12,$F$16,$F$17,$F$18,$E286,$F$20,N$22,$H286,$F$19)</f>
        <v>0</v>
      </c>
      <c r="O286" s="36">
        <f>_xll.DBRW($E$12,$F$16,$F$17,$F$18,$E286,$F$20,O$22,$H286,$F$19)</f>
        <v>0</v>
      </c>
      <c r="P286" s="36">
        <f>_xll.DBRW($E$12,$F$16,$F$17,$F$18,$E286,$F$20,P$22,$H286,$F$19)</f>
        <v>0</v>
      </c>
      <c r="Q286" s="36">
        <f>_xll.DBRW($E$12,$F$16,$F$17,$F$18,$E286,$F$20,Q$22,$H286,$F$19)</f>
        <v>0</v>
      </c>
      <c r="R286" s="36">
        <f>_xll.DBRW($E$12,$F$16,$F$17,$F$18,$E286,$F$20,R$22,$H286,$F$19)</f>
        <v>0</v>
      </c>
      <c r="S286" s="36">
        <f>_xll.DBRW($E$12,$F$16,$F$17,$F$18,$E286,$F$20,S$22,$H286,$F$19)</f>
        <v>0</v>
      </c>
      <c r="T286" s="36">
        <f>_xll.DBRW($E$12,$F$16,$F$17,$F$18,$E286,$F$20,T$22,$H286,$F$19)</f>
        <v>0</v>
      </c>
      <c r="U286" s="36">
        <f>_xll.DBRW($E$12,$F$16,$F$17,$F$18,$E286,$F$20,U$22,$H286,$F$19)</f>
        <v>472.45</v>
      </c>
    </row>
    <row r="287" spans="4:21" s="37" customFormat="1" ht="15" outlineLevel="1" thickBot="1" x14ac:dyDescent="0.35">
      <c r="D287" s="33" t="str">
        <f>IF(_xll.TM1RPTELISCONSOLIDATED($H$34,$H287),IF(_xll.TM1RPTELLEV($H$34,$H287)&lt;=5,_xll.TM1RPTELLEV($H$34,$H287),"Default"),"Leaf")</f>
        <v>Leaf</v>
      </c>
      <c r="E287" s="42" t="s">
        <v>674</v>
      </c>
      <c r="F287" s="34" t="str">
        <f>_xll.DBR($B$18,$H287,"Account_Type")</f>
        <v>NON LABOR</v>
      </c>
      <c r="G287" s="34" t="str">
        <f>_xll.DBR($B$18,$H287,"Description")</f>
        <v>Environmental / Disposal Fees</v>
      </c>
      <c r="H287" s="43" t="s">
        <v>248</v>
      </c>
      <c r="I287" s="36">
        <f>_xll.DBRW($E$12,$F$16,$F$17,$F$18,$E287,$F$20,I$22,$H287,$F$19)</f>
        <v>0</v>
      </c>
      <c r="J287" s="36">
        <f>_xll.DBRW($E$12,$F$16,$F$17,$F$18,$E287,$F$20,J$22,$H287,$F$19)</f>
        <v>0</v>
      </c>
      <c r="K287" s="36">
        <f>_xll.DBRW($E$12,$F$16,$F$17,$F$18,$E287,$F$20,K$22,$H287,$F$19)</f>
        <v>1075</v>
      </c>
      <c r="L287" s="36">
        <f>_xll.DBRW($E$12,$F$16,$F$17,$F$18,$E287,$F$20,L$22,$H287,$F$19)</f>
        <v>0</v>
      </c>
      <c r="M287" s="36">
        <f>_xll.DBRW($E$12,$F$16,$F$17,$F$18,$E287,$F$20,M$22,$H287,$F$19)</f>
        <v>0</v>
      </c>
      <c r="N287" s="36">
        <f>_xll.DBRW($E$12,$F$16,$F$17,$F$18,$E287,$F$20,N$22,$H287,$F$19)</f>
        <v>0</v>
      </c>
      <c r="O287" s="36">
        <f>_xll.DBRW($E$12,$F$16,$F$17,$F$18,$E287,$F$20,O$22,$H287,$F$19)</f>
        <v>0</v>
      </c>
      <c r="P287" s="36">
        <f>_xll.DBRW($E$12,$F$16,$F$17,$F$18,$E287,$F$20,P$22,$H287,$F$19)</f>
        <v>0</v>
      </c>
      <c r="Q287" s="36">
        <f>_xll.DBRW($E$12,$F$16,$F$17,$F$18,$E287,$F$20,Q$22,$H287,$F$19)</f>
        <v>0</v>
      </c>
      <c r="R287" s="36">
        <f>_xll.DBRW($E$12,$F$16,$F$17,$F$18,$E287,$F$20,R$22,$H287,$F$19)</f>
        <v>0</v>
      </c>
      <c r="S287" s="36">
        <f>_xll.DBRW($E$12,$F$16,$F$17,$F$18,$E287,$F$20,S$22,$H287,$F$19)</f>
        <v>0</v>
      </c>
      <c r="T287" s="36">
        <f>_xll.DBRW($E$12,$F$16,$F$17,$F$18,$E287,$F$20,T$22,$H287,$F$19)</f>
        <v>0</v>
      </c>
      <c r="U287" s="36">
        <f>_xll.DBRW($E$12,$F$16,$F$17,$F$18,$E287,$F$20,U$22,$H287,$F$19)</f>
        <v>1075</v>
      </c>
    </row>
    <row r="288" spans="4:21" s="37" customFormat="1" ht="15" outlineLevel="1" thickBot="1" x14ac:dyDescent="0.35">
      <c r="D288" s="33" t="str">
        <f>IF(_xll.TM1RPTELISCONSOLIDATED($H$34,$H288),IF(_xll.TM1RPTELLEV($H$34,$H288)&lt;=5,_xll.TM1RPTELLEV($H$34,$H288),"Default"),"Leaf")</f>
        <v>Leaf</v>
      </c>
      <c r="E288" s="42" t="s">
        <v>674</v>
      </c>
      <c r="F288" s="34" t="str">
        <f>_xll.DBR($B$18,$H288,"Account_Type")</f>
        <v>NON LABOR</v>
      </c>
      <c r="G288" s="34" t="str">
        <f>_xll.DBR($B$18,$H288,"Description")</f>
        <v>Legal Fees</v>
      </c>
      <c r="H288" s="43" t="s">
        <v>256</v>
      </c>
      <c r="I288" s="36">
        <f>_xll.DBRW($E$12,$F$16,$F$17,$F$18,$E288,$F$20,I$22,$H288,$F$19)</f>
        <v>0</v>
      </c>
      <c r="J288" s="36">
        <f>_xll.DBRW($E$12,$F$16,$F$17,$F$18,$E288,$F$20,J$22,$H288,$F$19)</f>
        <v>0</v>
      </c>
      <c r="K288" s="36">
        <f>_xll.DBRW($E$12,$F$16,$F$17,$F$18,$E288,$F$20,K$22,$H288,$F$19)</f>
        <v>0</v>
      </c>
      <c r="L288" s="36">
        <f>_xll.DBRW($E$12,$F$16,$F$17,$F$18,$E288,$F$20,L$22,$H288,$F$19)</f>
        <v>0</v>
      </c>
      <c r="M288" s="36">
        <f>_xll.DBRW($E$12,$F$16,$F$17,$F$18,$E288,$F$20,M$22,$H288,$F$19)</f>
        <v>0</v>
      </c>
      <c r="N288" s="36">
        <f>_xll.DBRW($E$12,$F$16,$F$17,$F$18,$E288,$F$20,N$22,$H288,$F$19)</f>
        <v>84</v>
      </c>
      <c r="O288" s="36">
        <f>_xll.DBRW($E$12,$F$16,$F$17,$F$18,$E288,$F$20,O$22,$H288,$F$19)</f>
        <v>0</v>
      </c>
      <c r="P288" s="36">
        <f>_xll.DBRW($E$12,$F$16,$F$17,$F$18,$E288,$F$20,P$22,$H288,$F$19)</f>
        <v>0</v>
      </c>
      <c r="Q288" s="36">
        <f>_xll.DBRW($E$12,$F$16,$F$17,$F$18,$E288,$F$20,Q$22,$H288,$F$19)</f>
        <v>0</v>
      </c>
      <c r="R288" s="36">
        <f>_xll.DBRW($E$12,$F$16,$F$17,$F$18,$E288,$F$20,R$22,$H288,$F$19)</f>
        <v>0</v>
      </c>
      <c r="S288" s="36">
        <f>_xll.DBRW($E$12,$F$16,$F$17,$F$18,$E288,$F$20,S$22,$H288,$F$19)</f>
        <v>0</v>
      </c>
      <c r="T288" s="36">
        <f>_xll.DBRW($E$12,$F$16,$F$17,$F$18,$E288,$F$20,T$22,$H288,$F$19)</f>
        <v>0</v>
      </c>
      <c r="U288" s="36">
        <f>_xll.DBRW($E$12,$F$16,$F$17,$F$18,$E288,$F$20,U$22,$H288,$F$19)</f>
        <v>84</v>
      </c>
    </row>
    <row r="289" spans="4:21" s="37" customFormat="1" ht="15" outlineLevel="1" thickBot="1" x14ac:dyDescent="0.35">
      <c r="D289" s="33" t="str">
        <f>IF(_xll.TM1RPTELISCONSOLIDATED($H$34,$H289),IF(_xll.TM1RPTELLEV($H$34,$H289)&lt;=5,_xll.TM1RPTELLEV($H$34,$H289),"Default"),"Leaf")</f>
        <v>Leaf</v>
      </c>
      <c r="E289" s="42" t="s">
        <v>674</v>
      </c>
      <c r="F289" s="34" t="str">
        <f>_xll.DBR($B$18,$H289,"Account_Type")</f>
        <v>NON LABOR</v>
      </c>
      <c r="G289" s="34" t="str">
        <f>_xll.DBR($B$18,$H289,"Description")</f>
        <v>Drug Testing &amp; Physicals</v>
      </c>
      <c r="H289" s="43" t="s">
        <v>269</v>
      </c>
      <c r="I289" s="36">
        <f>_xll.DBRW($E$12,$F$16,$F$17,$F$18,$E289,$F$20,I$22,$H289,$F$19)</f>
        <v>195</v>
      </c>
      <c r="J289" s="36">
        <f>_xll.DBRW($E$12,$F$16,$F$17,$F$18,$E289,$F$20,J$22,$H289,$F$19)</f>
        <v>75</v>
      </c>
      <c r="K289" s="36">
        <f>_xll.DBRW($E$12,$F$16,$F$17,$F$18,$E289,$F$20,K$22,$H289,$F$19)</f>
        <v>400</v>
      </c>
      <c r="L289" s="36">
        <f>_xll.DBRW($E$12,$F$16,$F$17,$F$18,$E289,$F$20,L$22,$H289,$F$19)</f>
        <v>75</v>
      </c>
      <c r="M289" s="36">
        <f>_xll.DBRW($E$12,$F$16,$F$17,$F$18,$E289,$F$20,M$22,$H289,$F$19)</f>
        <v>845</v>
      </c>
      <c r="N289" s="36">
        <f>_xll.DBRW($E$12,$F$16,$F$17,$F$18,$E289,$F$20,N$22,$H289,$F$19)</f>
        <v>0</v>
      </c>
      <c r="O289" s="36">
        <f>_xll.DBRW($E$12,$F$16,$F$17,$F$18,$E289,$F$20,O$22,$H289,$F$19)</f>
        <v>0</v>
      </c>
      <c r="P289" s="36">
        <f>_xll.DBRW($E$12,$F$16,$F$17,$F$18,$E289,$F$20,P$22,$H289,$F$19)</f>
        <v>0</v>
      </c>
      <c r="Q289" s="36">
        <f>_xll.DBRW($E$12,$F$16,$F$17,$F$18,$E289,$F$20,Q$22,$H289,$F$19)</f>
        <v>0</v>
      </c>
      <c r="R289" s="36">
        <f>_xll.DBRW($E$12,$F$16,$F$17,$F$18,$E289,$F$20,R$22,$H289,$F$19)</f>
        <v>0</v>
      </c>
      <c r="S289" s="36">
        <f>_xll.DBRW($E$12,$F$16,$F$17,$F$18,$E289,$F$20,S$22,$H289,$F$19)</f>
        <v>0</v>
      </c>
      <c r="T289" s="36">
        <f>_xll.DBRW($E$12,$F$16,$F$17,$F$18,$E289,$F$20,T$22,$H289,$F$19)</f>
        <v>0</v>
      </c>
      <c r="U289" s="36">
        <f>_xll.DBRW($E$12,$F$16,$F$17,$F$18,$E289,$F$20,U$22,$H289,$F$19)</f>
        <v>1590</v>
      </c>
    </row>
    <row r="290" spans="4:21" s="37" customFormat="1" ht="15" outlineLevel="1" thickBot="1" x14ac:dyDescent="0.35">
      <c r="D290" s="33" t="str">
        <f>IF(_xll.TM1RPTELISCONSOLIDATED($H$34,$H290),IF(_xll.TM1RPTELLEV($H$34,$H290)&lt;=5,_xll.TM1RPTELLEV($H$34,$H290),"Default"),"Leaf")</f>
        <v>Leaf</v>
      </c>
      <c r="E290" s="42" t="s">
        <v>674</v>
      </c>
      <c r="F290" s="34" t="str">
        <f>_xll.DBR($B$18,$H290,"Account_Type")</f>
        <v>NON LABOR</v>
      </c>
      <c r="G290" s="34" t="str">
        <f>_xll.DBR($B$18,$H290,"Description")</f>
        <v>Drug Testing &amp; Physicals</v>
      </c>
      <c r="H290" s="43" t="s">
        <v>270</v>
      </c>
      <c r="I290" s="36">
        <f>_xll.DBRW($E$12,$F$16,$F$17,$F$18,$E290,$F$20,I$22,$H290,$F$19)</f>
        <v>0</v>
      </c>
      <c r="J290" s="36">
        <f>_xll.DBRW($E$12,$F$16,$F$17,$F$18,$E290,$F$20,J$22,$H290,$F$19)</f>
        <v>0</v>
      </c>
      <c r="K290" s="36">
        <f>_xll.DBRW($E$12,$F$16,$F$17,$F$18,$E290,$F$20,K$22,$H290,$F$19)</f>
        <v>150</v>
      </c>
      <c r="L290" s="36">
        <f>_xll.DBRW($E$12,$F$16,$F$17,$F$18,$E290,$F$20,L$22,$H290,$F$19)</f>
        <v>175</v>
      </c>
      <c r="M290" s="36">
        <f>_xll.DBRW($E$12,$F$16,$F$17,$F$18,$E290,$F$20,M$22,$H290,$F$19)</f>
        <v>0</v>
      </c>
      <c r="N290" s="36">
        <f>_xll.DBRW($E$12,$F$16,$F$17,$F$18,$E290,$F$20,N$22,$H290,$F$19)</f>
        <v>0</v>
      </c>
      <c r="O290" s="36">
        <f>_xll.DBRW($E$12,$F$16,$F$17,$F$18,$E290,$F$20,O$22,$H290,$F$19)</f>
        <v>0</v>
      </c>
      <c r="P290" s="36">
        <f>_xll.DBRW($E$12,$F$16,$F$17,$F$18,$E290,$F$20,P$22,$H290,$F$19)</f>
        <v>0</v>
      </c>
      <c r="Q290" s="36">
        <f>_xll.DBRW($E$12,$F$16,$F$17,$F$18,$E290,$F$20,Q$22,$H290,$F$19)</f>
        <v>0</v>
      </c>
      <c r="R290" s="36">
        <f>_xll.DBRW($E$12,$F$16,$F$17,$F$18,$E290,$F$20,R$22,$H290,$F$19)</f>
        <v>0</v>
      </c>
      <c r="S290" s="36">
        <f>_xll.DBRW($E$12,$F$16,$F$17,$F$18,$E290,$F$20,S$22,$H290,$F$19)</f>
        <v>0</v>
      </c>
      <c r="T290" s="36">
        <f>_xll.DBRW($E$12,$F$16,$F$17,$F$18,$E290,$F$20,T$22,$H290,$F$19)</f>
        <v>0</v>
      </c>
      <c r="U290" s="36">
        <f>_xll.DBRW($E$12,$F$16,$F$17,$F$18,$E290,$F$20,U$22,$H290,$F$19)</f>
        <v>325</v>
      </c>
    </row>
    <row r="291" spans="4:21" s="37" customFormat="1" ht="15" outlineLevel="1" thickBot="1" x14ac:dyDescent="0.35">
      <c r="D291" s="33" t="str">
        <f>IF(_xll.TM1RPTELISCONSOLIDATED($H$34,$H291),IF(_xll.TM1RPTELLEV($H$34,$H291)&lt;=5,_xll.TM1RPTELLEV($H$34,$H291),"Default"),"Leaf")</f>
        <v>Leaf</v>
      </c>
      <c r="E291" s="42" t="s">
        <v>674</v>
      </c>
      <c r="F291" s="34" t="str">
        <f>_xll.DBR($B$18,$H291,"Account_Type")</f>
        <v>NON LABOR</v>
      </c>
      <c r="G291" s="34" t="str">
        <f>_xll.DBR($B$18,$H291,"Description")</f>
        <v>Uniforms</v>
      </c>
      <c r="H291" s="43" t="s">
        <v>282</v>
      </c>
      <c r="I291" s="36">
        <f>_xll.DBRW($E$12,$F$16,$F$17,$F$18,$E291,$F$20,I$22,$H291,$F$19)</f>
        <v>1060.8599999999999</v>
      </c>
      <c r="J291" s="36">
        <f>_xll.DBRW($E$12,$F$16,$F$17,$F$18,$E291,$F$20,J$22,$H291,$F$19)</f>
        <v>482.81</v>
      </c>
      <c r="K291" s="36">
        <f>_xll.DBRW($E$12,$F$16,$F$17,$F$18,$E291,$F$20,K$22,$H291,$F$19)</f>
        <v>503.75</v>
      </c>
      <c r="L291" s="36">
        <f>_xll.DBRW($E$12,$F$16,$F$17,$F$18,$E291,$F$20,L$22,$H291,$F$19)</f>
        <v>1048.06</v>
      </c>
      <c r="M291" s="36">
        <f>_xll.DBRW($E$12,$F$16,$F$17,$F$18,$E291,$F$20,M$22,$H291,$F$19)</f>
        <v>236.29</v>
      </c>
      <c r="N291" s="36">
        <f>_xll.DBRW($E$12,$F$16,$F$17,$F$18,$E291,$F$20,N$22,$H291,$F$19)</f>
        <v>-7848.63</v>
      </c>
      <c r="O291" s="36">
        <f>_xll.DBRW($E$12,$F$16,$F$17,$F$18,$E291,$F$20,O$22,$H291,$F$19)</f>
        <v>0</v>
      </c>
      <c r="P291" s="36">
        <f>_xll.DBRW($E$12,$F$16,$F$17,$F$18,$E291,$F$20,P$22,$H291,$F$19)</f>
        <v>0</v>
      </c>
      <c r="Q291" s="36">
        <f>_xll.DBRW($E$12,$F$16,$F$17,$F$18,$E291,$F$20,Q$22,$H291,$F$19)</f>
        <v>0</v>
      </c>
      <c r="R291" s="36">
        <f>_xll.DBRW($E$12,$F$16,$F$17,$F$18,$E291,$F$20,R$22,$H291,$F$19)</f>
        <v>0</v>
      </c>
      <c r="S291" s="36">
        <f>_xll.DBRW($E$12,$F$16,$F$17,$F$18,$E291,$F$20,S$22,$H291,$F$19)</f>
        <v>0</v>
      </c>
      <c r="T291" s="36">
        <f>_xll.DBRW($E$12,$F$16,$F$17,$F$18,$E291,$F$20,T$22,$H291,$F$19)</f>
        <v>0</v>
      </c>
      <c r="U291" s="36">
        <f>_xll.DBRW($E$12,$F$16,$F$17,$F$18,$E291,$F$20,U$22,$H291,$F$19)</f>
        <v>-4516.8600000000006</v>
      </c>
    </row>
    <row r="292" spans="4:21" s="37" customFormat="1" ht="15" outlineLevel="1" thickBot="1" x14ac:dyDescent="0.35">
      <c r="D292" s="33" t="str">
        <f>IF(_xll.TM1RPTELISCONSOLIDATED($H$34,$H292),IF(_xll.TM1RPTELLEV($H$34,$H292)&lt;=5,_xll.TM1RPTELLEV($H$34,$H292),"Default"),"Leaf")</f>
        <v>Leaf</v>
      </c>
      <c r="E292" s="42" t="s">
        <v>674</v>
      </c>
      <c r="F292" s="34" t="str">
        <f>_xll.DBR($B$18,$H292,"Account_Type")</f>
        <v>NON LABOR</v>
      </c>
      <c r="G292" s="34" t="str">
        <f>_xll.DBR($B$18,$H292,"Description")</f>
        <v>Uniforms</v>
      </c>
      <c r="H292" s="43" t="s">
        <v>283</v>
      </c>
      <c r="I292" s="36">
        <f>_xll.DBRW($E$12,$F$16,$F$17,$F$18,$E292,$F$20,I$22,$H292,$F$19)</f>
        <v>-285.56</v>
      </c>
      <c r="J292" s="36">
        <f>_xll.DBRW($E$12,$F$16,$F$17,$F$18,$E292,$F$20,J$22,$H292,$F$19)</f>
        <v>-621.29999999999995</v>
      </c>
      <c r="K292" s="36">
        <f>_xll.DBRW($E$12,$F$16,$F$17,$F$18,$E292,$F$20,K$22,$H292,$F$19)</f>
        <v>-461.76</v>
      </c>
      <c r="L292" s="36">
        <f>_xll.DBRW($E$12,$F$16,$F$17,$F$18,$E292,$F$20,L$22,$H292,$F$19)</f>
        <v>-313.52</v>
      </c>
      <c r="M292" s="36">
        <f>_xll.DBRW($E$12,$F$16,$F$17,$F$18,$E292,$F$20,M$22,$H292,$F$19)</f>
        <v>-555.37</v>
      </c>
      <c r="N292" s="36">
        <f>_xll.DBRW($E$12,$F$16,$F$17,$F$18,$E292,$F$20,N$22,$H292,$F$19)</f>
        <v>-3129.07</v>
      </c>
      <c r="O292" s="36">
        <f>_xll.DBRW($E$12,$F$16,$F$17,$F$18,$E292,$F$20,O$22,$H292,$F$19)</f>
        <v>0</v>
      </c>
      <c r="P292" s="36">
        <f>_xll.DBRW($E$12,$F$16,$F$17,$F$18,$E292,$F$20,P$22,$H292,$F$19)</f>
        <v>0</v>
      </c>
      <c r="Q292" s="36">
        <f>_xll.DBRW($E$12,$F$16,$F$17,$F$18,$E292,$F$20,Q$22,$H292,$F$19)</f>
        <v>0</v>
      </c>
      <c r="R292" s="36">
        <f>_xll.DBRW($E$12,$F$16,$F$17,$F$18,$E292,$F$20,R$22,$H292,$F$19)</f>
        <v>0</v>
      </c>
      <c r="S292" s="36">
        <f>_xll.DBRW($E$12,$F$16,$F$17,$F$18,$E292,$F$20,S$22,$H292,$F$19)</f>
        <v>0</v>
      </c>
      <c r="T292" s="36">
        <f>_xll.DBRW($E$12,$F$16,$F$17,$F$18,$E292,$F$20,T$22,$H292,$F$19)</f>
        <v>0</v>
      </c>
      <c r="U292" s="36">
        <f>_xll.DBRW($E$12,$F$16,$F$17,$F$18,$E292,$F$20,U$22,$H292,$F$19)</f>
        <v>-5366.58</v>
      </c>
    </row>
    <row r="293" spans="4:21" s="37" customFormat="1" ht="15" outlineLevel="1" thickBot="1" x14ac:dyDescent="0.35">
      <c r="D293" s="33" t="str">
        <f>IF(_xll.TM1RPTELISCONSOLIDATED($H$34,$H293),IF(_xll.TM1RPTELLEV($H$34,$H293)&lt;=5,_xll.TM1RPTELLEV($H$34,$H293),"Default"),"Leaf")</f>
        <v>Leaf</v>
      </c>
      <c r="E293" s="42" t="s">
        <v>674</v>
      </c>
      <c r="F293" s="34" t="str">
        <f>_xll.DBR($B$18,$H293,"Account_Type")</f>
        <v>NON LABOR</v>
      </c>
      <c r="G293" s="34" t="str">
        <f>_xll.DBR($B$18,$H293,"Description")</f>
        <v>Uniforms</v>
      </c>
      <c r="H293" s="43" t="s">
        <v>284</v>
      </c>
      <c r="I293" s="36">
        <f>_xll.DBRW($E$12,$F$16,$F$17,$F$18,$E293,$F$20,I$22,$H293,$F$19)</f>
        <v>-81.99</v>
      </c>
      <c r="J293" s="36">
        <f>_xll.DBRW($E$12,$F$16,$F$17,$F$18,$E293,$F$20,J$22,$H293,$F$19)</f>
        <v>-106.31</v>
      </c>
      <c r="K293" s="36">
        <f>_xll.DBRW($E$12,$F$16,$F$17,$F$18,$E293,$F$20,K$22,$H293,$F$19)</f>
        <v>-87.42</v>
      </c>
      <c r="L293" s="36">
        <f>_xll.DBRW($E$12,$F$16,$F$17,$F$18,$E293,$F$20,L$22,$H293,$F$19)</f>
        <v>-81.52</v>
      </c>
      <c r="M293" s="36">
        <f>_xll.DBRW($E$12,$F$16,$F$17,$F$18,$E293,$F$20,M$22,$H293,$F$19)</f>
        <v>-97.92</v>
      </c>
      <c r="N293" s="36">
        <f>_xll.DBRW($E$12,$F$16,$F$17,$F$18,$E293,$F$20,N$22,$H293,$F$19)</f>
        <v>0</v>
      </c>
      <c r="O293" s="36">
        <f>_xll.DBRW($E$12,$F$16,$F$17,$F$18,$E293,$F$20,O$22,$H293,$F$19)</f>
        <v>0</v>
      </c>
      <c r="P293" s="36">
        <f>_xll.DBRW($E$12,$F$16,$F$17,$F$18,$E293,$F$20,P$22,$H293,$F$19)</f>
        <v>0</v>
      </c>
      <c r="Q293" s="36">
        <f>_xll.DBRW($E$12,$F$16,$F$17,$F$18,$E293,$F$20,Q$22,$H293,$F$19)</f>
        <v>0</v>
      </c>
      <c r="R293" s="36">
        <f>_xll.DBRW($E$12,$F$16,$F$17,$F$18,$E293,$F$20,R$22,$H293,$F$19)</f>
        <v>0</v>
      </c>
      <c r="S293" s="36">
        <f>_xll.DBRW($E$12,$F$16,$F$17,$F$18,$E293,$F$20,S$22,$H293,$F$19)</f>
        <v>0</v>
      </c>
      <c r="T293" s="36">
        <f>_xll.DBRW($E$12,$F$16,$F$17,$F$18,$E293,$F$20,T$22,$H293,$F$19)</f>
        <v>0</v>
      </c>
      <c r="U293" s="36">
        <f>_xll.DBRW($E$12,$F$16,$F$17,$F$18,$E293,$F$20,U$22,$H293,$F$19)</f>
        <v>-455.16</v>
      </c>
    </row>
    <row r="294" spans="4:21" s="37" customFormat="1" ht="15" outlineLevel="1" thickBot="1" x14ac:dyDescent="0.35">
      <c r="D294" s="33" t="str">
        <f>IF(_xll.TM1RPTELISCONSOLIDATED($H$34,$H294),IF(_xll.TM1RPTELLEV($H$34,$H294)&lt;=5,_xll.TM1RPTELLEV($H$34,$H294),"Default"),"Leaf")</f>
        <v>Leaf</v>
      </c>
      <c r="E294" s="42" t="s">
        <v>674</v>
      </c>
      <c r="F294" s="34" t="str">
        <f>_xll.DBR($B$18,$H294,"Account_Type")</f>
        <v>NON LABOR</v>
      </c>
      <c r="G294" s="34" t="str">
        <f>_xll.DBR($B$18,$H294,"Description")</f>
        <v>Employee Morale &amp; Welfare</v>
      </c>
      <c r="H294" s="43" t="s">
        <v>300</v>
      </c>
      <c r="I294" s="36">
        <f>_xll.DBRW($E$12,$F$16,$F$17,$F$18,$E294,$F$20,I$22,$H294,$F$19)</f>
        <v>259.83</v>
      </c>
      <c r="J294" s="36">
        <f>_xll.DBRW($E$12,$F$16,$F$17,$F$18,$E294,$F$20,J$22,$H294,$F$19)</f>
        <v>0</v>
      </c>
      <c r="K294" s="36">
        <f>_xll.DBRW($E$12,$F$16,$F$17,$F$18,$E294,$F$20,K$22,$H294,$F$19)</f>
        <v>0</v>
      </c>
      <c r="L294" s="36">
        <f>_xll.DBRW($E$12,$F$16,$F$17,$F$18,$E294,$F$20,L$22,$H294,$F$19)</f>
        <v>147.09</v>
      </c>
      <c r="M294" s="36">
        <f>_xll.DBRW($E$12,$F$16,$F$17,$F$18,$E294,$F$20,M$22,$H294,$F$19)</f>
        <v>0</v>
      </c>
      <c r="N294" s="36">
        <f>_xll.DBRW($E$12,$F$16,$F$17,$F$18,$E294,$F$20,N$22,$H294,$F$19)</f>
        <v>5.38</v>
      </c>
      <c r="O294" s="36">
        <f>_xll.DBRW($E$12,$F$16,$F$17,$F$18,$E294,$F$20,O$22,$H294,$F$19)</f>
        <v>0</v>
      </c>
      <c r="P294" s="36">
        <f>_xll.DBRW($E$12,$F$16,$F$17,$F$18,$E294,$F$20,P$22,$H294,$F$19)</f>
        <v>0</v>
      </c>
      <c r="Q294" s="36">
        <f>_xll.DBRW($E$12,$F$16,$F$17,$F$18,$E294,$F$20,Q$22,$H294,$F$19)</f>
        <v>0</v>
      </c>
      <c r="R294" s="36">
        <f>_xll.DBRW($E$12,$F$16,$F$17,$F$18,$E294,$F$20,R$22,$H294,$F$19)</f>
        <v>0</v>
      </c>
      <c r="S294" s="36">
        <f>_xll.DBRW($E$12,$F$16,$F$17,$F$18,$E294,$F$20,S$22,$H294,$F$19)</f>
        <v>0</v>
      </c>
      <c r="T294" s="36">
        <f>_xll.DBRW($E$12,$F$16,$F$17,$F$18,$E294,$F$20,T$22,$H294,$F$19)</f>
        <v>0</v>
      </c>
      <c r="U294" s="36">
        <f>_xll.DBRW($E$12,$F$16,$F$17,$F$18,$E294,$F$20,U$22,$H294,$F$19)</f>
        <v>412.29999999999995</v>
      </c>
    </row>
    <row r="295" spans="4:21" s="37" customFormat="1" ht="15" outlineLevel="1" thickBot="1" x14ac:dyDescent="0.35">
      <c r="D295" s="33" t="str">
        <f>IF(_xll.TM1RPTELISCONSOLIDATED($H$34,$H295),IF(_xll.TM1RPTELLEV($H$34,$H295)&lt;=5,_xll.TM1RPTELLEV($H$34,$H295),"Default"),"Leaf")</f>
        <v>Leaf</v>
      </c>
      <c r="E295" s="42" t="s">
        <v>674</v>
      </c>
      <c r="F295" s="34" t="str">
        <f>_xll.DBR($B$18,$H295,"Account_Type")</f>
        <v>NON LABOR</v>
      </c>
      <c r="G295" s="34" t="str">
        <f>_xll.DBR($B$18,$H295,"Description")</f>
        <v>Small Tools</v>
      </c>
      <c r="H295" s="43" t="s">
        <v>311</v>
      </c>
      <c r="I295" s="36">
        <f>_xll.DBRW($E$12,$F$16,$F$17,$F$18,$E295,$F$20,I$22,$H295,$F$19)</f>
        <v>0</v>
      </c>
      <c r="J295" s="36">
        <f>_xll.DBRW($E$12,$F$16,$F$17,$F$18,$E295,$F$20,J$22,$H295,$F$19)</f>
        <v>0</v>
      </c>
      <c r="K295" s="36">
        <f>_xll.DBRW($E$12,$F$16,$F$17,$F$18,$E295,$F$20,K$22,$H295,$F$19)</f>
        <v>0</v>
      </c>
      <c r="L295" s="36">
        <f>_xll.DBRW($E$12,$F$16,$F$17,$F$18,$E295,$F$20,L$22,$H295,$F$19)</f>
        <v>0</v>
      </c>
      <c r="M295" s="36">
        <f>_xll.DBRW($E$12,$F$16,$F$17,$F$18,$E295,$F$20,M$22,$H295,$F$19)</f>
        <v>339.51</v>
      </c>
      <c r="N295" s="36">
        <f>_xll.DBRW($E$12,$F$16,$F$17,$F$18,$E295,$F$20,N$22,$H295,$F$19)</f>
        <v>0</v>
      </c>
      <c r="O295" s="36">
        <f>_xll.DBRW($E$12,$F$16,$F$17,$F$18,$E295,$F$20,O$22,$H295,$F$19)</f>
        <v>0</v>
      </c>
      <c r="P295" s="36">
        <f>_xll.DBRW($E$12,$F$16,$F$17,$F$18,$E295,$F$20,P$22,$H295,$F$19)</f>
        <v>0</v>
      </c>
      <c r="Q295" s="36">
        <f>_xll.DBRW($E$12,$F$16,$F$17,$F$18,$E295,$F$20,Q$22,$H295,$F$19)</f>
        <v>0</v>
      </c>
      <c r="R295" s="36">
        <f>_xll.DBRW($E$12,$F$16,$F$17,$F$18,$E295,$F$20,R$22,$H295,$F$19)</f>
        <v>0</v>
      </c>
      <c r="S295" s="36">
        <f>_xll.DBRW($E$12,$F$16,$F$17,$F$18,$E295,$F$20,S$22,$H295,$F$19)</f>
        <v>0</v>
      </c>
      <c r="T295" s="36">
        <f>_xll.DBRW($E$12,$F$16,$F$17,$F$18,$E295,$F$20,T$22,$H295,$F$19)</f>
        <v>0</v>
      </c>
      <c r="U295" s="36">
        <f>_xll.DBRW($E$12,$F$16,$F$17,$F$18,$E295,$F$20,U$22,$H295,$F$19)</f>
        <v>339.51</v>
      </c>
    </row>
    <row r="296" spans="4:21" s="37" customFormat="1" ht="15" outlineLevel="1" thickBot="1" x14ac:dyDescent="0.35">
      <c r="D296" s="33" t="str">
        <f>IF(_xll.TM1RPTELISCONSOLIDATED($H$34,$H296),IF(_xll.TM1RPTELLEV($H$34,$H296)&lt;=5,_xll.TM1RPTELLEV($H$34,$H296),"Default"),"Leaf")</f>
        <v>Leaf</v>
      </c>
      <c r="E296" s="42" t="s">
        <v>674</v>
      </c>
      <c r="F296" s="34" t="str">
        <f>_xll.DBR($B$18,$H296,"Account_Type")</f>
        <v>NON LABOR</v>
      </c>
      <c r="G296" s="34" t="str">
        <f>_xll.DBR($B$18,$H296,"Description")</f>
        <v>Consumable Purchases</v>
      </c>
      <c r="H296" s="43" t="s">
        <v>323</v>
      </c>
      <c r="I296" s="36">
        <f>_xll.DBRW($E$12,$F$16,$F$17,$F$18,$E296,$F$20,I$22,$H296,$F$19)</f>
        <v>4.79</v>
      </c>
      <c r="J296" s="36">
        <f>_xll.DBRW($E$12,$F$16,$F$17,$F$18,$E296,$F$20,J$22,$H296,$F$19)</f>
        <v>0</v>
      </c>
      <c r="K296" s="36">
        <f>_xll.DBRW($E$12,$F$16,$F$17,$F$18,$E296,$F$20,K$22,$H296,$F$19)</f>
        <v>0</v>
      </c>
      <c r="L296" s="36">
        <f>_xll.DBRW($E$12,$F$16,$F$17,$F$18,$E296,$F$20,L$22,$H296,$F$19)</f>
        <v>0</v>
      </c>
      <c r="M296" s="36">
        <f>_xll.DBRW($E$12,$F$16,$F$17,$F$18,$E296,$F$20,M$22,$H296,$F$19)</f>
        <v>0</v>
      </c>
      <c r="N296" s="36">
        <f>_xll.DBRW($E$12,$F$16,$F$17,$F$18,$E296,$F$20,N$22,$H296,$F$19)</f>
        <v>0</v>
      </c>
      <c r="O296" s="36">
        <f>_xll.DBRW($E$12,$F$16,$F$17,$F$18,$E296,$F$20,O$22,$H296,$F$19)</f>
        <v>0</v>
      </c>
      <c r="P296" s="36">
        <f>_xll.DBRW($E$12,$F$16,$F$17,$F$18,$E296,$F$20,P$22,$H296,$F$19)</f>
        <v>0</v>
      </c>
      <c r="Q296" s="36">
        <f>_xll.DBRW($E$12,$F$16,$F$17,$F$18,$E296,$F$20,Q$22,$H296,$F$19)</f>
        <v>0</v>
      </c>
      <c r="R296" s="36">
        <f>_xll.DBRW($E$12,$F$16,$F$17,$F$18,$E296,$F$20,R$22,$H296,$F$19)</f>
        <v>0</v>
      </c>
      <c r="S296" s="36">
        <f>_xll.DBRW($E$12,$F$16,$F$17,$F$18,$E296,$F$20,S$22,$H296,$F$19)</f>
        <v>0</v>
      </c>
      <c r="T296" s="36">
        <f>_xll.DBRW($E$12,$F$16,$F$17,$F$18,$E296,$F$20,T$22,$H296,$F$19)</f>
        <v>0</v>
      </c>
      <c r="U296" s="36">
        <f>_xll.DBRW($E$12,$F$16,$F$17,$F$18,$E296,$F$20,U$22,$H296,$F$19)</f>
        <v>4.79</v>
      </c>
    </row>
    <row r="297" spans="4:21" s="37" customFormat="1" ht="15" outlineLevel="1" thickBot="1" x14ac:dyDescent="0.35">
      <c r="D297" s="33" t="str">
        <f>IF(_xll.TM1RPTELISCONSOLIDATED($H$34,$H297),IF(_xll.TM1RPTELLEV($H$34,$H297)&lt;=5,_xll.TM1RPTELLEV($H$34,$H297),"Default"),"Leaf")</f>
        <v>Leaf</v>
      </c>
      <c r="E297" s="42" t="s">
        <v>674</v>
      </c>
      <c r="F297" s="34" t="str">
        <f>_xll.DBR($B$18,$H297,"Account_Type")</f>
        <v>NON LABOR</v>
      </c>
      <c r="G297" s="34" t="str">
        <f>_xll.DBR($B$18,$H297,"Description")</f>
        <v>Toolroom Consumables Applied</v>
      </c>
      <c r="H297" s="43" t="s">
        <v>338</v>
      </c>
      <c r="I297" s="36">
        <f>_xll.DBRW($E$12,$F$16,$F$17,$F$18,$E297,$F$20,I$22,$H297,$F$19)</f>
        <v>0</v>
      </c>
      <c r="J297" s="36">
        <f>_xll.DBRW($E$12,$F$16,$F$17,$F$18,$E297,$F$20,J$22,$H297,$F$19)</f>
        <v>0</v>
      </c>
      <c r="K297" s="36">
        <f>_xll.DBRW($E$12,$F$16,$F$17,$F$18,$E297,$F$20,K$22,$H297,$F$19)</f>
        <v>152.97</v>
      </c>
      <c r="L297" s="36">
        <f>_xll.DBRW($E$12,$F$16,$F$17,$F$18,$E297,$F$20,L$22,$H297,$F$19)</f>
        <v>0</v>
      </c>
      <c r="M297" s="36">
        <f>_xll.DBRW($E$12,$F$16,$F$17,$F$18,$E297,$F$20,M$22,$H297,$F$19)</f>
        <v>22</v>
      </c>
      <c r="N297" s="36">
        <f>_xll.DBRW($E$12,$F$16,$F$17,$F$18,$E297,$F$20,N$22,$H297,$F$19)</f>
        <v>0</v>
      </c>
      <c r="O297" s="36">
        <f>_xll.DBRW($E$12,$F$16,$F$17,$F$18,$E297,$F$20,O$22,$H297,$F$19)</f>
        <v>0</v>
      </c>
      <c r="P297" s="36">
        <f>_xll.DBRW($E$12,$F$16,$F$17,$F$18,$E297,$F$20,P$22,$H297,$F$19)</f>
        <v>0</v>
      </c>
      <c r="Q297" s="36">
        <f>_xll.DBRW($E$12,$F$16,$F$17,$F$18,$E297,$F$20,Q$22,$H297,$F$19)</f>
        <v>0</v>
      </c>
      <c r="R297" s="36">
        <f>_xll.DBRW($E$12,$F$16,$F$17,$F$18,$E297,$F$20,R$22,$H297,$F$19)</f>
        <v>0</v>
      </c>
      <c r="S297" s="36">
        <f>_xll.DBRW($E$12,$F$16,$F$17,$F$18,$E297,$F$20,S$22,$H297,$F$19)</f>
        <v>0</v>
      </c>
      <c r="T297" s="36">
        <f>_xll.DBRW($E$12,$F$16,$F$17,$F$18,$E297,$F$20,T$22,$H297,$F$19)</f>
        <v>0</v>
      </c>
      <c r="U297" s="36">
        <f>_xll.DBRW($E$12,$F$16,$F$17,$F$18,$E297,$F$20,U$22,$H297,$F$19)</f>
        <v>174.97</v>
      </c>
    </row>
    <row r="298" spans="4:21" s="37" customFormat="1" ht="15" outlineLevel="1" thickBot="1" x14ac:dyDescent="0.35">
      <c r="D298" s="33" t="str">
        <f>IF(_xll.TM1RPTELISCONSOLIDATED($H$34,$H298),IF(_xll.TM1RPTELLEV($H$34,$H298)&lt;=5,_xll.TM1RPTELLEV($H$34,$H298),"Default"),"Leaf")</f>
        <v>Leaf</v>
      </c>
      <c r="E298" s="42" t="s">
        <v>674</v>
      </c>
      <c r="F298" s="34" t="str">
        <f>_xll.DBR($B$18,$H298,"Account_Type")</f>
        <v>NON LABOR</v>
      </c>
      <c r="G298" s="34" t="str">
        <f>_xll.DBR($B$18,$H298,"Description")</f>
        <v>Toolroom Consumables Applied</v>
      </c>
      <c r="H298" s="43" t="s">
        <v>339</v>
      </c>
      <c r="I298" s="36">
        <f>_xll.DBRW($E$12,$F$16,$F$17,$F$18,$E298,$F$20,I$22,$H298,$F$19)</f>
        <v>725.65</v>
      </c>
      <c r="J298" s="36">
        <f>_xll.DBRW($E$12,$F$16,$F$17,$F$18,$E298,$F$20,J$22,$H298,$F$19)</f>
        <v>368.28</v>
      </c>
      <c r="K298" s="36">
        <f>_xll.DBRW($E$12,$F$16,$F$17,$F$18,$E298,$F$20,K$22,$H298,$F$19)</f>
        <v>0</v>
      </c>
      <c r="L298" s="36">
        <f>_xll.DBRW($E$12,$F$16,$F$17,$F$18,$E298,$F$20,L$22,$H298,$F$19)</f>
        <v>0</v>
      </c>
      <c r="M298" s="36">
        <f>_xll.DBRW($E$12,$F$16,$F$17,$F$18,$E298,$F$20,M$22,$H298,$F$19)</f>
        <v>0</v>
      </c>
      <c r="N298" s="36">
        <f>_xll.DBRW($E$12,$F$16,$F$17,$F$18,$E298,$F$20,N$22,$H298,$F$19)</f>
        <v>0</v>
      </c>
      <c r="O298" s="36">
        <f>_xll.DBRW($E$12,$F$16,$F$17,$F$18,$E298,$F$20,O$22,$H298,$F$19)</f>
        <v>0</v>
      </c>
      <c r="P298" s="36">
        <f>_xll.DBRW($E$12,$F$16,$F$17,$F$18,$E298,$F$20,P$22,$H298,$F$19)</f>
        <v>0</v>
      </c>
      <c r="Q298" s="36">
        <f>_xll.DBRW($E$12,$F$16,$F$17,$F$18,$E298,$F$20,Q$22,$H298,$F$19)</f>
        <v>0</v>
      </c>
      <c r="R298" s="36">
        <f>_xll.DBRW($E$12,$F$16,$F$17,$F$18,$E298,$F$20,R$22,$H298,$F$19)</f>
        <v>0</v>
      </c>
      <c r="S298" s="36">
        <f>_xll.DBRW($E$12,$F$16,$F$17,$F$18,$E298,$F$20,S$22,$H298,$F$19)</f>
        <v>0</v>
      </c>
      <c r="T298" s="36">
        <f>_xll.DBRW($E$12,$F$16,$F$17,$F$18,$E298,$F$20,T$22,$H298,$F$19)</f>
        <v>0</v>
      </c>
      <c r="U298" s="36">
        <f>_xll.DBRW($E$12,$F$16,$F$17,$F$18,$E298,$F$20,U$22,$H298,$F$19)</f>
        <v>1093.9299999999998</v>
      </c>
    </row>
    <row r="299" spans="4:21" s="37" customFormat="1" ht="15" outlineLevel="1" thickBot="1" x14ac:dyDescent="0.35">
      <c r="D299" s="33" t="str">
        <f>IF(_xll.TM1RPTELISCONSOLIDATED($H$34,$H299),IF(_xll.TM1RPTELLEV($H$34,$H299)&lt;=5,_xll.TM1RPTELLEV($H$34,$H299),"Default"),"Leaf")</f>
        <v>Leaf</v>
      </c>
      <c r="E299" s="42" t="s">
        <v>674</v>
      </c>
      <c r="F299" s="34" t="str">
        <f>_xll.DBR($B$18,$H299,"Account_Type")</f>
        <v>NON LABOR</v>
      </c>
      <c r="G299" s="34" t="str">
        <f>_xll.DBR($B$18,$H299,"Description")</f>
        <v>Employee Leased Vehicles</v>
      </c>
      <c r="H299" s="43" t="s">
        <v>357</v>
      </c>
      <c r="I299" s="36">
        <f>_xll.DBRW($E$12,$F$16,$F$17,$F$18,$E299,$F$20,I$22,$H299,$F$19)</f>
        <v>2900</v>
      </c>
      <c r="J299" s="36">
        <f>_xll.DBRW($E$12,$F$16,$F$17,$F$18,$E299,$F$20,J$22,$H299,$F$19)</f>
        <v>2900</v>
      </c>
      <c r="K299" s="36">
        <f>_xll.DBRW($E$12,$F$16,$F$17,$F$18,$E299,$F$20,K$22,$H299,$F$19)</f>
        <v>2900</v>
      </c>
      <c r="L299" s="36">
        <f>_xll.DBRW($E$12,$F$16,$F$17,$F$18,$E299,$F$20,L$22,$H299,$F$19)</f>
        <v>2200</v>
      </c>
      <c r="M299" s="36">
        <f>_xll.DBRW($E$12,$F$16,$F$17,$F$18,$E299,$F$20,M$22,$H299,$F$19)</f>
        <v>7500</v>
      </c>
      <c r="N299" s="36">
        <f>_xll.DBRW($E$12,$F$16,$F$17,$F$18,$E299,$F$20,N$22,$H299,$F$19)</f>
        <v>0</v>
      </c>
      <c r="O299" s="36">
        <f>_xll.DBRW($E$12,$F$16,$F$17,$F$18,$E299,$F$20,O$22,$H299,$F$19)</f>
        <v>0</v>
      </c>
      <c r="P299" s="36">
        <f>_xll.DBRW($E$12,$F$16,$F$17,$F$18,$E299,$F$20,P$22,$H299,$F$19)</f>
        <v>0</v>
      </c>
      <c r="Q299" s="36">
        <f>_xll.DBRW($E$12,$F$16,$F$17,$F$18,$E299,$F$20,Q$22,$H299,$F$19)</f>
        <v>0</v>
      </c>
      <c r="R299" s="36">
        <f>_xll.DBRW($E$12,$F$16,$F$17,$F$18,$E299,$F$20,R$22,$H299,$F$19)</f>
        <v>0</v>
      </c>
      <c r="S299" s="36">
        <f>_xll.DBRW($E$12,$F$16,$F$17,$F$18,$E299,$F$20,S$22,$H299,$F$19)</f>
        <v>0</v>
      </c>
      <c r="T299" s="36">
        <f>_xll.DBRW($E$12,$F$16,$F$17,$F$18,$E299,$F$20,T$22,$H299,$F$19)</f>
        <v>0</v>
      </c>
      <c r="U299" s="36">
        <f>_xll.DBRW($E$12,$F$16,$F$17,$F$18,$E299,$F$20,U$22,$H299,$F$19)</f>
        <v>18400</v>
      </c>
    </row>
    <row r="300" spans="4:21" s="37" customFormat="1" ht="15" outlineLevel="1" thickBot="1" x14ac:dyDescent="0.35">
      <c r="D300" s="33" t="str">
        <f>IF(_xll.TM1RPTELISCONSOLIDATED($H$34,$H300),IF(_xll.TM1RPTELLEV($H$34,$H300)&lt;=5,_xll.TM1RPTELLEV($H$34,$H300),"Default"),"Leaf")</f>
        <v>Leaf</v>
      </c>
      <c r="E300" s="42" t="s">
        <v>674</v>
      </c>
      <c r="F300" s="34" t="str">
        <f>_xll.DBR($B$18,$H300,"Account_Type")</f>
        <v>NON LABOR</v>
      </c>
      <c r="G300" s="34" t="str">
        <f>_xll.DBR($B$18,$H300,"Description")</f>
        <v>Employee Leased Vehicles</v>
      </c>
      <c r="H300" s="43" t="s">
        <v>358</v>
      </c>
      <c r="I300" s="36">
        <f>_xll.DBRW($E$12,$F$16,$F$17,$F$18,$E300,$F$20,I$22,$H300,$F$19)</f>
        <v>1700</v>
      </c>
      <c r="J300" s="36">
        <f>_xll.DBRW($E$12,$F$16,$F$17,$F$18,$E300,$F$20,J$22,$H300,$F$19)</f>
        <v>1700</v>
      </c>
      <c r="K300" s="36">
        <f>_xll.DBRW($E$12,$F$16,$F$17,$F$18,$E300,$F$20,K$22,$H300,$F$19)</f>
        <v>1700</v>
      </c>
      <c r="L300" s="36">
        <f>_xll.DBRW($E$12,$F$16,$F$17,$F$18,$E300,$F$20,L$22,$H300,$F$19)</f>
        <v>1700</v>
      </c>
      <c r="M300" s="36">
        <f>_xll.DBRW($E$12,$F$16,$F$17,$F$18,$E300,$F$20,M$22,$H300,$F$19)</f>
        <v>1700</v>
      </c>
      <c r="N300" s="36">
        <f>_xll.DBRW($E$12,$F$16,$F$17,$F$18,$E300,$F$20,N$22,$H300,$F$19)</f>
        <v>0</v>
      </c>
      <c r="O300" s="36">
        <f>_xll.DBRW($E$12,$F$16,$F$17,$F$18,$E300,$F$20,O$22,$H300,$F$19)</f>
        <v>0</v>
      </c>
      <c r="P300" s="36">
        <f>_xll.DBRW($E$12,$F$16,$F$17,$F$18,$E300,$F$20,P$22,$H300,$F$19)</f>
        <v>0</v>
      </c>
      <c r="Q300" s="36">
        <f>_xll.DBRW($E$12,$F$16,$F$17,$F$18,$E300,$F$20,Q$22,$H300,$F$19)</f>
        <v>0</v>
      </c>
      <c r="R300" s="36">
        <f>_xll.DBRW($E$12,$F$16,$F$17,$F$18,$E300,$F$20,R$22,$H300,$F$19)</f>
        <v>0</v>
      </c>
      <c r="S300" s="36">
        <f>_xll.DBRW($E$12,$F$16,$F$17,$F$18,$E300,$F$20,S$22,$H300,$F$19)</f>
        <v>0</v>
      </c>
      <c r="T300" s="36">
        <f>_xll.DBRW($E$12,$F$16,$F$17,$F$18,$E300,$F$20,T$22,$H300,$F$19)</f>
        <v>0</v>
      </c>
      <c r="U300" s="36">
        <f>_xll.DBRW($E$12,$F$16,$F$17,$F$18,$E300,$F$20,U$22,$H300,$F$19)</f>
        <v>8500</v>
      </c>
    </row>
    <row r="301" spans="4:21" s="37" customFormat="1" ht="15" outlineLevel="1" thickBot="1" x14ac:dyDescent="0.35">
      <c r="D301" s="33" t="str">
        <f>IF(_xll.TM1RPTELISCONSOLIDATED($H$34,$H301),IF(_xll.TM1RPTELLEV($H$34,$H301)&lt;=5,_xll.TM1RPTELLEV($H$34,$H301),"Default"),"Leaf")</f>
        <v>Leaf</v>
      </c>
      <c r="E301" s="42" t="s">
        <v>674</v>
      </c>
      <c r="F301" s="34" t="str">
        <f>_xll.DBR($B$18,$H301,"Account_Type")</f>
        <v>NON LABOR</v>
      </c>
      <c r="G301" s="34" t="str">
        <f>_xll.DBR($B$18,$H301,"Description")</f>
        <v>Employee Leased Vehicles</v>
      </c>
      <c r="H301" s="43" t="s">
        <v>359</v>
      </c>
      <c r="I301" s="36">
        <f>_xll.DBRW($E$12,$F$16,$F$17,$F$18,$E301,$F$20,I$22,$H301,$F$19)</f>
        <v>1200</v>
      </c>
      <c r="J301" s="36">
        <f>_xll.DBRW($E$12,$F$16,$F$17,$F$18,$E301,$F$20,J$22,$H301,$F$19)</f>
        <v>1200</v>
      </c>
      <c r="K301" s="36">
        <f>_xll.DBRW($E$12,$F$16,$F$17,$F$18,$E301,$F$20,K$22,$H301,$F$19)</f>
        <v>1200</v>
      </c>
      <c r="L301" s="36">
        <f>_xll.DBRW($E$12,$F$16,$F$17,$F$18,$E301,$F$20,L$22,$H301,$F$19)</f>
        <v>1200</v>
      </c>
      <c r="M301" s="36">
        <f>_xll.DBRW($E$12,$F$16,$F$17,$F$18,$E301,$F$20,M$22,$H301,$F$19)</f>
        <v>2400</v>
      </c>
      <c r="N301" s="36">
        <f>_xll.DBRW($E$12,$F$16,$F$17,$F$18,$E301,$F$20,N$22,$H301,$F$19)</f>
        <v>0</v>
      </c>
      <c r="O301" s="36">
        <f>_xll.DBRW($E$12,$F$16,$F$17,$F$18,$E301,$F$20,O$22,$H301,$F$19)</f>
        <v>0</v>
      </c>
      <c r="P301" s="36">
        <f>_xll.DBRW($E$12,$F$16,$F$17,$F$18,$E301,$F$20,P$22,$H301,$F$19)</f>
        <v>0</v>
      </c>
      <c r="Q301" s="36">
        <f>_xll.DBRW($E$12,$F$16,$F$17,$F$18,$E301,$F$20,Q$22,$H301,$F$19)</f>
        <v>0</v>
      </c>
      <c r="R301" s="36">
        <f>_xll.DBRW($E$12,$F$16,$F$17,$F$18,$E301,$F$20,R$22,$H301,$F$19)</f>
        <v>0</v>
      </c>
      <c r="S301" s="36">
        <f>_xll.DBRW($E$12,$F$16,$F$17,$F$18,$E301,$F$20,S$22,$H301,$F$19)</f>
        <v>0</v>
      </c>
      <c r="T301" s="36">
        <f>_xll.DBRW($E$12,$F$16,$F$17,$F$18,$E301,$F$20,T$22,$H301,$F$19)</f>
        <v>0</v>
      </c>
      <c r="U301" s="36">
        <f>_xll.DBRW($E$12,$F$16,$F$17,$F$18,$E301,$F$20,U$22,$H301,$F$19)</f>
        <v>7200</v>
      </c>
    </row>
    <row r="302" spans="4:21" s="37" customFormat="1" ht="15" outlineLevel="1" thickBot="1" x14ac:dyDescent="0.35">
      <c r="D302" s="33" t="str">
        <f>IF(_xll.TM1RPTELISCONSOLIDATED($H$34,$H302),IF(_xll.TM1RPTELLEV($H$34,$H302)&lt;=5,_xll.TM1RPTELLEV($H$34,$H302),"Default"),"Leaf")</f>
        <v>Leaf</v>
      </c>
      <c r="E302" s="42" t="s">
        <v>674</v>
      </c>
      <c r="F302" s="34" t="str">
        <f>_xll.DBR($B$18,$H302,"Account_Type")</f>
        <v>NON LABOR</v>
      </c>
      <c r="G302" s="34" t="str">
        <f>_xll.DBR($B$18,$H302,"Description")</f>
        <v>Fleet Leased Vehicle Expense</v>
      </c>
      <c r="H302" s="43" t="s">
        <v>376</v>
      </c>
      <c r="I302" s="36">
        <f>_xll.DBRW($E$12,$F$16,$F$17,$F$18,$E302,$F$20,I$22,$H302,$F$19)</f>
        <v>879</v>
      </c>
      <c r="J302" s="36">
        <f>_xll.DBRW($E$12,$F$16,$F$17,$F$18,$E302,$F$20,J$22,$H302,$F$19)</f>
        <v>1466.35</v>
      </c>
      <c r="K302" s="36">
        <f>_xll.DBRW($E$12,$F$16,$F$17,$F$18,$E302,$F$20,K$22,$H302,$F$19)</f>
        <v>1759.15</v>
      </c>
      <c r="L302" s="36">
        <f>_xll.DBRW($E$12,$F$16,$F$17,$F$18,$E302,$F$20,L$22,$H302,$F$19)</f>
        <v>3532.92</v>
      </c>
      <c r="M302" s="36">
        <f>_xll.DBRW($E$12,$F$16,$F$17,$F$18,$E302,$F$20,M$22,$H302,$F$19)</f>
        <v>0</v>
      </c>
      <c r="N302" s="36">
        <f>_xll.DBRW($E$12,$F$16,$F$17,$F$18,$E302,$F$20,N$22,$H302,$F$19)</f>
        <v>1866</v>
      </c>
      <c r="O302" s="36">
        <f>_xll.DBRW($E$12,$F$16,$F$17,$F$18,$E302,$F$20,O$22,$H302,$F$19)</f>
        <v>0</v>
      </c>
      <c r="P302" s="36">
        <f>_xll.DBRW($E$12,$F$16,$F$17,$F$18,$E302,$F$20,P$22,$H302,$F$19)</f>
        <v>0</v>
      </c>
      <c r="Q302" s="36">
        <f>_xll.DBRW($E$12,$F$16,$F$17,$F$18,$E302,$F$20,Q$22,$H302,$F$19)</f>
        <v>0</v>
      </c>
      <c r="R302" s="36">
        <f>_xll.DBRW($E$12,$F$16,$F$17,$F$18,$E302,$F$20,R$22,$H302,$F$19)</f>
        <v>0</v>
      </c>
      <c r="S302" s="36">
        <f>_xll.DBRW($E$12,$F$16,$F$17,$F$18,$E302,$F$20,S$22,$H302,$F$19)</f>
        <v>0</v>
      </c>
      <c r="T302" s="36">
        <f>_xll.DBRW($E$12,$F$16,$F$17,$F$18,$E302,$F$20,T$22,$H302,$F$19)</f>
        <v>0</v>
      </c>
      <c r="U302" s="36">
        <f>_xll.DBRW($E$12,$F$16,$F$17,$F$18,$E302,$F$20,U$22,$H302,$F$19)</f>
        <v>9503.42</v>
      </c>
    </row>
    <row r="303" spans="4:21" s="37" customFormat="1" ht="15" outlineLevel="1" thickBot="1" x14ac:dyDescent="0.35">
      <c r="D303" s="33" t="str">
        <f>IF(_xll.TM1RPTELISCONSOLIDATED($H$34,$H303),IF(_xll.TM1RPTELLEV($H$34,$H303)&lt;=5,_xll.TM1RPTELLEV($H$34,$H303),"Default"),"Leaf")</f>
        <v>Leaf</v>
      </c>
      <c r="E303" s="42" t="s">
        <v>674</v>
      </c>
      <c r="F303" s="34" t="str">
        <f>_xll.DBR($B$18,$H303,"Account_Type")</f>
        <v>NON LABOR</v>
      </c>
      <c r="G303" s="34" t="str">
        <f>_xll.DBR($B$18,$H303,"Description")</f>
        <v>Fleet Leased Vehicle Expense</v>
      </c>
      <c r="H303" s="43" t="s">
        <v>384</v>
      </c>
      <c r="I303" s="36">
        <f>_xll.DBRW($E$12,$F$16,$F$17,$F$18,$E303,$F$20,I$22,$H303,$F$19)</f>
        <v>-15838.9</v>
      </c>
      <c r="J303" s="36">
        <f>_xll.DBRW($E$12,$F$16,$F$17,$F$18,$E303,$F$20,J$22,$H303,$F$19)</f>
        <v>-16726.080000000002</v>
      </c>
      <c r="K303" s="36">
        <f>_xll.DBRW($E$12,$F$16,$F$17,$F$18,$E303,$F$20,K$22,$H303,$F$19)</f>
        <v>-17059.97</v>
      </c>
      <c r="L303" s="36">
        <f>_xll.DBRW($E$12,$F$16,$F$17,$F$18,$E303,$F$20,L$22,$H303,$F$19)</f>
        <v>-19958.28</v>
      </c>
      <c r="M303" s="36">
        <f>_xll.DBRW($E$12,$F$16,$F$17,$F$18,$E303,$F$20,M$22,$H303,$F$19)</f>
        <v>0</v>
      </c>
      <c r="N303" s="36">
        <f>_xll.DBRW($E$12,$F$16,$F$17,$F$18,$E303,$F$20,N$22,$H303,$F$19)</f>
        <v>158.71</v>
      </c>
      <c r="O303" s="36">
        <f>_xll.DBRW($E$12,$F$16,$F$17,$F$18,$E303,$F$20,O$22,$H303,$F$19)</f>
        <v>0</v>
      </c>
      <c r="P303" s="36">
        <f>_xll.DBRW($E$12,$F$16,$F$17,$F$18,$E303,$F$20,P$22,$H303,$F$19)</f>
        <v>0</v>
      </c>
      <c r="Q303" s="36">
        <f>_xll.DBRW($E$12,$F$16,$F$17,$F$18,$E303,$F$20,Q$22,$H303,$F$19)</f>
        <v>0</v>
      </c>
      <c r="R303" s="36">
        <f>_xll.DBRW($E$12,$F$16,$F$17,$F$18,$E303,$F$20,R$22,$H303,$F$19)</f>
        <v>0</v>
      </c>
      <c r="S303" s="36">
        <f>_xll.DBRW($E$12,$F$16,$F$17,$F$18,$E303,$F$20,S$22,$H303,$F$19)</f>
        <v>0</v>
      </c>
      <c r="T303" s="36">
        <f>_xll.DBRW($E$12,$F$16,$F$17,$F$18,$E303,$F$20,T$22,$H303,$F$19)</f>
        <v>0</v>
      </c>
      <c r="U303" s="36">
        <f>_xll.DBRW($E$12,$F$16,$F$17,$F$18,$E303,$F$20,U$22,$H303,$F$19)</f>
        <v>-69424.52</v>
      </c>
    </row>
    <row r="304" spans="4:21" s="37" customFormat="1" ht="15" outlineLevel="1" thickBot="1" x14ac:dyDescent="0.35">
      <c r="D304" s="33" t="str">
        <f>IF(_xll.TM1RPTELISCONSOLIDATED($H$34,$H304),IF(_xll.TM1RPTELLEV($H$34,$H304)&lt;=5,_xll.TM1RPTELLEV($H$34,$H304),"Default"),"Leaf")</f>
        <v>Leaf</v>
      </c>
      <c r="E304" s="42" t="s">
        <v>674</v>
      </c>
      <c r="F304" s="34" t="str">
        <f>_xll.DBR($B$18,$H304,"Account_Type")</f>
        <v>NON LABOR</v>
      </c>
      <c r="G304" s="34" t="str">
        <f>_xll.DBR($B$18,$H304,"Description")</f>
        <v>Fuel to Leased Vehicles</v>
      </c>
      <c r="H304" s="43" t="s">
        <v>393</v>
      </c>
      <c r="I304" s="36">
        <f>_xll.DBRW($E$12,$F$16,$F$17,$F$18,$E304,$F$20,I$22,$H304,$F$19)</f>
        <v>441.54</v>
      </c>
      <c r="J304" s="36">
        <f>_xll.DBRW($E$12,$F$16,$F$17,$F$18,$E304,$F$20,J$22,$H304,$F$19)</f>
        <v>1426.05</v>
      </c>
      <c r="K304" s="36">
        <f>_xll.DBRW($E$12,$F$16,$F$17,$F$18,$E304,$F$20,K$22,$H304,$F$19)</f>
        <v>345.95</v>
      </c>
      <c r="L304" s="36">
        <f>_xll.DBRW($E$12,$F$16,$F$17,$F$18,$E304,$F$20,L$22,$H304,$F$19)</f>
        <v>160.99</v>
      </c>
      <c r="M304" s="36">
        <f>_xll.DBRW($E$12,$F$16,$F$17,$F$18,$E304,$F$20,M$22,$H304,$F$19)</f>
        <v>175.86</v>
      </c>
      <c r="N304" s="36">
        <f>_xll.DBRW($E$12,$F$16,$F$17,$F$18,$E304,$F$20,N$22,$H304,$F$19)</f>
        <v>0</v>
      </c>
      <c r="O304" s="36">
        <f>_xll.DBRW($E$12,$F$16,$F$17,$F$18,$E304,$F$20,O$22,$H304,$F$19)</f>
        <v>0</v>
      </c>
      <c r="P304" s="36">
        <f>_xll.DBRW($E$12,$F$16,$F$17,$F$18,$E304,$F$20,P$22,$H304,$F$19)</f>
        <v>0</v>
      </c>
      <c r="Q304" s="36">
        <f>_xll.DBRW($E$12,$F$16,$F$17,$F$18,$E304,$F$20,Q$22,$H304,$F$19)</f>
        <v>0</v>
      </c>
      <c r="R304" s="36">
        <f>_xll.DBRW($E$12,$F$16,$F$17,$F$18,$E304,$F$20,R$22,$H304,$F$19)</f>
        <v>0</v>
      </c>
      <c r="S304" s="36">
        <f>_xll.DBRW($E$12,$F$16,$F$17,$F$18,$E304,$F$20,S$22,$H304,$F$19)</f>
        <v>0</v>
      </c>
      <c r="T304" s="36">
        <f>_xll.DBRW($E$12,$F$16,$F$17,$F$18,$E304,$F$20,T$22,$H304,$F$19)</f>
        <v>0</v>
      </c>
      <c r="U304" s="36">
        <f>_xll.DBRW($E$12,$F$16,$F$17,$F$18,$E304,$F$20,U$22,$H304,$F$19)</f>
        <v>2550.39</v>
      </c>
    </row>
    <row r="305" spans="4:21" s="37" customFormat="1" ht="15" outlineLevel="1" thickBot="1" x14ac:dyDescent="0.35">
      <c r="D305" s="33" t="str">
        <f>IF(_xll.TM1RPTELISCONSOLIDATED($H$34,$H305),IF(_xll.TM1RPTELLEV($H$34,$H305)&lt;=5,_xll.TM1RPTELLEV($H$34,$H305),"Default"),"Leaf")</f>
        <v>Leaf</v>
      </c>
      <c r="E305" s="42" t="s">
        <v>674</v>
      </c>
      <c r="F305" s="34" t="str">
        <f>_xll.DBR($B$18,$H305,"Account_Type")</f>
        <v>NON LABOR</v>
      </c>
      <c r="G305" s="34" t="str">
        <f>_xll.DBR($B$18,$H305,"Description")</f>
        <v>Fuel to Leased Vehicles</v>
      </c>
      <c r="H305" s="43" t="s">
        <v>394</v>
      </c>
      <c r="I305" s="36">
        <f>_xll.DBRW($E$12,$F$16,$F$17,$F$18,$E305,$F$20,I$22,$H305,$F$19)</f>
        <v>472.02</v>
      </c>
      <c r="J305" s="36">
        <f>_xll.DBRW($E$12,$F$16,$F$17,$F$18,$E305,$F$20,J$22,$H305,$F$19)</f>
        <v>968.18</v>
      </c>
      <c r="K305" s="36">
        <f>_xll.DBRW($E$12,$F$16,$F$17,$F$18,$E305,$F$20,K$22,$H305,$F$19)</f>
        <v>558.57000000000005</v>
      </c>
      <c r="L305" s="36">
        <f>_xll.DBRW($E$12,$F$16,$F$17,$F$18,$E305,$F$20,L$22,$H305,$F$19)</f>
        <v>893.26</v>
      </c>
      <c r="M305" s="36">
        <f>_xll.DBRW($E$12,$F$16,$F$17,$F$18,$E305,$F$20,M$22,$H305,$F$19)</f>
        <v>1131.42</v>
      </c>
      <c r="N305" s="36">
        <f>_xll.DBRW($E$12,$F$16,$F$17,$F$18,$E305,$F$20,N$22,$H305,$F$19)</f>
        <v>0</v>
      </c>
      <c r="O305" s="36">
        <f>_xll.DBRW($E$12,$F$16,$F$17,$F$18,$E305,$F$20,O$22,$H305,$F$19)</f>
        <v>0</v>
      </c>
      <c r="P305" s="36">
        <f>_xll.DBRW($E$12,$F$16,$F$17,$F$18,$E305,$F$20,P$22,$H305,$F$19)</f>
        <v>0</v>
      </c>
      <c r="Q305" s="36">
        <f>_xll.DBRW($E$12,$F$16,$F$17,$F$18,$E305,$F$20,Q$22,$H305,$F$19)</f>
        <v>0</v>
      </c>
      <c r="R305" s="36">
        <f>_xll.DBRW($E$12,$F$16,$F$17,$F$18,$E305,$F$20,R$22,$H305,$F$19)</f>
        <v>0</v>
      </c>
      <c r="S305" s="36">
        <f>_xll.DBRW($E$12,$F$16,$F$17,$F$18,$E305,$F$20,S$22,$H305,$F$19)</f>
        <v>0</v>
      </c>
      <c r="T305" s="36">
        <f>_xll.DBRW($E$12,$F$16,$F$17,$F$18,$E305,$F$20,T$22,$H305,$F$19)</f>
        <v>0</v>
      </c>
      <c r="U305" s="36">
        <f>_xll.DBRW($E$12,$F$16,$F$17,$F$18,$E305,$F$20,U$22,$H305,$F$19)</f>
        <v>4023.45</v>
      </c>
    </row>
    <row r="306" spans="4:21" s="37" customFormat="1" ht="15" outlineLevel="1" thickBot="1" x14ac:dyDescent="0.35">
      <c r="D306" s="33" t="str">
        <f>IF(_xll.TM1RPTELISCONSOLIDATED($H$34,$H306),IF(_xll.TM1RPTELLEV($H$34,$H306)&lt;=5,_xll.TM1RPTELLEV($H$34,$H306),"Default"),"Leaf")</f>
        <v>Leaf</v>
      </c>
      <c r="E306" s="42" t="s">
        <v>674</v>
      </c>
      <c r="F306" s="34" t="str">
        <f>_xll.DBR($B$18,$H306,"Account_Type")</f>
        <v>NON LABOR</v>
      </c>
      <c r="G306" s="34" t="str">
        <f>_xll.DBR($B$18,$H306,"Description")</f>
        <v>Company Owned Equipment</v>
      </c>
      <c r="H306" s="43" t="s">
        <v>419</v>
      </c>
      <c r="I306" s="36">
        <f>_xll.DBRW($E$12,$F$16,$F$17,$F$18,$E306,$F$20,I$22,$H306,$F$19)</f>
        <v>85</v>
      </c>
      <c r="J306" s="36">
        <f>_xll.DBRW($E$12,$F$16,$F$17,$F$18,$E306,$F$20,J$22,$H306,$F$19)</f>
        <v>0</v>
      </c>
      <c r="K306" s="36">
        <f>_xll.DBRW($E$12,$F$16,$F$17,$F$18,$E306,$F$20,K$22,$H306,$F$19)</f>
        <v>85</v>
      </c>
      <c r="L306" s="36">
        <f>_xll.DBRW($E$12,$F$16,$F$17,$F$18,$E306,$F$20,L$22,$H306,$F$19)</f>
        <v>85</v>
      </c>
      <c r="M306" s="36">
        <f>_xll.DBRW($E$12,$F$16,$F$17,$F$18,$E306,$F$20,M$22,$H306,$F$19)</f>
        <v>83</v>
      </c>
      <c r="N306" s="36">
        <f>_xll.DBRW($E$12,$F$16,$F$17,$F$18,$E306,$F$20,N$22,$H306,$F$19)</f>
        <v>0</v>
      </c>
      <c r="O306" s="36">
        <f>_xll.DBRW($E$12,$F$16,$F$17,$F$18,$E306,$F$20,O$22,$H306,$F$19)</f>
        <v>0</v>
      </c>
      <c r="P306" s="36">
        <f>_xll.DBRW($E$12,$F$16,$F$17,$F$18,$E306,$F$20,P$22,$H306,$F$19)</f>
        <v>0</v>
      </c>
      <c r="Q306" s="36">
        <f>_xll.DBRW($E$12,$F$16,$F$17,$F$18,$E306,$F$20,Q$22,$H306,$F$19)</f>
        <v>0</v>
      </c>
      <c r="R306" s="36">
        <f>_xll.DBRW($E$12,$F$16,$F$17,$F$18,$E306,$F$20,R$22,$H306,$F$19)</f>
        <v>0</v>
      </c>
      <c r="S306" s="36">
        <f>_xll.DBRW($E$12,$F$16,$F$17,$F$18,$E306,$F$20,S$22,$H306,$F$19)</f>
        <v>0</v>
      </c>
      <c r="T306" s="36">
        <f>_xll.DBRW($E$12,$F$16,$F$17,$F$18,$E306,$F$20,T$22,$H306,$F$19)</f>
        <v>0</v>
      </c>
      <c r="U306" s="36">
        <f>_xll.DBRW($E$12,$F$16,$F$17,$F$18,$E306,$F$20,U$22,$H306,$F$19)</f>
        <v>338</v>
      </c>
    </row>
    <row r="307" spans="4:21" s="37" customFormat="1" ht="15" outlineLevel="1" thickBot="1" x14ac:dyDescent="0.35">
      <c r="D307" s="33" t="str">
        <f>IF(_xll.TM1RPTELISCONSOLIDATED($H$34,$H307),IF(_xll.TM1RPTELLEV($H$34,$H307)&lt;=5,_xll.TM1RPTELLEV($H$34,$H307),"Default"),"Leaf")</f>
        <v>Leaf</v>
      </c>
      <c r="E307" s="42" t="s">
        <v>674</v>
      </c>
      <c r="F307" s="34" t="str">
        <f>_xll.DBR($B$18,$H307,"Account_Type")</f>
        <v>NON LABOR</v>
      </c>
      <c r="G307" s="34" t="str">
        <f>_xll.DBR($B$18,$H307,"Description")</f>
        <v>Fuel to Company Owned Equipment</v>
      </c>
      <c r="H307" s="43" t="s">
        <v>433</v>
      </c>
      <c r="I307" s="36">
        <f>_xll.DBRW($E$12,$F$16,$F$17,$F$18,$E307,$F$20,I$22,$H307,$F$19)</f>
        <v>127.19</v>
      </c>
      <c r="J307" s="36">
        <f>_xll.DBRW($E$12,$F$16,$F$17,$F$18,$E307,$F$20,J$22,$H307,$F$19)</f>
        <v>0</v>
      </c>
      <c r="K307" s="36">
        <f>_xll.DBRW($E$12,$F$16,$F$17,$F$18,$E307,$F$20,K$22,$H307,$F$19)</f>
        <v>0</v>
      </c>
      <c r="L307" s="36">
        <f>_xll.DBRW($E$12,$F$16,$F$17,$F$18,$E307,$F$20,L$22,$H307,$F$19)</f>
        <v>0</v>
      </c>
      <c r="M307" s="36">
        <f>_xll.DBRW($E$12,$F$16,$F$17,$F$18,$E307,$F$20,M$22,$H307,$F$19)</f>
        <v>0</v>
      </c>
      <c r="N307" s="36">
        <f>_xll.DBRW($E$12,$F$16,$F$17,$F$18,$E307,$F$20,N$22,$H307,$F$19)</f>
        <v>0</v>
      </c>
      <c r="O307" s="36">
        <f>_xll.DBRW($E$12,$F$16,$F$17,$F$18,$E307,$F$20,O$22,$H307,$F$19)</f>
        <v>0</v>
      </c>
      <c r="P307" s="36">
        <f>_xll.DBRW($E$12,$F$16,$F$17,$F$18,$E307,$F$20,P$22,$H307,$F$19)</f>
        <v>0</v>
      </c>
      <c r="Q307" s="36">
        <f>_xll.DBRW($E$12,$F$16,$F$17,$F$18,$E307,$F$20,Q$22,$H307,$F$19)</f>
        <v>0</v>
      </c>
      <c r="R307" s="36">
        <f>_xll.DBRW($E$12,$F$16,$F$17,$F$18,$E307,$F$20,R$22,$H307,$F$19)</f>
        <v>0</v>
      </c>
      <c r="S307" s="36">
        <f>_xll.DBRW($E$12,$F$16,$F$17,$F$18,$E307,$F$20,S$22,$H307,$F$19)</f>
        <v>0</v>
      </c>
      <c r="T307" s="36">
        <f>_xll.DBRW($E$12,$F$16,$F$17,$F$18,$E307,$F$20,T$22,$H307,$F$19)</f>
        <v>0</v>
      </c>
      <c r="U307" s="36">
        <f>_xll.DBRW($E$12,$F$16,$F$17,$F$18,$E307,$F$20,U$22,$H307,$F$19)</f>
        <v>127.19</v>
      </c>
    </row>
    <row r="308" spans="4:21" s="37" customFormat="1" ht="15" outlineLevel="1" thickBot="1" x14ac:dyDescent="0.35">
      <c r="D308" s="33" t="str">
        <f>IF(_xll.TM1RPTELISCONSOLIDATED($H$34,$H308),IF(_xll.TM1RPTELLEV($H$34,$H308)&lt;=5,_xll.TM1RPTELLEV($H$34,$H308),"Default"),"Leaf")</f>
        <v>Leaf</v>
      </c>
      <c r="E308" s="42" t="s">
        <v>674</v>
      </c>
      <c r="F308" s="34" t="str">
        <f>_xll.DBR($B$18,$H308,"Account_Type")</f>
        <v>NON LABOR</v>
      </c>
      <c r="G308" s="34" t="str">
        <f>_xll.DBR($B$18,$H308,"Description")</f>
        <v>Fuel to Company Owned Equipment</v>
      </c>
      <c r="H308" s="43" t="s">
        <v>434</v>
      </c>
      <c r="I308" s="36">
        <f>_xll.DBRW($E$12,$F$16,$F$17,$F$18,$E308,$F$20,I$22,$H308,$F$19)</f>
        <v>283.49</v>
      </c>
      <c r="J308" s="36">
        <f>_xll.DBRW($E$12,$F$16,$F$17,$F$18,$E308,$F$20,J$22,$H308,$F$19)</f>
        <v>544.76</v>
      </c>
      <c r="K308" s="36">
        <f>_xll.DBRW($E$12,$F$16,$F$17,$F$18,$E308,$F$20,K$22,$H308,$F$19)</f>
        <v>578.42999999999995</v>
      </c>
      <c r="L308" s="36">
        <f>_xll.DBRW($E$12,$F$16,$F$17,$F$18,$E308,$F$20,L$22,$H308,$F$19)</f>
        <v>590.87</v>
      </c>
      <c r="M308" s="36">
        <f>_xll.DBRW($E$12,$F$16,$F$17,$F$18,$E308,$F$20,M$22,$H308,$F$19)</f>
        <v>875.35</v>
      </c>
      <c r="N308" s="36">
        <f>_xll.DBRW($E$12,$F$16,$F$17,$F$18,$E308,$F$20,N$22,$H308,$F$19)</f>
        <v>130.41</v>
      </c>
      <c r="O308" s="36">
        <f>_xll.DBRW($E$12,$F$16,$F$17,$F$18,$E308,$F$20,O$22,$H308,$F$19)</f>
        <v>0</v>
      </c>
      <c r="P308" s="36">
        <f>_xll.DBRW($E$12,$F$16,$F$17,$F$18,$E308,$F$20,P$22,$H308,$F$19)</f>
        <v>0</v>
      </c>
      <c r="Q308" s="36">
        <f>_xll.DBRW($E$12,$F$16,$F$17,$F$18,$E308,$F$20,Q$22,$H308,$F$19)</f>
        <v>0</v>
      </c>
      <c r="R308" s="36">
        <f>_xll.DBRW($E$12,$F$16,$F$17,$F$18,$E308,$F$20,R$22,$H308,$F$19)</f>
        <v>0</v>
      </c>
      <c r="S308" s="36">
        <f>_xll.DBRW($E$12,$F$16,$F$17,$F$18,$E308,$F$20,S$22,$H308,$F$19)</f>
        <v>0</v>
      </c>
      <c r="T308" s="36">
        <f>_xll.DBRW($E$12,$F$16,$F$17,$F$18,$E308,$F$20,T$22,$H308,$F$19)</f>
        <v>0</v>
      </c>
      <c r="U308" s="36">
        <f>_xll.DBRW($E$12,$F$16,$F$17,$F$18,$E308,$F$20,U$22,$H308,$F$19)</f>
        <v>3003.3099999999995</v>
      </c>
    </row>
    <row r="309" spans="4:21" s="37" customFormat="1" ht="15" outlineLevel="1" thickBot="1" x14ac:dyDescent="0.35">
      <c r="D309" s="33" t="str">
        <f>IF(_xll.TM1RPTELISCONSOLIDATED($H$34,$H309),IF(_xll.TM1RPTELLEV($H$34,$H309)&lt;=5,_xll.TM1RPTELLEV($H$34,$H309),"Default"),"Leaf")</f>
        <v>Leaf</v>
      </c>
      <c r="E309" s="42" t="s">
        <v>674</v>
      </c>
      <c r="F309" s="34" t="str">
        <f>_xll.DBR($B$18,$H309,"Account_Type")</f>
        <v>NON LABOR</v>
      </c>
      <c r="G309" s="34" t="str">
        <f>_xll.DBR($B$18,$H309,"Description")</f>
        <v>Corporate Allocation</v>
      </c>
      <c r="H309" s="43" t="s">
        <v>455</v>
      </c>
      <c r="I309" s="36">
        <f>_xll.DBRW($E$12,$F$16,$F$17,$F$18,$E309,$F$20,I$22,$H309,$F$19)</f>
        <v>229337.93</v>
      </c>
      <c r="J309" s="36">
        <f>_xll.DBRW($E$12,$F$16,$F$17,$F$18,$E309,$F$20,J$22,$H309,$F$19)</f>
        <v>219571.64</v>
      </c>
      <c r="K309" s="36">
        <f>_xll.DBRW($E$12,$F$16,$F$17,$F$18,$E309,$F$20,K$22,$H309,$F$19)</f>
        <v>351257.14</v>
      </c>
      <c r="L309" s="36">
        <f>_xll.DBRW($E$12,$F$16,$F$17,$F$18,$E309,$F$20,L$22,$H309,$F$19)</f>
        <v>133155.82999999999</v>
      </c>
      <c r="M309" s="36">
        <f>_xll.DBRW($E$12,$F$16,$F$17,$F$18,$E309,$F$20,M$22,$H309,$F$19)</f>
        <v>150677.54999999999</v>
      </c>
      <c r="N309" s="36">
        <f>_xll.DBRW($E$12,$F$16,$F$17,$F$18,$E309,$F$20,N$22,$H309,$F$19)</f>
        <v>0</v>
      </c>
      <c r="O309" s="36">
        <f>_xll.DBRW($E$12,$F$16,$F$17,$F$18,$E309,$F$20,O$22,$H309,$F$19)</f>
        <v>0</v>
      </c>
      <c r="P309" s="36">
        <f>_xll.DBRW($E$12,$F$16,$F$17,$F$18,$E309,$F$20,P$22,$H309,$F$19)</f>
        <v>0</v>
      </c>
      <c r="Q309" s="36">
        <f>_xll.DBRW($E$12,$F$16,$F$17,$F$18,$E309,$F$20,Q$22,$H309,$F$19)</f>
        <v>0</v>
      </c>
      <c r="R309" s="36">
        <f>_xll.DBRW($E$12,$F$16,$F$17,$F$18,$E309,$F$20,R$22,$H309,$F$19)</f>
        <v>0</v>
      </c>
      <c r="S309" s="36">
        <f>_xll.DBRW($E$12,$F$16,$F$17,$F$18,$E309,$F$20,S$22,$H309,$F$19)</f>
        <v>0</v>
      </c>
      <c r="T309" s="36">
        <f>_xll.DBRW($E$12,$F$16,$F$17,$F$18,$E309,$F$20,T$22,$H309,$F$19)</f>
        <v>0</v>
      </c>
      <c r="U309" s="36">
        <f>_xll.DBRW($E$12,$F$16,$F$17,$F$18,$E309,$F$20,U$22,$H309,$F$19)</f>
        <v>1084000.0899999999</v>
      </c>
    </row>
    <row r="310" spans="4:21" s="37" customFormat="1" ht="15" outlineLevel="1" thickBot="1" x14ac:dyDescent="0.35">
      <c r="D310" s="33" t="str">
        <f>IF(_xll.TM1RPTELISCONSOLIDATED($H$34,$H310),IF(_xll.TM1RPTELLEV($H$34,$H310)&lt;=5,_xll.TM1RPTELLEV($H$34,$H310),"Default"),"Leaf")</f>
        <v>Leaf</v>
      </c>
      <c r="E310" s="42" t="s">
        <v>674</v>
      </c>
      <c r="F310" s="34" t="str">
        <f>_xll.DBR($B$18,$H310,"Account_Type")</f>
        <v>NON LABOR</v>
      </c>
      <c r="G310" s="34" t="str">
        <f>_xll.DBR($B$18,$H310,"Description")</f>
        <v>Corporate Allocation</v>
      </c>
      <c r="H310" s="43" t="s">
        <v>456</v>
      </c>
      <c r="I310" s="36">
        <f>_xll.DBRW($E$12,$F$16,$F$17,$F$18,$E310,$F$20,I$22,$H310,$F$19)</f>
        <v>20474.900000000001</v>
      </c>
      <c r="J310" s="36">
        <f>_xll.DBRW($E$12,$F$16,$F$17,$F$18,$E310,$F$20,J$22,$H310,$F$19)</f>
        <v>19602.98</v>
      </c>
      <c r="K310" s="36">
        <f>_xll.DBRW($E$12,$F$16,$F$17,$F$18,$E310,$F$20,K$22,$H310,$F$19)</f>
        <v>31359.64</v>
      </c>
      <c r="L310" s="36">
        <f>_xll.DBRW($E$12,$F$16,$F$17,$F$18,$E310,$F$20,L$22,$H310,$F$19)</f>
        <v>11891.85</v>
      </c>
      <c r="M310" s="36">
        <f>_xll.DBRW($E$12,$F$16,$F$17,$F$18,$E310,$F$20,M$22,$H310,$F$19)</f>
        <v>13456.67</v>
      </c>
      <c r="N310" s="36">
        <f>_xll.DBRW($E$12,$F$16,$F$17,$F$18,$E310,$F$20,N$22,$H310,$F$19)</f>
        <v>0</v>
      </c>
      <c r="O310" s="36">
        <f>_xll.DBRW($E$12,$F$16,$F$17,$F$18,$E310,$F$20,O$22,$H310,$F$19)</f>
        <v>0</v>
      </c>
      <c r="P310" s="36">
        <f>_xll.DBRW($E$12,$F$16,$F$17,$F$18,$E310,$F$20,P$22,$H310,$F$19)</f>
        <v>0</v>
      </c>
      <c r="Q310" s="36">
        <f>_xll.DBRW($E$12,$F$16,$F$17,$F$18,$E310,$F$20,Q$22,$H310,$F$19)</f>
        <v>0</v>
      </c>
      <c r="R310" s="36">
        <f>_xll.DBRW($E$12,$F$16,$F$17,$F$18,$E310,$F$20,R$22,$H310,$F$19)</f>
        <v>0</v>
      </c>
      <c r="S310" s="36">
        <f>_xll.DBRW($E$12,$F$16,$F$17,$F$18,$E310,$F$20,S$22,$H310,$F$19)</f>
        <v>0</v>
      </c>
      <c r="T310" s="36">
        <f>_xll.DBRW($E$12,$F$16,$F$17,$F$18,$E310,$F$20,T$22,$H310,$F$19)</f>
        <v>0</v>
      </c>
      <c r="U310" s="36">
        <f>_xll.DBRW($E$12,$F$16,$F$17,$F$18,$E310,$F$20,U$22,$H310,$F$19)</f>
        <v>96786.040000000008</v>
      </c>
    </row>
    <row r="311" spans="4:21" s="37" customFormat="1" ht="15" outlineLevel="1" thickBot="1" x14ac:dyDescent="0.35">
      <c r="D311" s="33" t="str">
        <f>IF(_xll.TM1RPTELISCONSOLIDATED($H$34,$H311),IF(_xll.TM1RPTELLEV($H$34,$H311)&lt;=5,_xll.TM1RPTELLEV($H$34,$H311),"Default"),"Leaf")</f>
        <v>Leaf</v>
      </c>
      <c r="E311" s="42" t="s">
        <v>674</v>
      </c>
      <c r="F311" s="34" t="str">
        <f>_xll.DBR($B$18,$H311,"Account_Type")</f>
        <v>NON LABOR</v>
      </c>
      <c r="G311" s="34" t="str">
        <f>_xll.DBR($B$18,$H311,"Description")</f>
        <v>Corporate Allocation</v>
      </c>
      <c r="H311" s="43" t="s">
        <v>457</v>
      </c>
      <c r="I311" s="36">
        <f>_xll.DBRW($E$12,$F$16,$F$17,$F$18,$E311,$F$20,I$22,$H311,$F$19)</f>
        <v>84075.07</v>
      </c>
      <c r="J311" s="36">
        <f>_xll.DBRW($E$12,$F$16,$F$17,$F$18,$E311,$F$20,J$22,$H311,$F$19)</f>
        <v>80494.75</v>
      </c>
      <c r="K311" s="36">
        <f>_xll.DBRW($E$12,$F$16,$F$17,$F$18,$E311,$F$20,K$22,$H311,$F$19)</f>
        <v>128770.53</v>
      </c>
      <c r="L311" s="36">
        <f>_xll.DBRW($E$12,$F$16,$F$17,$F$18,$E311,$F$20,L$22,$H311,$F$19)</f>
        <v>71829.919999999998</v>
      </c>
      <c r="M311" s="36">
        <f>_xll.DBRW($E$12,$F$16,$F$17,$F$18,$E311,$F$20,M$22,$H311,$F$19)</f>
        <v>81281.88</v>
      </c>
      <c r="N311" s="36">
        <f>_xll.DBRW($E$12,$F$16,$F$17,$F$18,$E311,$F$20,N$22,$H311,$F$19)</f>
        <v>0</v>
      </c>
      <c r="O311" s="36">
        <f>_xll.DBRW($E$12,$F$16,$F$17,$F$18,$E311,$F$20,O$22,$H311,$F$19)</f>
        <v>0</v>
      </c>
      <c r="P311" s="36">
        <f>_xll.DBRW($E$12,$F$16,$F$17,$F$18,$E311,$F$20,P$22,$H311,$F$19)</f>
        <v>0</v>
      </c>
      <c r="Q311" s="36">
        <f>_xll.DBRW($E$12,$F$16,$F$17,$F$18,$E311,$F$20,Q$22,$H311,$F$19)</f>
        <v>0</v>
      </c>
      <c r="R311" s="36">
        <f>_xll.DBRW($E$12,$F$16,$F$17,$F$18,$E311,$F$20,R$22,$H311,$F$19)</f>
        <v>0</v>
      </c>
      <c r="S311" s="36">
        <f>_xll.DBRW($E$12,$F$16,$F$17,$F$18,$E311,$F$20,S$22,$H311,$F$19)</f>
        <v>0</v>
      </c>
      <c r="T311" s="36">
        <f>_xll.DBRW($E$12,$F$16,$F$17,$F$18,$E311,$F$20,T$22,$H311,$F$19)</f>
        <v>0</v>
      </c>
      <c r="U311" s="36">
        <f>_xll.DBRW($E$12,$F$16,$F$17,$F$18,$E311,$F$20,U$22,$H311,$F$19)</f>
        <v>446452.14999999997</v>
      </c>
    </row>
    <row r="312" spans="4:21" s="37" customFormat="1" ht="15" outlineLevel="1" thickBot="1" x14ac:dyDescent="0.35">
      <c r="D312" s="33" t="str">
        <f>IF(_xll.TM1RPTELISCONSOLIDATED($H$34,$H312),IF(_xll.TM1RPTELLEV($H$34,$H312)&lt;=5,_xll.TM1RPTELLEV($H$34,$H312),"Default"),"Leaf")</f>
        <v>Leaf</v>
      </c>
      <c r="E312" s="42" t="s">
        <v>675</v>
      </c>
      <c r="F312" s="34" t="str">
        <f>_xll.DBR($B$18,$H312,"Account_Type")</f>
        <v>NON LABOR</v>
      </c>
      <c r="G312" s="34" t="str">
        <f>_xll.DBR($B$18,$H312,"Description")</f>
        <v>Travel &amp; Lodging</v>
      </c>
      <c r="H312" s="43" t="s">
        <v>68</v>
      </c>
      <c r="I312" s="36">
        <f>_xll.DBRW($E$12,$F$16,$F$17,$F$18,$E312,$F$20,I$22,$H312,$F$19)</f>
        <v>3341</v>
      </c>
      <c r="J312" s="36">
        <f>_xll.DBRW($E$12,$F$16,$F$17,$F$18,$E312,$F$20,J$22,$H312,$F$19)</f>
        <v>4262.68</v>
      </c>
      <c r="K312" s="36">
        <f>_xll.DBRW($E$12,$F$16,$F$17,$F$18,$E312,$F$20,K$22,$H312,$F$19)</f>
        <v>1539.55</v>
      </c>
      <c r="L312" s="36">
        <f>_xll.DBRW($E$12,$F$16,$F$17,$F$18,$E312,$F$20,L$22,$H312,$F$19)</f>
        <v>3581.56</v>
      </c>
      <c r="M312" s="36">
        <f>_xll.DBRW($E$12,$F$16,$F$17,$F$18,$E312,$F$20,M$22,$H312,$F$19)</f>
        <v>1953.36</v>
      </c>
      <c r="N312" s="36">
        <f>_xll.DBRW($E$12,$F$16,$F$17,$F$18,$E312,$F$20,N$22,$H312,$F$19)</f>
        <v>2074.7800000000002</v>
      </c>
      <c r="O312" s="36">
        <f>_xll.DBRW($E$12,$F$16,$F$17,$F$18,$E312,$F$20,O$22,$H312,$F$19)</f>
        <v>0</v>
      </c>
      <c r="P312" s="36">
        <f>_xll.DBRW($E$12,$F$16,$F$17,$F$18,$E312,$F$20,P$22,$H312,$F$19)</f>
        <v>0</v>
      </c>
      <c r="Q312" s="36">
        <f>_xll.DBRW($E$12,$F$16,$F$17,$F$18,$E312,$F$20,Q$22,$H312,$F$19)</f>
        <v>0</v>
      </c>
      <c r="R312" s="36">
        <f>_xll.DBRW($E$12,$F$16,$F$17,$F$18,$E312,$F$20,R$22,$H312,$F$19)</f>
        <v>0</v>
      </c>
      <c r="S312" s="36">
        <f>_xll.DBRW($E$12,$F$16,$F$17,$F$18,$E312,$F$20,S$22,$H312,$F$19)</f>
        <v>0</v>
      </c>
      <c r="T312" s="36">
        <f>_xll.DBRW($E$12,$F$16,$F$17,$F$18,$E312,$F$20,T$22,$H312,$F$19)</f>
        <v>0</v>
      </c>
      <c r="U312" s="36">
        <f>_xll.DBRW($E$12,$F$16,$F$17,$F$18,$E312,$F$20,U$22,$H312,$F$19)</f>
        <v>16752.93</v>
      </c>
    </row>
    <row r="313" spans="4:21" s="37" customFormat="1" ht="15" outlineLevel="1" thickBot="1" x14ac:dyDescent="0.35">
      <c r="D313" s="33" t="str">
        <f>IF(_xll.TM1RPTELISCONSOLIDATED($H$34,$H313),IF(_xll.TM1RPTELLEV($H$34,$H313)&lt;=5,_xll.TM1RPTELLEV($H$34,$H313),"Default"),"Leaf")</f>
        <v>Leaf</v>
      </c>
      <c r="E313" s="42" t="s">
        <v>675</v>
      </c>
      <c r="F313" s="34" t="str">
        <f>_xll.DBR($B$18,$H313,"Account_Type")</f>
        <v>NON LABOR</v>
      </c>
      <c r="G313" s="34" t="str">
        <f>_xll.DBR($B$18,$H313,"Description")</f>
        <v>Client Development</v>
      </c>
      <c r="H313" s="43" t="s">
        <v>81</v>
      </c>
      <c r="I313" s="36">
        <f>_xll.DBRW($E$12,$F$16,$F$17,$F$18,$E313,$F$20,I$22,$H313,$F$19)</f>
        <v>106.59</v>
      </c>
      <c r="J313" s="36">
        <f>_xll.DBRW($E$12,$F$16,$F$17,$F$18,$E313,$F$20,J$22,$H313,$F$19)</f>
        <v>0</v>
      </c>
      <c r="K313" s="36">
        <f>_xll.DBRW($E$12,$F$16,$F$17,$F$18,$E313,$F$20,K$22,$H313,$F$19)</f>
        <v>106.59</v>
      </c>
      <c r="L313" s="36">
        <f>_xll.DBRW($E$12,$F$16,$F$17,$F$18,$E313,$F$20,L$22,$H313,$F$19)</f>
        <v>0</v>
      </c>
      <c r="M313" s="36">
        <f>_xll.DBRW($E$12,$F$16,$F$17,$F$18,$E313,$F$20,M$22,$H313,$F$19)</f>
        <v>0</v>
      </c>
      <c r="N313" s="36">
        <f>_xll.DBRW($E$12,$F$16,$F$17,$F$18,$E313,$F$20,N$22,$H313,$F$19)</f>
        <v>0</v>
      </c>
      <c r="O313" s="36">
        <f>_xll.DBRW($E$12,$F$16,$F$17,$F$18,$E313,$F$20,O$22,$H313,$F$19)</f>
        <v>0</v>
      </c>
      <c r="P313" s="36">
        <f>_xll.DBRW($E$12,$F$16,$F$17,$F$18,$E313,$F$20,P$22,$H313,$F$19)</f>
        <v>0</v>
      </c>
      <c r="Q313" s="36">
        <f>_xll.DBRW($E$12,$F$16,$F$17,$F$18,$E313,$F$20,Q$22,$H313,$F$19)</f>
        <v>0</v>
      </c>
      <c r="R313" s="36">
        <f>_xll.DBRW($E$12,$F$16,$F$17,$F$18,$E313,$F$20,R$22,$H313,$F$19)</f>
        <v>0</v>
      </c>
      <c r="S313" s="36">
        <f>_xll.DBRW($E$12,$F$16,$F$17,$F$18,$E313,$F$20,S$22,$H313,$F$19)</f>
        <v>0</v>
      </c>
      <c r="T313" s="36">
        <f>_xll.DBRW($E$12,$F$16,$F$17,$F$18,$E313,$F$20,T$22,$H313,$F$19)</f>
        <v>0</v>
      </c>
      <c r="U313" s="36">
        <f>_xll.DBRW($E$12,$F$16,$F$17,$F$18,$E313,$F$20,U$22,$H313,$F$19)</f>
        <v>213.18</v>
      </c>
    </row>
    <row r="314" spans="4:21" s="37" customFormat="1" ht="15" outlineLevel="1" thickBot="1" x14ac:dyDescent="0.35">
      <c r="D314" s="33" t="str">
        <f>IF(_xll.TM1RPTELISCONSOLIDATED($H$34,$H314),IF(_xll.TM1RPTELLEV($H$34,$H314)&lt;=5,_xll.TM1RPTELLEV($H$34,$H314),"Default"),"Leaf")</f>
        <v>Leaf</v>
      </c>
      <c r="E314" s="42" t="s">
        <v>675</v>
      </c>
      <c r="F314" s="34" t="str">
        <f>_xll.DBR($B$18,$H314,"Account_Type")</f>
        <v>NON LABOR</v>
      </c>
      <c r="G314" s="34" t="str">
        <f>_xll.DBR($B$18,$H314,"Description")</f>
        <v>Business Meals &amp; Entertainment</v>
      </c>
      <c r="H314" s="43" t="s">
        <v>98</v>
      </c>
      <c r="I314" s="36">
        <f>_xll.DBRW($E$12,$F$16,$F$17,$F$18,$E314,$F$20,I$22,$H314,$F$19)</f>
        <v>0</v>
      </c>
      <c r="J314" s="36">
        <f>_xll.DBRW($E$12,$F$16,$F$17,$F$18,$E314,$F$20,J$22,$H314,$F$19)</f>
        <v>0</v>
      </c>
      <c r="K314" s="36">
        <f>_xll.DBRW($E$12,$F$16,$F$17,$F$18,$E314,$F$20,K$22,$H314,$F$19)</f>
        <v>325.91000000000003</v>
      </c>
      <c r="L314" s="36">
        <f>_xll.DBRW($E$12,$F$16,$F$17,$F$18,$E314,$F$20,L$22,$H314,$F$19)</f>
        <v>0</v>
      </c>
      <c r="M314" s="36">
        <f>_xll.DBRW($E$12,$F$16,$F$17,$F$18,$E314,$F$20,M$22,$H314,$F$19)</f>
        <v>0</v>
      </c>
      <c r="N314" s="36">
        <f>_xll.DBRW($E$12,$F$16,$F$17,$F$18,$E314,$F$20,N$22,$H314,$F$19)</f>
        <v>0</v>
      </c>
      <c r="O314" s="36">
        <f>_xll.DBRW($E$12,$F$16,$F$17,$F$18,$E314,$F$20,O$22,$H314,$F$19)</f>
        <v>0</v>
      </c>
      <c r="P314" s="36">
        <f>_xll.DBRW($E$12,$F$16,$F$17,$F$18,$E314,$F$20,P$22,$H314,$F$19)</f>
        <v>0</v>
      </c>
      <c r="Q314" s="36">
        <f>_xll.DBRW($E$12,$F$16,$F$17,$F$18,$E314,$F$20,Q$22,$H314,$F$19)</f>
        <v>0</v>
      </c>
      <c r="R314" s="36">
        <f>_xll.DBRW($E$12,$F$16,$F$17,$F$18,$E314,$F$20,R$22,$H314,$F$19)</f>
        <v>0</v>
      </c>
      <c r="S314" s="36">
        <f>_xll.DBRW($E$12,$F$16,$F$17,$F$18,$E314,$F$20,S$22,$H314,$F$19)</f>
        <v>0</v>
      </c>
      <c r="T314" s="36">
        <f>_xll.DBRW($E$12,$F$16,$F$17,$F$18,$E314,$F$20,T$22,$H314,$F$19)</f>
        <v>0</v>
      </c>
      <c r="U314" s="36">
        <f>_xll.DBRW($E$12,$F$16,$F$17,$F$18,$E314,$F$20,U$22,$H314,$F$19)</f>
        <v>325.91000000000003</v>
      </c>
    </row>
    <row r="315" spans="4:21" s="37" customFormat="1" ht="15" outlineLevel="1" thickBot="1" x14ac:dyDescent="0.35">
      <c r="D315" s="33" t="str">
        <f>IF(_xll.TM1RPTELISCONSOLIDATED($H$34,$H315),IF(_xll.TM1RPTELLEV($H$34,$H315)&lt;=5,_xll.TM1RPTELLEV($H$34,$H315),"Default"),"Leaf")</f>
        <v>Leaf</v>
      </c>
      <c r="E315" s="42" t="s">
        <v>675</v>
      </c>
      <c r="F315" s="34" t="str">
        <f>_xll.DBR($B$18,$H315,"Account_Type")</f>
        <v>NON LABOR</v>
      </c>
      <c r="G315" s="34" t="str">
        <f>_xll.DBR($B$18,$H315,"Description")</f>
        <v>Business Meals &amp; Entertainment</v>
      </c>
      <c r="H315" s="43" t="s">
        <v>99</v>
      </c>
      <c r="I315" s="36">
        <f>_xll.DBRW($E$12,$F$16,$F$17,$F$18,$E315,$F$20,I$22,$H315,$F$19)</f>
        <v>91.13</v>
      </c>
      <c r="J315" s="36">
        <f>_xll.DBRW($E$12,$F$16,$F$17,$F$18,$E315,$F$20,J$22,$H315,$F$19)</f>
        <v>444.01</v>
      </c>
      <c r="K315" s="36">
        <f>_xll.DBRW($E$12,$F$16,$F$17,$F$18,$E315,$F$20,K$22,$H315,$F$19)</f>
        <v>364.34</v>
      </c>
      <c r="L315" s="36">
        <f>_xll.DBRW($E$12,$F$16,$F$17,$F$18,$E315,$F$20,L$22,$H315,$F$19)</f>
        <v>215.43</v>
      </c>
      <c r="M315" s="36">
        <f>_xll.DBRW($E$12,$F$16,$F$17,$F$18,$E315,$F$20,M$22,$H315,$F$19)</f>
        <v>199.52</v>
      </c>
      <c r="N315" s="36">
        <f>_xll.DBRW($E$12,$F$16,$F$17,$F$18,$E315,$F$20,N$22,$H315,$F$19)</f>
        <v>206.15</v>
      </c>
      <c r="O315" s="36">
        <f>_xll.DBRW($E$12,$F$16,$F$17,$F$18,$E315,$F$20,O$22,$H315,$F$19)</f>
        <v>0</v>
      </c>
      <c r="P315" s="36">
        <f>_xll.DBRW($E$12,$F$16,$F$17,$F$18,$E315,$F$20,P$22,$H315,$F$19)</f>
        <v>0</v>
      </c>
      <c r="Q315" s="36">
        <f>_xll.DBRW($E$12,$F$16,$F$17,$F$18,$E315,$F$20,Q$22,$H315,$F$19)</f>
        <v>0</v>
      </c>
      <c r="R315" s="36">
        <f>_xll.DBRW($E$12,$F$16,$F$17,$F$18,$E315,$F$20,R$22,$H315,$F$19)</f>
        <v>0</v>
      </c>
      <c r="S315" s="36">
        <f>_xll.DBRW($E$12,$F$16,$F$17,$F$18,$E315,$F$20,S$22,$H315,$F$19)</f>
        <v>0</v>
      </c>
      <c r="T315" s="36">
        <f>_xll.DBRW($E$12,$F$16,$F$17,$F$18,$E315,$F$20,T$22,$H315,$F$19)</f>
        <v>0</v>
      </c>
      <c r="U315" s="36">
        <f>_xll.DBRW($E$12,$F$16,$F$17,$F$18,$E315,$F$20,U$22,$H315,$F$19)</f>
        <v>1520.5800000000002</v>
      </c>
    </row>
    <row r="316" spans="4:21" s="37" customFormat="1" ht="15" outlineLevel="1" thickBot="1" x14ac:dyDescent="0.35">
      <c r="D316" s="33" t="str">
        <f>IF(_xll.TM1RPTELISCONSOLIDATED($H$34,$H316),IF(_xll.TM1RPTELLEV($H$34,$H316)&lt;=5,_xll.TM1RPTELLEV($H$34,$H316),"Default"),"Leaf")</f>
        <v>Leaf</v>
      </c>
      <c r="E316" s="42" t="s">
        <v>675</v>
      </c>
      <c r="F316" s="34" t="str">
        <f>_xll.DBR($B$18,$H316,"Account_Type")</f>
        <v>NON LABOR</v>
      </c>
      <c r="G316" s="34" t="str">
        <f>_xll.DBR($B$18,$H316,"Description")</f>
        <v>Telecommunications / Internet</v>
      </c>
      <c r="H316" s="43" t="s">
        <v>118</v>
      </c>
      <c r="I316" s="36">
        <f>_xll.DBRW($E$12,$F$16,$F$17,$F$18,$E316,$F$20,I$22,$H316,$F$19)</f>
        <v>156.41</v>
      </c>
      <c r="J316" s="36">
        <f>_xll.DBRW($E$12,$F$16,$F$17,$F$18,$E316,$F$20,J$22,$H316,$F$19)</f>
        <v>156.37</v>
      </c>
      <c r="K316" s="36">
        <f>_xll.DBRW($E$12,$F$16,$F$17,$F$18,$E316,$F$20,K$22,$H316,$F$19)</f>
        <v>156.37</v>
      </c>
      <c r="L316" s="36">
        <f>_xll.DBRW($E$12,$F$16,$F$17,$F$18,$E316,$F$20,L$22,$H316,$F$19)</f>
        <v>156.37</v>
      </c>
      <c r="M316" s="36">
        <f>_xll.DBRW($E$12,$F$16,$F$17,$F$18,$E316,$F$20,M$22,$H316,$F$19)</f>
        <v>131.94999999999999</v>
      </c>
      <c r="N316" s="36">
        <f>_xll.DBRW($E$12,$F$16,$F$17,$F$18,$E316,$F$20,N$22,$H316,$F$19)</f>
        <v>167.4</v>
      </c>
      <c r="O316" s="36">
        <f>_xll.DBRW($E$12,$F$16,$F$17,$F$18,$E316,$F$20,O$22,$H316,$F$19)</f>
        <v>0</v>
      </c>
      <c r="P316" s="36">
        <f>_xll.DBRW($E$12,$F$16,$F$17,$F$18,$E316,$F$20,P$22,$H316,$F$19)</f>
        <v>0</v>
      </c>
      <c r="Q316" s="36">
        <f>_xll.DBRW($E$12,$F$16,$F$17,$F$18,$E316,$F$20,Q$22,$H316,$F$19)</f>
        <v>0</v>
      </c>
      <c r="R316" s="36">
        <f>_xll.DBRW($E$12,$F$16,$F$17,$F$18,$E316,$F$20,R$22,$H316,$F$19)</f>
        <v>0</v>
      </c>
      <c r="S316" s="36">
        <f>_xll.DBRW($E$12,$F$16,$F$17,$F$18,$E316,$F$20,S$22,$H316,$F$19)</f>
        <v>0</v>
      </c>
      <c r="T316" s="36">
        <f>_xll.DBRW($E$12,$F$16,$F$17,$F$18,$E316,$F$20,T$22,$H316,$F$19)</f>
        <v>0</v>
      </c>
      <c r="U316" s="36">
        <f>_xll.DBRW($E$12,$F$16,$F$17,$F$18,$E316,$F$20,U$22,$H316,$F$19)</f>
        <v>924.87</v>
      </c>
    </row>
    <row r="317" spans="4:21" s="37" customFormat="1" ht="15" outlineLevel="1" thickBot="1" x14ac:dyDescent="0.35">
      <c r="D317" s="33" t="str">
        <f>IF(_xll.TM1RPTELISCONSOLIDATED($H$34,$H317),IF(_xll.TM1RPTELLEV($H$34,$H317)&lt;=5,_xll.TM1RPTELLEV($H$34,$H317),"Default"),"Leaf")</f>
        <v>Leaf</v>
      </c>
      <c r="E317" s="42" t="s">
        <v>675</v>
      </c>
      <c r="F317" s="34" t="str">
        <f>_xll.DBR($B$18,$H317,"Account_Type")</f>
        <v>NON LABOR</v>
      </c>
      <c r="G317" s="34" t="str">
        <f>_xll.DBR($B$18,$H317,"Description")</f>
        <v>Office/Computer Supplies &amp; Eqpt</v>
      </c>
      <c r="H317" s="43" t="s">
        <v>138</v>
      </c>
      <c r="I317" s="36">
        <f>_xll.DBRW($E$12,$F$16,$F$17,$F$18,$E317,$F$20,I$22,$H317,$F$19)</f>
        <v>-53.5</v>
      </c>
      <c r="J317" s="36">
        <f>_xll.DBRW($E$12,$F$16,$F$17,$F$18,$E317,$F$20,J$22,$H317,$F$19)</f>
        <v>592.28</v>
      </c>
      <c r="K317" s="36">
        <f>_xll.DBRW($E$12,$F$16,$F$17,$F$18,$E317,$F$20,K$22,$H317,$F$19)</f>
        <v>1939.52</v>
      </c>
      <c r="L317" s="36">
        <f>_xll.DBRW($E$12,$F$16,$F$17,$F$18,$E317,$F$20,L$22,$H317,$F$19)</f>
        <v>650.55999999999995</v>
      </c>
      <c r="M317" s="36">
        <f>_xll.DBRW($E$12,$F$16,$F$17,$F$18,$E317,$F$20,M$22,$H317,$F$19)</f>
        <v>1802.95</v>
      </c>
      <c r="N317" s="36">
        <f>_xll.DBRW($E$12,$F$16,$F$17,$F$18,$E317,$F$20,N$22,$H317,$F$19)</f>
        <v>911.96</v>
      </c>
      <c r="O317" s="36">
        <f>_xll.DBRW($E$12,$F$16,$F$17,$F$18,$E317,$F$20,O$22,$H317,$F$19)</f>
        <v>-589.96</v>
      </c>
      <c r="P317" s="36">
        <f>_xll.DBRW($E$12,$F$16,$F$17,$F$18,$E317,$F$20,P$22,$H317,$F$19)</f>
        <v>0</v>
      </c>
      <c r="Q317" s="36">
        <f>_xll.DBRW($E$12,$F$16,$F$17,$F$18,$E317,$F$20,Q$22,$H317,$F$19)</f>
        <v>0</v>
      </c>
      <c r="R317" s="36">
        <f>_xll.DBRW($E$12,$F$16,$F$17,$F$18,$E317,$F$20,R$22,$H317,$F$19)</f>
        <v>0</v>
      </c>
      <c r="S317" s="36">
        <f>_xll.DBRW($E$12,$F$16,$F$17,$F$18,$E317,$F$20,S$22,$H317,$F$19)</f>
        <v>0</v>
      </c>
      <c r="T317" s="36">
        <f>_xll.DBRW($E$12,$F$16,$F$17,$F$18,$E317,$F$20,T$22,$H317,$F$19)</f>
        <v>0</v>
      </c>
      <c r="U317" s="36">
        <f>_xll.DBRW($E$12,$F$16,$F$17,$F$18,$E317,$F$20,U$22,$H317,$F$19)</f>
        <v>5253.81</v>
      </c>
    </row>
    <row r="318" spans="4:21" s="37" customFormat="1" ht="15" outlineLevel="1" thickBot="1" x14ac:dyDescent="0.35">
      <c r="D318" s="33" t="str">
        <f>IF(_xll.TM1RPTELISCONSOLIDATED($H$34,$H318),IF(_xll.TM1RPTELLEV($H$34,$H318)&lt;=5,_xll.TM1RPTELLEV($H$34,$H318),"Default"),"Leaf")</f>
        <v>Leaf</v>
      </c>
      <c r="E318" s="42" t="s">
        <v>675</v>
      </c>
      <c r="F318" s="34" t="str">
        <f>_xll.DBR($B$18,$H318,"Account_Type")</f>
        <v>NON LABOR</v>
      </c>
      <c r="G318" s="34" t="str">
        <f>_xll.DBR($B$18,$H318,"Description")</f>
        <v>Postage &amp; Courier Fees</v>
      </c>
      <c r="H318" s="43" t="s">
        <v>156</v>
      </c>
      <c r="I318" s="36">
        <f>_xll.DBRW($E$12,$F$16,$F$17,$F$18,$E318,$F$20,I$22,$H318,$F$19)</f>
        <v>0</v>
      </c>
      <c r="J318" s="36">
        <f>_xll.DBRW($E$12,$F$16,$F$17,$F$18,$E318,$F$20,J$22,$H318,$F$19)</f>
        <v>100.87</v>
      </c>
      <c r="K318" s="36">
        <f>_xll.DBRW($E$12,$F$16,$F$17,$F$18,$E318,$F$20,K$22,$H318,$F$19)</f>
        <v>2.44</v>
      </c>
      <c r="L318" s="36">
        <f>_xll.DBRW($E$12,$F$16,$F$17,$F$18,$E318,$F$20,L$22,$H318,$F$19)</f>
        <v>0</v>
      </c>
      <c r="M318" s="36">
        <f>_xll.DBRW($E$12,$F$16,$F$17,$F$18,$E318,$F$20,M$22,$H318,$F$19)</f>
        <v>0</v>
      </c>
      <c r="N318" s="36">
        <f>_xll.DBRW($E$12,$F$16,$F$17,$F$18,$E318,$F$20,N$22,$H318,$F$19)</f>
        <v>0</v>
      </c>
      <c r="O318" s="36">
        <f>_xll.DBRW($E$12,$F$16,$F$17,$F$18,$E318,$F$20,O$22,$H318,$F$19)</f>
        <v>0</v>
      </c>
      <c r="P318" s="36">
        <f>_xll.DBRW($E$12,$F$16,$F$17,$F$18,$E318,$F$20,P$22,$H318,$F$19)</f>
        <v>0</v>
      </c>
      <c r="Q318" s="36">
        <f>_xll.DBRW($E$12,$F$16,$F$17,$F$18,$E318,$F$20,Q$22,$H318,$F$19)</f>
        <v>0</v>
      </c>
      <c r="R318" s="36">
        <f>_xll.DBRW($E$12,$F$16,$F$17,$F$18,$E318,$F$20,R$22,$H318,$F$19)</f>
        <v>0</v>
      </c>
      <c r="S318" s="36">
        <f>_xll.DBRW($E$12,$F$16,$F$17,$F$18,$E318,$F$20,S$22,$H318,$F$19)</f>
        <v>0</v>
      </c>
      <c r="T318" s="36">
        <f>_xll.DBRW($E$12,$F$16,$F$17,$F$18,$E318,$F$20,T$22,$H318,$F$19)</f>
        <v>0</v>
      </c>
      <c r="U318" s="36">
        <f>_xll.DBRW($E$12,$F$16,$F$17,$F$18,$E318,$F$20,U$22,$H318,$F$19)</f>
        <v>103.31</v>
      </c>
    </row>
    <row r="319" spans="4:21" s="37" customFormat="1" ht="15" outlineLevel="1" thickBot="1" x14ac:dyDescent="0.35">
      <c r="D319" s="33" t="str">
        <f>IF(_xll.TM1RPTELISCONSOLIDATED($H$34,$H319),IF(_xll.TM1RPTELLEV($H$34,$H319)&lt;=5,_xll.TM1RPTELLEV($H$34,$H319),"Default"),"Leaf")</f>
        <v>Leaf</v>
      </c>
      <c r="E319" s="42" t="s">
        <v>675</v>
      </c>
      <c r="F319" s="34" t="str">
        <f>_xll.DBR($B$18,$H319,"Account_Type")</f>
        <v>NON LABOR</v>
      </c>
      <c r="G319" s="34" t="str">
        <f>_xll.DBR($B$18,$H319,"Description")</f>
        <v>Education/Training/Dues/Subscriptions</v>
      </c>
      <c r="H319" s="43" t="s">
        <v>175</v>
      </c>
      <c r="I319" s="36">
        <f>_xll.DBRW($E$12,$F$16,$F$17,$F$18,$E319,$F$20,I$22,$H319,$F$19)</f>
        <v>6318.35</v>
      </c>
      <c r="J319" s="36">
        <f>_xll.DBRW($E$12,$F$16,$F$17,$F$18,$E319,$F$20,J$22,$H319,$F$19)</f>
        <v>3299.57</v>
      </c>
      <c r="K319" s="36">
        <f>_xll.DBRW($E$12,$F$16,$F$17,$F$18,$E319,$F$20,K$22,$H319,$F$19)</f>
        <v>-3483.22</v>
      </c>
      <c r="L319" s="36">
        <f>_xll.DBRW($E$12,$F$16,$F$17,$F$18,$E319,$F$20,L$22,$H319,$F$19)</f>
        <v>-2482.16</v>
      </c>
      <c r="M319" s="36">
        <f>_xll.DBRW($E$12,$F$16,$F$17,$F$18,$E319,$F$20,M$22,$H319,$F$19)</f>
        <v>4097.1400000000003</v>
      </c>
      <c r="N319" s="36">
        <f>_xll.DBRW($E$12,$F$16,$F$17,$F$18,$E319,$F$20,N$22,$H319,$F$19)</f>
        <v>106.59</v>
      </c>
      <c r="O319" s="36">
        <f>_xll.DBRW($E$12,$F$16,$F$17,$F$18,$E319,$F$20,O$22,$H319,$F$19)</f>
        <v>0</v>
      </c>
      <c r="P319" s="36">
        <f>_xll.DBRW($E$12,$F$16,$F$17,$F$18,$E319,$F$20,P$22,$H319,$F$19)</f>
        <v>0</v>
      </c>
      <c r="Q319" s="36">
        <f>_xll.DBRW($E$12,$F$16,$F$17,$F$18,$E319,$F$20,Q$22,$H319,$F$19)</f>
        <v>0</v>
      </c>
      <c r="R319" s="36">
        <f>_xll.DBRW($E$12,$F$16,$F$17,$F$18,$E319,$F$20,R$22,$H319,$F$19)</f>
        <v>0</v>
      </c>
      <c r="S319" s="36">
        <f>_xll.DBRW($E$12,$F$16,$F$17,$F$18,$E319,$F$20,S$22,$H319,$F$19)</f>
        <v>0</v>
      </c>
      <c r="T319" s="36">
        <f>_xll.DBRW($E$12,$F$16,$F$17,$F$18,$E319,$F$20,T$22,$H319,$F$19)</f>
        <v>0</v>
      </c>
      <c r="U319" s="36">
        <f>_xll.DBRW($E$12,$F$16,$F$17,$F$18,$E319,$F$20,U$22,$H319,$F$19)</f>
        <v>7856.2700000000013</v>
      </c>
    </row>
    <row r="320" spans="4:21" s="37" customFormat="1" ht="15" outlineLevel="1" thickBot="1" x14ac:dyDescent="0.35">
      <c r="D320" s="33" t="str">
        <f>IF(_xll.TM1RPTELISCONSOLIDATED($H$34,$H320),IF(_xll.TM1RPTELLEV($H$34,$H320)&lt;=5,_xll.TM1RPTELLEV($H$34,$H320),"Default"),"Leaf")</f>
        <v>Leaf</v>
      </c>
      <c r="E320" s="42" t="s">
        <v>675</v>
      </c>
      <c r="F320" s="34" t="str">
        <f>_xll.DBR($B$18,$H320,"Account_Type")</f>
        <v>NON LABOR</v>
      </c>
      <c r="G320" s="34" t="str">
        <f>_xll.DBR($B$18,$H320,"Description")</f>
        <v>Certificates/Licenses/Permits</v>
      </c>
      <c r="H320" s="43" t="s">
        <v>189</v>
      </c>
      <c r="I320" s="36">
        <f>_xll.DBRW($E$12,$F$16,$F$17,$F$18,$E320,$F$20,I$22,$H320,$F$19)</f>
        <v>0</v>
      </c>
      <c r="J320" s="36">
        <f>_xll.DBRW($E$12,$F$16,$F$17,$F$18,$E320,$F$20,J$22,$H320,$F$19)</f>
        <v>175.05</v>
      </c>
      <c r="K320" s="36">
        <f>_xll.DBRW($E$12,$F$16,$F$17,$F$18,$E320,$F$20,K$22,$H320,$F$19)</f>
        <v>21.63</v>
      </c>
      <c r="L320" s="36">
        <f>_xll.DBRW($E$12,$F$16,$F$17,$F$18,$E320,$F$20,L$22,$H320,$F$19)</f>
        <v>0</v>
      </c>
      <c r="M320" s="36">
        <f>_xll.DBRW($E$12,$F$16,$F$17,$F$18,$E320,$F$20,M$22,$H320,$F$19)</f>
        <v>1125</v>
      </c>
      <c r="N320" s="36">
        <f>_xll.DBRW($E$12,$F$16,$F$17,$F$18,$E320,$F$20,N$22,$H320,$F$19)</f>
        <v>80</v>
      </c>
      <c r="O320" s="36">
        <f>_xll.DBRW($E$12,$F$16,$F$17,$F$18,$E320,$F$20,O$22,$H320,$F$19)</f>
        <v>0</v>
      </c>
      <c r="P320" s="36">
        <f>_xll.DBRW($E$12,$F$16,$F$17,$F$18,$E320,$F$20,P$22,$H320,$F$19)</f>
        <v>0</v>
      </c>
      <c r="Q320" s="36">
        <f>_xll.DBRW($E$12,$F$16,$F$17,$F$18,$E320,$F$20,Q$22,$H320,$F$19)</f>
        <v>0</v>
      </c>
      <c r="R320" s="36">
        <f>_xll.DBRW($E$12,$F$16,$F$17,$F$18,$E320,$F$20,R$22,$H320,$F$19)</f>
        <v>0</v>
      </c>
      <c r="S320" s="36">
        <f>_xll.DBRW($E$12,$F$16,$F$17,$F$18,$E320,$F$20,S$22,$H320,$F$19)</f>
        <v>0</v>
      </c>
      <c r="T320" s="36">
        <f>_xll.DBRW($E$12,$F$16,$F$17,$F$18,$E320,$F$20,T$22,$H320,$F$19)</f>
        <v>0</v>
      </c>
      <c r="U320" s="36">
        <f>_xll.DBRW($E$12,$F$16,$F$17,$F$18,$E320,$F$20,U$22,$H320,$F$19)</f>
        <v>1401.68</v>
      </c>
    </row>
    <row r="321" spans="4:21" s="37" customFormat="1" ht="15" outlineLevel="1" thickBot="1" x14ac:dyDescent="0.35">
      <c r="D321" s="33" t="str">
        <f>IF(_xll.TM1RPTELISCONSOLIDATED($H$34,$H321),IF(_xll.TM1RPTELLEV($H$34,$H321)&lt;=5,_xll.TM1RPTELLEV($H$34,$H321),"Default"),"Leaf")</f>
        <v>Leaf</v>
      </c>
      <c r="E321" s="42" t="s">
        <v>675</v>
      </c>
      <c r="F321" s="34" t="str">
        <f>_xll.DBR($B$18,$H321,"Account_Type")</f>
        <v>NON LABOR</v>
      </c>
      <c r="G321" s="34" t="str">
        <f>_xll.DBR($B$18,$H321,"Description")</f>
        <v>Office Rent</v>
      </c>
      <c r="H321" s="43" t="s">
        <v>202</v>
      </c>
      <c r="I321" s="36">
        <f>_xll.DBRW($E$12,$F$16,$F$17,$F$18,$E321,$F$20,I$22,$H321,$F$19)</f>
        <v>4920.13</v>
      </c>
      <c r="J321" s="36">
        <f>_xll.DBRW($E$12,$F$16,$F$17,$F$18,$E321,$F$20,J$22,$H321,$F$19)</f>
        <v>5315.78</v>
      </c>
      <c r="K321" s="36">
        <f>_xll.DBRW($E$12,$F$16,$F$17,$F$18,$E321,$F$20,K$22,$H321,$F$19)</f>
        <v>4920.13</v>
      </c>
      <c r="L321" s="36">
        <f>_xll.DBRW($E$12,$F$16,$F$17,$F$18,$E321,$F$20,L$22,$H321,$F$19)</f>
        <v>5315.78</v>
      </c>
      <c r="M321" s="36">
        <f>_xll.DBRW($E$12,$F$16,$F$17,$F$18,$E321,$F$20,M$22,$H321,$F$19)</f>
        <v>5315.78</v>
      </c>
      <c r="N321" s="36">
        <f>_xll.DBRW($E$12,$F$16,$F$17,$F$18,$E321,$F$20,N$22,$H321,$F$19)</f>
        <v>5315.78</v>
      </c>
      <c r="O321" s="36">
        <f>_xll.DBRW($E$12,$F$16,$F$17,$F$18,$E321,$F$20,O$22,$H321,$F$19)</f>
        <v>0</v>
      </c>
      <c r="P321" s="36">
        <f>_xll.DBRW($E$12,$F$16,$F$17,$F$18,$E321,$F$20,P$22,$H321,$F$19)</f>
        <v>0</v>
      </c>
      <c r="Q321" s="36">
        <f>_xll.DBRW($E$12,$F$16,$F$17,$F$18,$E321,$F$20,Q$22,$H321,$F$19)</f>
        <v>0</v>
      </c>
      <c r="R321" s="36">
        <f>_xll.DBRW($E$12,$F$16,$F$17,$F$18,$E321,$F$20,R$22,$H321,$F$19)</f>
        <v>0</v>
      </c>
      <c r="S321" s="36">
        <f>_xll.DBRW($E$12,$F$16,$F$17,$F$18,$E321,$F$20,S$22,$H321,$F$19)</f>
        <v>0</v>
      </c>
      <c r="T321" s="36">
        <f>_xll.DBRW($E$12,$F$16,$F$17,$F$18,$E321,$F$20,T$22,$H321,$F$19)</f>
        <v>0</v>
      </c>
      <c r="U321" s="36">
        <f>_xll.DBRW($E$12,$F$16,$F$17,$F$18,$E321,$F$20,U$22,$H321,$F$19)</f>
        <v>31103.379999999997</v>
      </c>
    </row>
    <row r="322" spans="4:21" s="37" customFormat="1" ht="15" outlineLevel="1" thickBot="1" x14ac:dyDescent="0.35">
      <c r="D322" s="33" t="str">
        <f>IF(_xll.TM1RPTELISCONSOLIDATED($H$34,$H322),IF(_xll.TM1RPTELLEV($H$34,$H322)&lt;=5,_xll.TM1RPTELLEV($H$34,$H322),"Default"),"Leaf")</f>
        <v>Leaf</v>
      </c>
      <c r="E322" s="42" t="s">
        <v>675</v>
      </c>
      <c r="F322" s="34" t="str">
        <f>_xll.DBR($B$18,$H322,"Account_Type")</f>
        <v>NON LABOR</v>
      </c>
      <c r="G322" s="34" t="str">
        <f>_xll.DBR($B$18,$H322,"Description")</f>
        <v>Fines &amp; Penalties</v>
      </c>
      <c r="H322" s="43" t="s">
        <v>259</v>
      </c>
      <c r="I322" s="36">
        <f>_xll.DBRW($E$12,$F$16,$F$17,$F$18,$E322,$F$20,I$22,$H322,$F$19)</f>
        <v>0</v>
      </c>
      <c r="J322" s="36">
        <f>_xll.DBRW($E$12,$F$16,$F$17,$F$18,$E322,$F$20,J$22,$H322,$F$19)</f>
        <v>0</v>
      </c>
      <c r="K322" s="36">
        <f>_xll.DBRW($E$12,$F$16,$F$17,$F$18,$E322,$F$20,K$22,$H322,$F$19)</f>
        <v>0</v>
      </c>
      <c r="L322" s="36">
        <f>_xll.DBRW($E$12,$F$16,$F$17,$F$18,$E322,$F$20,L$22,$H322,$F$19)</f>
        <v>0</v>
      </c>
      <c r="M322" s="36">
        <f>_xll.DBRW($E$12,$F$16,$F$17,$F$18,$E322,$F$20,M$22,$H322,$F$19)</f>
        <v>0</v>
      </c>
      <c r="N322" s="36">
        <f>_xll.DBRW($E$12,$F$16,$F$17,$F$18,$E322,$F$20,N$22,$H322,$F$19)</f>
        <v>1852.67</v>
      </c>
      <c r="O322" s="36">
        <f>_xll.DBRW($E$12,$F$16,$F$17,$F$18,$E322,$F$20,O$22,$H322,$F$19)</f>
        <v>0</v>
      </c>
      <c r="P322" s="36">
        <f>_xll.DBRW($E$12,$F$16,$F$17,$F$18,$E322,$F$20,P$22,$H322,$F$19)</f>
        <v>0</v>
      </c>
      <c r="Q322" s="36">
        <f>_xll.DBRW($E$12,$F$16,$F$17,$F$18,$E322,$F$20,Q$22,$H322,$F$19)</f>
        <v>0</v>
      </c>
      <c r="R322" s="36">
        <f>_xll.DBRW($E$12,$F$16,$F$17,$F$18,$E322,$F$20,R$22,$H322,$F$19)</f>
        <v>0</v>
      </c>
      <c r="S322" s="36">
        <f>_xll.DBRW($E$12,$F$16,$F$17,$F$18,$E322,$F$20,S$22,$H322,$F$19)</f>
        <v>0</v>
      </c>
      <c r="T322" s="36">
        <f>_xll.DBRW($E$12,$F$16,$F$17,$F$18,$E322,$F$20,T$22,$H322,$F$19)</f>
        <v>0</v>
      </c>
      <c r="U322" s="36">
        <f>_xll.DBRW($E$12,$F$16,$F$17,$F$18,$E322,$F$20,U$22,$H322,$F$19)</f>
        <v>1852.67</v>
      </c>
    </row>
    <row r="323" spans="4:21" s="37" customFormat="1" ht="15" outlineLevel="1" thickBot="1" x14ac:dyDescent="0.35">
      <c r="D323" s="33" t="str">
        <f>IF(_xll.TM1RPTELISCONSOLIDATED($H$34,$H323),IF(_xll.TM1RPTELLEV($H$34,$H323)&lt;=5,_xll.TM1RPTELLEV($H$34,$H323),"Default"),"Leaf")</f>
        <v>Leaf</v>
      </c>
      <c r="E323" s="42" t="s">
        <v>675</v>
      </c>
      <c r="F323" s="34" t="str">
        <f>_xll.DBR($B$18,$H323,"Account_Type")</f>
        <v>NON LABOR</v>
      </c>
      <c r="G323" s="34" t="str">
        <f>_xll.DBR($B$18,$H323,"Description")</f>
        <v>Drug Testing &amp; Physicals</v>
      </c>
      <c r="H323" s="43" t="s">
        <v>268</v>
      </c>
      <c r="I323" s="36">
        <f>_xll.DBRW($E$12,$F$16,$F$17,$F$18,$E323,$F$20,I$22,$H323,$F$19)</f>
        <v>30</v>
      </c>
      <c r="J323" s="36">
        <f>_xll.DBRW($E$12,$F$16,$F$17,$F$18,$E323,$F$20,J$22,$H323,$F$19)</f>
        <v>0</v>
      </c>
      <c r="K323" s="36">
        <f>_xll.DBRW($E$12,$F$16,$F$17,$F$18,$E323,$F$20,K$22,$H323,$F$19)</f>
        <v>150</v>
      </c>
      <c r="L323" s="36">
        <f>_xll.DBRW($E$12,$F$16,$F$17,$F$18,$E323,$F$20,L$22,$H323,$F$19)</f>
        <v>0</v>
      </c>
      <c r="M323" s="36">
        <f>_xll.DBRW($E$12,$F$16,$F$17,$F$18,$E323,$F$20,M$22,$H323,$F$19)</f>
        <v>130</v>
      </c>
      <c r="N323" s="36">
        <f>_xll.DBRW($E$12,$F$16,$F$17,$F$18,$E323,$F$20,N$22,$H323,$F$19)</f>
        <v>720</v>
      </c>
      <c r="O323" s="36">
        <f>_xll.DBRW($E$12,$F$16,$F$17,$F$18,$E323,$F$20,O$22,$H323,$F$19)</f>
        <v>-720</v>
      </c>
      <c r="P323" s="36">
        <f>_xll.DBRW($E$12,$F$16,$F$17,$F$18,$E323,$F$20,P$22,$H323,$F$19)</f>
        <v>0</v>
      </c>
      <c r="Q323" s="36">
        <f>_xll.DBRW($E$12,$F$16,$F$17,$F$18,$E323,$F$20,Q$22,$H323,$F$19)</f>
        <v>0</v>
      </c>
      <c r="R323" s="36">
        <f>_xll.DBRW($E$12,$F$16,$F$17,$F$18,$E323,$F$20,R$22,$H323,$F$19)</f>
        <v>0</v>
      </c>
      <c r="S323" s="36">
        <f>_xll.DBRW($E$12,$F$16,$F$17,$F$18,$E323,$F$20,S$22,$H323,$F$19)</f>
        <v>0</v>
      </c>
      <c r="T323" s="36">
        <f>_xll.DBRW($E$12,$F$16,$F$17,$F$18,$E323,$F$20,T$22,$H323,$F$19)</f>
        <v>0</v>
      </c>
      <c r="U323" s="36">
        <f>_xll.DBRW($E$12,$F$16,$F$17,$F$18,$E323,$F$20,U$22,$H323,$F$19)</f>
        <v>310</v>
      </c>
    </row>
    <row r="324" spans="4:21" s="37" customFormat="1" ht="15" outlineLevel="1" thickBot="1" x14ac:dyDescent="0.35">
      <c r="D324" s="33" t="str">
        <f>IF(_xll.TM1RPTELISCONSOLIDATED($H$34,$H324),IF(_xll.TM1RPTELLEV($H$34,$H324)&lt;=5,_xll.TM1RPTELLEV($H$34,$H324),"Default"),"Leaf")</f>
        <v>Leaf</v>
      </c>
      <c r="E324" s="42" t="s">
        <v>675</v>
      </c>
      <c r="F324" s="34" t="str">
        <f>_xll.DBR($B$18,$H324,"Account_Type")</f>
        <v>NON LABOR</v>
      </c>
      <c r="G324" s="34" t="str">
        <f>_xll.DBR($B$18,$H324,"Description")</f>
        <v>Uniforms</v>
      </c>
      <c r="H324" s="43" t="s">
        <v>281</v>
      </c>
      <c r="I324" s="36">
        <f>_xll.DBRW($E$12,$F$16,$F$17,$F$18,$E324,$F$20,I$22,$H324,$F$19)</f>
        <v>-274.49</v>
      </c>
      <c r="J324" s="36">
        <f>_xll.DBRW($E$12,$F$16,$F$17,$F$18,$E324,$F$20,J$22,$H324,$F$19)</f>
        <v>-355.92</v>
      </c>
      <c r="K324" s="36">
        <f>_xll.DBRW($E$12,$F$16,$F$17,$F$18,$E324,$F$20,K$22,$H324,$F$19)</f>
        <v>-292.66000000000003</v>
      </c>
      <c r="L324" s="36">
        <f>_xll.DBRW($E$12,$F$16,$F$17,$F$18,$E324,$F$20,L$22,$H324,$F$19)</f>
        <v>-272.92</v>
      </c>
      <c r="M324" s="36">
        <f>_xll.DBRW($E$12,$F$16,$F$17,$F$18,$E324,$F$20,M$22,$H324,$F$19)</f>
        <v>-327.82</v>
      </c>
      <c r="N324" s="36">
        <f>_xll.DBRW($E$12,$F$16,$F$17,$F$18,$E324,$F$20,N$22,$H324,$F$19)</f>
        <v>65.33</v>
      </c>
      <c r="O324" s="36">
        <f>_xll.DBRW($E$12,$F$16,$F$17,$F$18,$E324,$F$20,O$22,$H324,$F$19)</f>
        <v>0</v>
      </c>
      <c r="P324" s="36">
        <f>_xll.DBRW($E$12,$F$16,$F$17,$F$18,$E324,$F$20,P$22,$H324,$F$19)</f>
        <v>0</v>
      </c>
      <c r="Q324" s="36">
        <f>_xll.DBRW($E$12,$F$16,$F$17,$F$18,$E324,$F$20,Q$22,$H324,$F$19)</f>
        <v>0</v>
      </c>
      <c r="R324" s="36">
        <f>_xll.DBRW($E$12,$F$16,$F$17,$F$18,$E324,$F$20,R$22,$H324,$F$19)</f>
        <v>0</v>
      </c>
      <c r="S324" s="36">
        <f>_xll.DBRW($E$12,$F$16,$F$17,$F$18,$E324,$F$20,S$22,$H324,$F$19)</f>
        <v>0</v>
      </c>
      <c r="T324" s="36">
        <f>_xll.DBRW($E$12,$F$16,$F$17,$F$18,$E324,$F$20,T$22,$H324,$F$19)</f>
        <v>0</v>
      </c>
      <c r="U324" s="36">
        <f>_xll.DBRW($E$12,$F$16,$F$17,$F$18,$E324,$F$20,U$22,$H324,$F$19)</f>
        <v>-1458.4800000000002</v>
      </c>
    </row>
    <row r="325" spans="4:21" s="37" customFormat="1" ht="15" outlineLevel="1" thickBot="1" x14ac:dyDescent="0.35">
      <c r="D325" s="33" t="str">
        <f>IF(_xll.TM1RPTELISCONSOLIDATED($H$34,$H325),IF(_xll.TM1RPTELLEV($H$34,$H325)&lt;=5,_xll.TM1RPTELLEV($H$34,$H325),"Default"),"Leaf")</f>
        <v>Leaf</v>
      </c>
      <c r="E325" s="42" t="s">
        <v>675</v>
      </c>
      <c r="F325" s="34" t="str">
        <f>_xll.DBR($B$18,$H325,"Account_Type")</f>
        <v>NON LABOR</v>
      </c>
      <c r="G325" s="34" t="str">
        <f>_xll.DBR($B$18,$H325,"Description")</f>
        <v>Small Tools</v>
      </c>
      <c r="H325" s="43" t="s">
        <v>310</v>
      </c>
      <c r="I325" s="36">
        <f>_xll.DBRW($E$12,$F$16,$F$17,$F$18,$E325,$F$20,I$22,$H325,$F$19)</f>
        <v>0</v>
      </c>
      <c r="J325" s="36">
        <f>_xll.DBRW($E$12,$F$16,$F$17,$F$18,$E325,$F$20,J$22,$H325,$F$19)</f>
        <v>0</v>
      </c>
      <c r="K325" s="36">
        <f>_xll.DBRW($E$12,$F$16,$F$17,$F$18,$E325,$F$20,K$22,$H325,$F$19)</f>
        <v>0</v>
      </c>
      <c r="L325" s="36">
        <f>_xll.DBRW($E$12,$F$16,$F$17,$F$18,$E325,$F$20,L$22,$H325,$F$19)</f>
        <v>0</v>
      </c>
      <c r="M325" s="36">
        <f>_xll.DBRW($E$12,$F$16,$F$17,$F$18,$E325,$F$20,M$22,$H325,$F$19)</f>
        <v>232.59</v>
      </c>
      <c r="N325" s="36">
        <f>_xll.DBRW($E$12,$F$16,$F$17,$F$18,$E325,$F$20,N$22,$H325,$F$19)</f>
        <v>789</v>
      </c>
      <c r="O325" s="36">
        <f>_xll.DBRW($E$12,$F$16,$F$17,$F$18,$E325,$F$20,O$22,$H325,$F$19)</f>
        <v>1377.88</v>
      </c>
      <c r="P325" s="36">
        <f>_xll.DBRW($E$12,$F$16,$F$17,$F$18,$E325,$F$20,P$22,$H325,$F$19)</f>
        <v>0</v>
      </c>
      <c r="Q325" s="36">
        <f>_xll.DBRW($E$12,$F$16,$F$17,$F$18,$E325,$F$20,Q$22,$H325,$F$19)</f>
        <v>0</v>
      </c>
      <c r="R325" s="36">
        <f>_xll.DBRW($E$12,$F$16,$F$17,$F$18,$E325,$F$20,R$22,$H325,$F$19)</f>
        <v>0</v>
      </c>
      <c r="S325" s="36">
        <f>_xll.DBRW($E$12,$F$16,$F$17,$F$18,$E325,$F$20,S$22,$H325,$F$19)</f>
        <v>0</v>
      </c>
      <c r="T325" s="36">
        <f>_xll.DBRW($E$12,$F$16,$F$17,$F$18,$E325,$F$20,T$22,$H325,$F$19)</f>
        <v>0</v>
      </c>
      <c r="U325" s="36">
        <f>_xll.DBRW($E$12,$F$16,$F$17,$F$18,$E325,$F$20,U$22,$H325,$F$19)</f>
        <v>2399.4700000000003</v>
      </c>
    </row>
    <row r="326" spans="4:21" s="37" customFormat="1" ht="15" outlineLevel="1" thickBot="1" x14ac:dyDescent="0.35">
      <c r="D326" s="33" t="str">
        <f>IF(_xll.TM1RPTELISCONSOLIDATED($H$34,$H326),IF(_xll.TM1RPTELLEV($H$34,$H326)&lt;=5,_xll.TM1RPTELLEV($H$34,$H326),"Default"),"Leaf")</f>
        <v>Leaf</v>
      </c>
      <c r="E326" s="42" t="s">
        <v>675</v>
      </c>
      <c r="F326" s="34" t="str">
        <f>_xll.DBR($B$18,$H326,"Account_Type")</f>
        <v>NON LABOR</v>
      </c>
      <c r="G326" s="34" t="str">
        <f>_xll.DBR($B$18,$H326,"Description")</f>
        <v>Consumable Purchases</v>
      </c>
      <c r="H326" s="43" t="s">
        <v>322</v>
      </c>
      <c r="I326" s="36">
        <f>_xll.DBRW($E$12,$F$16,$F$17,$F$18,$E326,$F$20,I$22,$H326,$F$19)</f>
        <v>4018.98</v>
      </c>
      <c r="J326" s="36">
        <f>_xll.DBRW($E$12,$F$16,$F$17,$F$18,$E326,$F$20,J$22,$H326,$F$19)</f>
        <v>0</v>
      </c>
      <c r="K326" s="36">
        <f>_xll.DBRW($E$12,$F$16,$F$17,$F$18,$E326,$F$20,K$22,$H326,$F$19)</f>
        <v>-4015.98</v>
      </c>
      <c r="L326" s="36">
        <f>_xll.DBRW($E$12,$F$16,$F$17,$F$18,$E326,$F$20,L$22,$H326,$F$19)</f>
        <v>0</v>
      </c>
      <c r="M326" s="36">
        <f>_xll.DBRW($E$12,$F$16,$F$17,$F$18,$E326,$F$20,M$22,$H326,$F$19)</f>
        <v>0</v>
      </c>
      <c r="N326" s="36">
        <f>_xll.DBRW($E$12,$F$16,$F$17,$F$18,$E326,$F$20,N$22,$H326,$F$19)</f>
        <v>0</v>
      </c>
      <c r="O326" s="36">
        <f>_xll.DBRW($E$12,$F$16,$F$17,$F$18,$E326,$F$20,O$22,$H326,$F$19)</f>
        <v>0</v>
      </c>
      <c r="P326" s="36">
        <f>_xll.DBRW($E$12,$F$16,$F$17,$F$18,$E326,$F$20,P$22,$H326,$F$19)</f>
        <v>0</v>
      </c>
      <c r="Q326" s="36">
        <f>_xll.DBRW($E$12,$F$16,$F$17,$F$18,$E326,$F$20,Q$22,$H326,$F$19)</f>
        <v>0</v>
      </c>
      <c r="R326" s="36">
        <f>_xll.DBRW($E$12,$F$16,$F$17,$F$18,$E326,$F$20,R$22,$H326,$F$19)</f>
        <v>0</v>
      </c>
      <c r="S326" s="36">
        <f>_xll.DBRW($E$12,$F$16,$F$17,$F$18,$E326,$F$20,S$22,$H326,$F$19)</f>
        <v>0</v>
      </c>
      <c r="T326" s="36">
        <f>_xll.DBRW($E$12,$F$16,$F$17,$F$18,$E326,$F$20,T$22,$H326,$F$19)</f>
        <v>0</v>
      </c>
      <c r="U326" s="36">
        <f>_xll.DBRW($E$12,$F$16,$F$17,$F$18,$E326,$F$20,U$22,$H326,$F$19)</f>
        <v>3</v>
      </c>
    </row>
    <row r="327" spans="4:21" s="37" customFormat="1" ht="15" outlineLevel="1" thickBot="1" x14ac:dyDescent="0.35">
      <c r="D327" s="33" t="str">
        <f>IF(_xll.TM1RPTELISCONSOLIDATED($H$34,$H327),IF(_xll.TM1RPTELLEV($H$34,$H327)&lt;=5,_xll.TM1RPTELLEV($H$34,$H327),"Default"),"Leaf")</f>
        <v>Leaf</v>
      </c>
      <c r="E327" s="42" t="s">
        <v>675</v>
      </c>
      <c r="F327" s="34" t="str">
        <f>_xll.DBR($B$18,$H327,"Account_Type")</f>
        <v>NON LABOR</v>
      </c>
      <c r="G327" s="34" t="str">
        <f>_xll.DBR($B$18,$H327,"Description")</f>
        <v>Employee Leased Vehicles</v>
      </c>
      <c r="H327" s="43" t="s">
        <v>356</v>
      </c>
      <c r="I327" s="36">
        <f>_xll.DBRW($E$12,$F$16,$F$17,$F$18,$E327,$F$20,I$22,$H327,$F$19)</f>
        <v>2300</v>
      </c>
      <c r="J327" s="36">
        <f>_xll.DBRW($E$12,$F$16,$F$17,$F$18,$E327,$F$20,J$22,$H327,$F$19)</f>
        <v>2300</v>
      </c>
      <c r="K327" s="36">
        <f>_xll.DBRW($E$12,$F$16,$F$17,$F$18,$E327,$F$20,K$22,$H327,$F$19)</f>
        <v>2300</v>
      </c>
      <c r="L327" s="36">
        <f>_xll.DBRW($E$12,$F$16,$F$17,$F$18,$E327,$F$20,L$22,$H327,$F$19)</f>
        <v>2300</v>
      </c>
      <c r="M327" s="36">
        <f>_xll.DBRW($E$12,$F$16,$F$17,$F$18,$E327,$F$20,M$22,$H327,$F$19)</f>
        <v>2300</v>
      </c>
      <c r="N327" s="36">
        <f>_xll.DBRW($E$12,$F$16,$F$17,$F$18,$E327,$F$20,N$22,$H327,$F$19)</f>
        <v>2725.81</v>
      </c>
      <c r="O327" s="36">
        <f>_xll.DBRW($E$12,$F$16,$F$17,$F$18,$E327,$F$20,O$22,$H327,$F$19)</f>
        <v>2300</v>
      </c>
      <c r="P327" s="36">
        <f>_xll.DBRW($E$12,$F$16,$F$17,$F$18,$E327,$F$20,P$22,$H327,$F$19)</f>
        <v>0</v>
      </c>
      <c r="Q327" s="36">
        <f>_xll.DBRW($E$12,$F$16,$F$17,$F$18,$E327,$F$20,Q$22,$H327,$F$19)</f>
        <v>0</v>
      </c>
      <c r="R327" s="36">
        <f>_xll.DBRW($E$12,$F$16,$F$17,$F$18,$E327,$F$20,R$22,$H327,$F$19)</f>
        <v>0</v>
      </c>
      <c r="S327" s="36">
        <f>_xll.DBRW($E$12,$F$16,$F$17,$F$18,$E327,$F$20,S$22,$H327,$F$19)</f>
        <v>0</v>
      </c>
      <c r="T327" s="36">
        <f>_xll.DBRW($E$12,$F$16,$F$17,$F$18,$E327,$F$20,T$22,$H327,$F$19)</f>
        <v>0</v>
      </c>
      <c r="U327" s="36">
        <f>_xll.DBRW($E$12,$F$16,$F$17,$F$18,$E327,$F$20,U$22,$H327,$F$19)</f>
        <v>16525.809999999998</v>
      </c>
    </row>
    <row r="328" spans="4:21" s="37" customFormat="1" ht="15" outlineLevel="1" thickBot="1" x14ac:dyDescent="0.35">
      <c r="D328" s="33" t="str">
        <f>IF(_xll.TM1RPTELISCONSOLIDATED($H$34,$H328),IF(_xll.TM1RPTELLEV($H$34,$H328)&lt;=5,_xll.TM1RPTELLEV($H$34,$H328),"Default"),"Leaf")</f>
        <v>Leaf</v>
      </c>
      <c r="E328" s="42" t="s">
        <v>675</v>
      </c>
      <c r="F328" s="34" t="str">
        <f>_xll.DBR($B$18,$H328,"Account_Type")</f>
        <v>NON LABOR</v>
      </c>
      <c r="G328" s="34" t="str">
        <f>_xll.DBR($B$18,$H328,"Description")</f>
        <v>Fleet Leased Vehicle Expense</v>
      </c>
      <c r="H328" s="43" t="s">
        <v>375</v>
      </c>
      <c r="I328" s="36">
        <f>_xll.DBRW($E$12,$F$16,$F$17,$F$18,$E328,$F$20,I$22,$H328,$F$19)</f>
        <v>1190.6400000000001</v>
      </c>
      <c r="J328" s="36">
        <f>_xll.DBRW($E$12,$F$16,$F$17,$F$18,$E328,$F$20,J$22,$H328,$F$19)</f>
        <v>747.2</v>
      </c>
      <c r="K328" s="36">
        <f>_xll.DBRW($E$12,$F$16,$F$17,$F$18,$E328,$F$20,K$22,$H328,$F$19)</f>
        <v>1336.94</v>
      </c>
      <c r="L328" s="36">
        <f>_xll.DBRW($E$12,$F$16,$F$17,$F$18,$E328,$F$20,L$22,$H328,$F$19)</f>
        <v>428.85</v>
      </c>
      <c r="M328" s="36">
        <f>_xll.DBRW($E$12,$F$16,$F$17,$F$18,$E328,$F$20,M$22,$H328,$F$19)</f>
        <v>0</v>
      </c>
      <c r="N328" s="36">
        <f>_xll.DBRW($E$12,$F$16,$F$17,$F$18,$E328,$F$20,N$22,$H328,$F$19)</f>
        <v>1594.8</v>
      </c>
      <c r="O328" s="36">
        <f>_xll.DBRW($E$12,$F$16,$F$17,$F$18,$E328,$F$20,O$22,$H328,$F$19)</f>
        <v>0</v>
      </c>
      <c r="P328" s="36">
        <f>_xll.DBRW($E$12,$F$16,$F$17,$F$18,$E328,$F$20,P$22,$H328,$F$19)</f>
        <v>0</v>
      </c>
      <c r="Q328" s="36">
        <f>_xll.DBRW($E$12,$F$16,$F$17,$F$18,$E328,$F$20,Q$22,$H328,$F$19)</f>
        <v>0</v>
      </c>
      <c r="R328" s="36">
        <f>_xll.DBRW($E$12,$F$16,$F$17,$F$18,$E328,$F$20,R$22,$H328,$F$19)</f>
        <v>0</v>
      </c>
      <c r="S328" s="36">
        <f>_xll.DBRW($E$12,$F$16,$F$17,$F$18,$E328,$F$20,S$22,$H328,$F$19)</f>
        <v>0</v>
      </c>
      <c r="T328" s="36">
        <f>_xll.DBRW($E$12,$F$16,$F$17,$F$18,$E328,$F$20,T$22,$H328,$F$19)</f>
        <v>0</v>
      </c>
      <c r="U328" s="36">
        <f>_xll.DBRW($E$12,$F$16,$F$17,$F$18,$E328,$F$20,U$22,$H328,$F$19)</f>
        <v>5298.43</v>
      </c>
    </row>
    <row r="329" spans="4:21" s="37" customFormat="1" ht="15" outlineLevel="1" thickBot="1" x14ac:dyDescent="0.35">
      <c r="D329" s="33" t="str">
        <f>IF(_xll.TM1RPTELISCONSOLIDATED($H$34,$H329),IF(_xll.TM1RPTELLEV($H$34,$H329)&lt;=5,_xll.TM1RPTELLEV($H$34,$H329),"Default"),"Leaf")</f>
        <v>Leaf</v>
      </c>
      <c r="E329" s="42" t="s">
        <v>675</v>
      </c>
      <c r="F329" s="34" t="str">
        <f>_xll.DBR($B$18,$H329,"Account_Type")</f>
        <v>NON LABOR</v>
      </c>
      <c r="G329" s="34" t="str">
        <f>_xll.DBR($B$18,$H329,"Description")</f>
        <v>Fleet Leased Vehicle Expense</v>
      </c>
      <c r="H329" s="43" t="s">
        <v>383</v>
      </c>
      <c r="I329" s="36">
        <f>_xll.DBRW($E$12,$F$16,$F$17,$F$18,$E329,$F$20,I$22,$H329,$F$19)</f>
        <v>207.59</v>
      </c>
      <c r="J329" s="36">
        <f>_xll.DBRW($E$12,$F$16,$F$17,$F$18,$E329,$F$20,J$22,$H329,$F$19)</f>
        <v>0</v>
      </c>
      <c r="K329" s="36">
        <f>_xll.DBRW($E$12,$F$16,$F$17,$F$18,$E329,$F$20,K$22,$H329,$F$19)</f>
        <v>0</v>
      </c>
      <c r="L329" s="36">
        <f>_xll.DBRW($E$12,$F$16,$F$17,$F$18,$E329,$F$20,L$22,$H329,$F$19)</f>
        <v>0</v>
      </c>
      <c r="M329" s="36">
        <f>_xll.DBRW($E$12,$F$16,$F$17,$F$18,$E329,$F$20,M$22,$H329,$F$19)</f>
        <v>0</v>
      </c>
      <c r="N329" s="36">
        <f>_xll.DBRW($E$12,$F$16,$F$17,$F$18,$E329,$F$20,N$22,$H329,$F$19)</f>
        <v>461.9</v>
      </c>
      <c r="O329" s="36">
        <f>_xll.DBRW($E$12,$F$16,$F$17,$F$18,$E329,$F$20,O$22,$H329,$F$19)</f>
        <v>0</v>
      </c>
      <c r="P329" s="36">
        <f>_xll.DBRW($E$12,$F$16,$F$17,$F$18,$E329,$F$20,P$22,$H329,$F$19)</f>
        <v>0</v>
      </c>
      <c r="Q329" s="36">
        <f>_xll.DBRW($E$12,$F$16,$F$17,$F$18,$E329,$F$20,Q$22,$H329,$F$19)</f>
        <v>0</v>
      </c>
      <c r="R329" s="36">
        <f>_xll.DBRW($E$12,$F$16,$F$17,$F$18,$E329,$F$20,R$22,$H329,$F$19)</f>
        <v>0</v>
      </c>
      <c r="S329" s="36">
        <f>_xll.DBRW($E$12,$F$16,$F$17,$F$18,$E329,$F$20,S$22,$H329,$F$19)</f>
        <v>0</v>
      </c>
      <c r="T329" s="36">
        <f>_xll.DBRW($E$12,$F$16,$F$17,$F$18,$E329,$F$20,T$22,$H329,$F$19)</f>
        <v>0</v>
      </c>
      <c r="U329" s="36">
        <f>_xll.DBRW($E$12,$F$16,$F$17,$F$18,$E329,$F$20,U$22,$H329,$F$19)</f>
        <v>669.49</v>
      </c>
    </row>
    <row r="330" spans="4:21" s="37" customFormat="1" ht="15" outlineLevel="1" thickBot="1" x14ac:dyDescent="0.35">
      <c r="D330" s="33" t="str">
        <f>IF(_xll.TM1RPTELISCONSOLIDATED($H$34,$H330),IF(_xll.TM1RPTELLEV($H$34,$H330)&lt;=5,_xll.TM1RPTELLEV($H$34,$H330),"Default"),"Leaf")</f>
        <v>Leaf</v>
      </c>
      <c r="E330" s="42" t="s">
        <v>675</v>
      </c>
      <c r="F330" s="34" t="str">
        <f>_xll.DBR($B$18,$H330,"Account_Type")</f>
        <v>NON LABOR</v>
      </c>
      <c r="G330" s="34" t="str">
        <f>_xll.DBR($B$18,$H330,"Description")</f>
        <v>Fuel to Leased Vehicles</v>
      </c>
      <c r="H330" s="43" t="s">
        <v>392</v>
      </c>
      <c r="I330" s="36">
        <f>_xll.DBRW($E$12,$F$16,$F$17,$F$18,$E330,$F$20,I$22,$H330,$F$19)</f>
        <v>633.27</v>
      </c>
      <c r="J330" s="36">
        <f>_xll.DBRW($E$12,$F$16,$F$17,$F$18,$E330,$F$20,J$22,$H330,$F$19)</f>
        <v>994.58</v>
      </c>
      <c r="K330" s="36">
        <f>_xll.DBRW($E$12,$F$16,$F$17,$F$18,$E330,$F$20,K$22,$H330,$F$19)</f>
        <v>913.05</v>
      </c>
      <c r="L330" s="36">
        <f>_xll.DBRW($E$12,$F$16,$F$17,$F$18,$E330,$F$20,L$22,$H330,$F$19)</f>
        <v>1654.38</v>
      </c>
      <c r="M330" s="36">
        <f>_xll.DBRW($E$12,$F$16,$F$17,$F$18,$E330,$F$20,M$22,$H330,$F$19)</f>
        <v>821.35</v>
      </c>
      <c r="N330" s="36">
        <f>_xll.DBRW($E$12,$F$16,$F$17,$F$18,$E330,$F$20,N$22,$H330,$F$19)</f>
        <v>0</v>
      </c>
      <c r="O330" s="36">
        <f>_xll.DBRW($E$12,$F$16,$F$17,$F$18,$E330,$F$20,O$22,$H330,$F$19)</f>
        <v>0</v>
      </c>
      <c r="P330" s="36">
        <f>_xll.DBRW($E$12,$F$16,$F$17,$F$18,$E330,$F$20,P$22,$H330,$F$19)</f>
        <v>0</v>
      </c>
      <c r="Q330" s="36">
        <f>_xll.DBRW($E$12,$F$16,$F$17,$F$18,$E330,$F$20,Q$22,$H330,$F$19)</f>
        <v>0</v>
      </c>
      <c r="R330" s="36">
        <f>_xll.DBRW($E$12,$F$16,$F$17,$F$18,$E330,$F$20,R$22,$H330,$F$19)</f>
        <v>0</v>
      </c>
      <c r="S330" s="36">
        <f>_xll.DBRW($E$12,$F$16,$F$17,$F$18,$E330,$F$20,S$22,$H330,$F$19)</f>
        <v>0</v>
      </c>
      <c r="T330" s="36">
        <f>_xll.DBRW($E$12,$F$16,$F$17,$F$18,$E330,$F$20,T$22,$H330,$F$19)</f>
        <v>0</v>
      </c>
      <c r="U330" s="36">
        <f>_xll.DBRW($E$12,$F$16,$F$17,$F$18,$E330,$F$20,U$22,$H330,$F$19)</f>
        <v>5016.63</v>
      </c>
    </row>
    <row r="331" spans="4:21" s="37" customFormat="1" ht="15" outlineLevel="1" thickBot="1" x14ac:dyDescent="0.35">
      <c r="D331" s="33" t="str">
        <f>IF(_xll.TM1RPTELISCONSOLIDATED($H$34,$H331),IF(_xll.TM1RPTELLEV($H$34,$H331)&lt;=5,_xll.TM1RPTELLEV($H$34,$H331),"Default"),"Leaf")</f>
        <v>Leaf</v>
      </c>
      <c r="E331" s="42" t="s">
        <v>675</v>
      </c>
      <c r="F331" s="34" t="str">
        <f>_xll.DBR($B$18,$H331,"Account_Type")</f>
        <v>NON LABOR</v>
      </c>
      <c r="G331" s="34" t="str">
        <f>_xll.DBR($B$18,$H331,"Description")</f>
        <v>Fuel Purchases to Leased Vehicles</v>
      </c>
      <c r="H331" s="43" t="s">
        <v>408</v>
      </c>
      <c r="I331" s="36">
        <f>_xll.DBRW($E$12,$F$16,$F$17,$F$18,$E331,$F$20,I$22,$H331,$F$19)</f>
        <v>0</v>
      </c>
      <c r="J331" s="36">
        <f>_xll.DBRW($E$12,$F$16,$F$17,$F$18,$E331,$F$20,J$22,$H331,$F$19)</f>
        <v>27.88</v>
      </c>
      <c r="K331" s="36">
        <f>_xll.DBRW($E$12,$F$16,$F$17,$F$18,$E331,$F$20,K$22,$H331,$F$19)</f>
        <v>0</v>
      </c>
      <c r="L331" s="36">
        <f>_xll.DBRW($E$12,$F$16,$F$17,$F$18,$E331,$F$20,L$22,$H331,$F$19)</f>
        <v>0</v>
      </c>
      <c r="M331" s="36">
        <f>_xll.DBRW($E$12,$F$16,$F$17,$F$18,$E331,$F$20,M$22,$H331,$F$19)</f>
        <v>0</v>
      </c>
      <c r="N331" s="36">
        <f>_xll.DBRW($E$12,$F$16,$F$17,$F$18,$E331,$F$20,N$22,$H331,$F$19)</f>
        <v>47.7</v>
      </c>
      <c r="O331" s="36">
        <f>_xll.DBRW($E$12,$F$16,$F$17,$F$18,$E331,$F$20,O$22,$H331,$F$19)</f>
        <v>0</v>
      </c>
      <c r="P331" s="36">
        <f>_xll.DBRW($E$12,$F$16,$F$17,$F$18,$E331,$F$20,P$22,$H331,$F$19)</f>
        <v>0</v>
      </c>
      <c r="Q331" s="36">
        <f>_xll.DBRW($E$12,$F$16,$F$17,$F$18,$E331,$F$20,Q$22,$H331,$F$19)</f>
        <v>0</v>
      </c>
      <c r="R331" s="36">
        <f>_xll.DBRW($E$12,$F$16,$F$17,$F$18,$E331,$F$20,R$22,$H331,$F$19)</f>
        <v>0</v>
      </c>
      <c r="S331" s="36">
        <f>_xll.DBRW($E$12,$F$16,$F$17,$F$18,$E331,$F$20,S$22,$H331,$F$19)</f>
        <v>0</v>
      </c>
      <c r="T331" s="36">
        <f>_xll.DBRW($E$12,$F$16,$F$17,$F$18,$E331,$F$20,T$22,$H331,$F$19)</f>
        <v>0</v>
      </c>
      <c r="U331" s="36">
        <f>_xll.DBRW($E$12,$F$16,$F$17,$F$18,$E331,$F$20,U$22,$H331,$F$19)</f>
        <v>75.58</v>
      </c>
    </row>
    <row r="332" spans="4:21" s="37" customFormat="1" ht="15" outlineLevel="1" thickBot="1" x14ac:dyDescent="0.35">
      <c r="D332" s="33" t="str">
        <f>IF(_xll.TM1RPTELISCONSOLIDATED($H$34,$H332),IF(_xll.TM1RPTELLEV($H$34,$H332)&lt;=5,_xll.TM1RPTELLEV($H$34,$H332),"Default"),"Leaf")</f>
        <v>Leaf</v>
      </c>
      <c r="E332" s="42" t="s">
        <v>675</v>
      </c>
      <c r="F332" s="34" t="str">
        <f>_xll.DBR($B$18,$H332,"Account_Type")</f>
        <v>NON LABOR</v>
      </c>
      <c r="G332" s="34" t="str">
        <f>_xll.DBR($B$18,$H332,"Description")</f>
        <v>Unallocated Fuel</v>
      </c>
      <c r="H332" s="43" t="s">
        <v>414</v>
      </c>
      <c r="I332" s="36">
        <f>_xll.DBRW($E$12,$F$16,$F$17,$F$18,$E332,$F$20,I$22,$H332,$F$19)</f>
        <v>0</v>
      </c>
      <c r="J332" s="36">
        <f>_xll.DBRW($E$12,$F$16,$F$17,$F$18,$E332,$F$20,J$22,$H332,$F$19)</f>
        <v>0</v>
      </c>
      <c r="K332" s="36">
        <f>_xll.DBRW($E$12,$F$16,$F$17,$F$18,$E332,$F$20,K$22,$H332,$F$19)</f>
        <v>0</v>
      </c>
      <c r="L332" s="36">
        <f>_xll.DBRW($E$12,$F$16,$F$17,$F$18,$E332,$F$20,L$22,$H332,$F$19)</f>
        <v>0</v>
      </c>
      <c r="M332" s="36">
        <f>_xll.DBRW($E$12,$F$16,$F$17,$F$18,$E332,$F$20,M$22,$H332,$F$19)</f>
        <v>450.02</v>
      </c>
      <c r="N332" s="36">
        <f>_xll.DBRW($E$12,$F$16,$F$17,$F$18,$E332,$F$20,N$22,$H332,$F$19)</f>
        <v>0</v>
      </c>
      <c r="O332" s="36">
        <f>_xll.DBRW($E$12,$F$16,$F$17,$F$18,$E332,$F$20,O$22,$H332,$F$19)</f>
        <v>0</v>
      </c>
      <c r="P332" s="36">
        <f>_xll.DBRW($E$12,$F$16,$F$17,$F$18,$E332,$F$20,P$22,$H332,$F$19)</f>
        <v>0</v>
      </c>
      <c r="Q332" s="36">
        <f>_xll.DBRW($E$12,$F$16,$F$17,$F$18,$E332,$F$20,Q$22,$H332,$F$19)</f>
        <v>0</v>
      </c>
      <c r="R332" s="36">
        <f>_xll.DBRW($E$12,$F$16,$F$17,$F$18,$E332,$F$20,R$22,$H332,$F$19)</f>
        <v>0</v>
      </c>
      <c r="S332" s="36">
        <f>_xll.DBRW($E$12,$F$16,$F$17,$F$18,$E332,$F$20,S$22,$H332,$F$19)</f>
        <v>0</v>
      </c>
      <c r="T332" s="36">
        <f>_xll.DBRW($E$12,$F$16,$F$17,$F$18,$E332,$F$20,T$22,$H332,$F$19)</f>
        <v>0</v>
      </c>
      <c r="U332" s="36">
        <f>_xll.DBRW($E$12,$F$16,$F$17,$F$18,$E332,$F$20,U$22,$H332,$F$19)</f>
        <v>450.02</v>
      </c>
    </row>
    <row r="333" spans="4:21" s="37" customFormat="1" ht="15" outlineLevel="1" thickBot="1" x14ac:dyDescent="0.35">
      <c r="D333" s="33" t="str">
        <f>IF(_xll.TM1RPTELISCONSOLIDATED($H$34,$H333),IF(_xll.TM1RPTELLEV($H$34,$H333)&lt;=5,_xll.TM1RPTELLEV($H$34,$H333),"Default"),"Leaf")</f>
        <v>Leaf</v>
      </c>
      <c r="E333" s="42" t="s">
        <v>675</v>
      </c>
      <c r="F333" s="34" t="str">
        <f>_xll.DBR($B$18,$H333,"Account_Type")</f>
        <v>NON LABOR</v>
      </c>
      <c r="G333" s="34" t="str">
        <f>_xll.DBR($B$18,$H333,"Description")</f>
        <v>Fuel to Company Owned Equipment</v>
      </c>
      <c r="H333" s="43" t="s">
        <v>432</v>
      </c>
      <c r="I333" s="36">
        <f>_xll.DBRW($E$12,$F$16,$F$17,$F$18,$E333,$F$20,I$22,$H333,$F$19)</f>
        <v>0</v>
      </c>
      <c r="J333" s="36">
        <f>_xll.DBRW($E$12,$F$16,$F$17,$F$18,$E333,$F$20,J$22,$H333,$F$19)</f>
        <v>1077.3</v>
      </c>
      <c r="K333" s="36">
        <f>_xll.DBRW($E$12,$F$16,$F$17,$F$18,$E333,$F$20,K$22,$H333,$F$19)</f>
        <v>0</v>
      </c>
      <c r="L333" s="36">
        <f>_xll.DBRW($E$12,$F$16,$F$17,$F$18,$E333,$F$20,L$22,$H333,$F$19)</f>
        <v>1363.29</v>
      </c>
      <c r="M333" s="36">
        <f>_xll.DBRW($E$12,$F$16,$F$17,$F$18,$E333,$F$20,M$22,$H333,$F$19)</f>
        <v>0</v>
      </c>
      <c r="N333" s="36">
        <f>_xll.DBRW($E$12,$F$16,$F$17,$F$18,$E333,$F$20,N$22,$H333,$F$19)</f>
        <v>0</v>
      </c>
      <c r="O333" s="36">
        <f>_xll.DBRW($E$12,$F$16,$F$17,$F$18,$E333,$F$20,O$22,$H333,$F$19)</f>
        <v>0</v>
      </c>
      <c r="P333" s="36">
        <f>_xll.DBRW($E$12,$F$16,$F$17,$F$18,$E333,$F$20,P$22,$H333,$F$19)</f>
        <v>0</v>
      </c>
      <c r="Q333" s="36">
        <f>_xll.DBRW($E$12,$F$16,$F$17,$F$18,$E333,$F$20,Q$22,$H333,$F$19)</f>
        <v>0</v>
      </c>
      <c r="R333" s="36">
        <f>_xll.DBRW($E$12,$F$16,$F$17,$F$18,$E333,$F$20,R$22,$H333,$F$19)</f>
        <v>0</v>
      </c>
      <c r="S333" s="36">
        <f>_xll.DBRW($E$12,$F$16,$F$17,$F$18,$E333,$F$20,S$22,$H333,$F$19)</f>
        <v>0</v>
      </c>
      <c r="T333" s="36">
        <f>_xll.DBRW($E$12,$F$16,$F$17,$F$18,$E333,$F$20,T$22,$H333,$F$19)</f>
        <v>0</v>
      </c>
      <c r="U333" s="36">
        <f>_xll.DBRW($E$12,$F$16,$F$17,$F$18,$E333,$F$20,U$22,$H333,$F$19)</f>
        <v>2440.59</v>
      </c>
    </row>
    <row r="334" spans="4:21" s="37" customFormat="1" ht="15" outlineLevel="1" thickBot="1" x14ac:dyDescent="0.35">
      <c r="D334" s="33" t="str">
        <f>IF(_xll.TM1RPTELISCONSOLIDATED($H$34,$H334),IF(_xll.TM1RPTELLEV($H$34,$H334)&lt;=5,_xll.TM1RPTELLEV($H$34,$H334),"Default"),"Leaf")</f>
        <v>Leaf</v>
      </c>
      <c r="E334" s="42" t="s">
        <v>675</v>
      </c>
      <c r="F334" s="34" t="str">
        <f>_xll.DBR($B$18,$H334,"Account_Type")</f>
        <v>NON LABOR</v>
      </c>
      <c r="G334" s="34" t="str">
        <f>_xll.DBR($B$18,$H334,"Description")</f>
        <v>Company Aircraft Usage</v>
      </c>
      <c r="H334" s="43" t="s">
        <v>444</v>
      </c>
      <c r="I334" s="36">
        <f>_xll.DBRW($E$12,$F$16,$F$17,$F$18,$E334,$F$20,I$22,$H334,$F$19)</f>
        <v>0</v>
      </c>
      <c r="J334" s="36">
        <f>_xll.DBRW($E$12,$F$16,$F$17,$F$18,$E334,$F$20,J$22,$H334,$F$19)</f>
        <v>0</v>
      </c>
      <c r="K334" s="36">
        <f>_xll.DBRW($E$12,$F$16,$F$17,$F$18,$E334,$F$20,K$22,$H334,$F$19)</f>
        <v>0</v>
      </c>
      <c r="L334" s="36">
        <f>_xll.DBRW($E$12,$F$16,$F$17,$F$18,$E334,$F$20,L$22,$H334,$F$19)</f>
        <v>0</v>
      </c>
      <c r="M334" s="36">
        <f>_xll.DBRW($E$12,$F$16,$F$17,$F$18,$E334,$F$20,M$22,$H334,$F$19)</f>
        <v>180</v>
      </c>
      <c r="N334" s="36">
        <f>_xll.DBRW($E$12,$F$16,$F$17,$F$18,$E334,$F$20,N$22,$H334,$F$19)</f>
        <v>0</v>
      </c>
      <c r="O334" s="36">
        <f>_xll.DBRW($E$12,$F$16,$F$17,$F$18,$E334,$F$20,O$22,$H334,$F$19)</f>
        <v>0</v>
      </c>
      <c r="P334" s="36">
        <f>_xll.DBRW($E$12,$F$16,$F$17,$F$18,$E334,$F$20,P$22,$H334,$F$19)</f>
        <v>0</v>
      </c>
      <c r="Q334" s="36">
        <f>_xll.DBRW($E$12,$F$16,$F$17,$F$18,$E334,$F$20,Q$22,$H334,$F$19)</f>
        <v>0</v>
      </c>
      <c r="R334" s="36">
        <f>_xll.DBRW($E$12,$F$16,$F$17,$F$18,$E334,$F$20,R$22,$H334,$F$19)</f>
        <v>0</v>
      </c>
      <c r="S334" s="36">
        <f>_xll.DBRW($E$12,$F$16,$F$17,$F$18,$E334,$F$20,S$22,$H334,$F$19)</f>
        <v>0</v>
      </c>
      <c r="T334" s="36">
        <f>_xll.DBRW($E$12,$F$16,$F$17,$F$18,$E334,$F$20,T$22,$H334,$F$19)</f>
        <v>0</v>
      </c>
      <c r="U334" s="36">
        <f>_xll.DBRW($E$12,$F$16,$F$17,$F$18,$E334,$F$20,U$22,$H334,$F$19)</f>
        <v>180</v>
      </c>
    </row>
    <row r="335" spans="4:21" s="37" customFormat="1" ht="15" outlineLevel="1" thickBot="1" x14ac:dyDescent="0.35">
      <c r="D335" s="33" t="str">
        <f>IF(_xll.TM1RPTELISCONSOLIDATED($H$34,$H335),IF(_xll.TM1RPTELLEV($H$34,$H335)&lt;=5,_xll.TM1RPTELLEV($H$34,$H335),"Default"),"Leaf")</f>
        <v>Leaf</v>
      </c>
      <c r="E335" s="42" t="s">
        <v>675</v>
      </c>
      <c r="F335" s="34" t="str">
        <f>_xll.DBR($B$18,$H335,"Account_Type")</f>
        <v>NON LABOR</v>
      </c>
      <c r="G335" s="34" t="str">
        <f>_xll.DBR($B$18,$H335,"Description")</f>
        <v>Corporate Allocation</v>
      </c>
      <c r="H335" s="43" t="s">
        <v>454</v>
      </c>
      <c r="I335" s="36">
        <f>_xll.DBRW($E$12,$F$16,$F$17,$F$18,$E335,$F$20,I$22,$H335,$F$19)</f>
        <v>34258.89</v>
      </c>
      <c r="J335" s="36">
        <f>_xll.DBRW($E$12,$F$16,$F$17,$F$18,$E335,$F$20,J$22,$H335,$F$19)</f>
        <v>32799.99</v>
      </c>
      <c r="K335" s="36">
        <f>_xll.DBRW($E$12,$F$16,$F$17,$F$18,$E335,$F$20,K$22,$H335,$F$19)</f>
        <v>52471.39</v>
      </c>
      <c r="L335" s="36">
        <f>_xll.DBRW($E$12,$F$16,$F$17,$F$18,$E335,$F$20,L$22,$H335,$F$19)</f>
        <v>73045.09</v>
      </c>
      <c r="M335" s="36">
        <f>_xll.DBRW($E$12,$F$16,$F$17,$F$18,$E335,$F$20,M$22,$H335,$F$19)</f>
        <v>82656.95</v>
      </c>
      <c r="N335" s="36">
        <f>_xll.DBRW($E$12,$F$16,$F$17,$F$18,$E335,$F$20,N$22,$H335,$F$19)</f>
        <v>0</v>
      </c>
      <c r="O335" s="36">
        <f>_xll.DBRW($E$12,$F$16,$F$17,$F$18,$E335,$F$20,O$22,$H335,$F$19)</f>
        <v>0</v>
      </c>
      <c r="P335" s="36">
        <f>_xll.DBRW($E$12,$F$16,$F$17,$F$18,$E335,$F$20,P$22,$H335,$F$19)</f>
        <v>0</v>
      </c>
      <c r="Q335" s="36">
        <f>_xll.DBRW($E$12,$F$16,$F$17,$F$18,$E335,$F$20,Q$22,$H335,$F$19)</f>
        <v>0</v>
      </c>
      <c r="R335" s="36">
        <f>_xll.DBRW($E$12,$F$16,$F$17,$F$18,$E335,$F$20,R$22,$H335,$F$19)</f>
        <v>0</v>
      </c>
      <c r="S335" s="36">
        <f>_xll.DBRW($E$12,$F$16,$F$17,$F$18,$E335,$F$20,S$22,$H335,$F$19)</f>
        <v>0</v>
      </c>
      <c r="T335" s="36">
        <f>_xll.DBRW($E$12,$F$16,$F$17,$F$18,$E335,$F$20,T$22,$H335,$F$19)</f>
        <v>0</v>
      </c>
      <c r="U335" s="36">
        <f>_xll.DBRW($E$12,$F$16,$F$17,$F$18,$E335,$F$20,U$22,$H335,$F$19)</f>
        <v>275232.31</v>
      </c>
    </row>
    <row r="336" spans="4:21" s="37" customFormat="1" ht="15" outlineLevel="1" thickBot="1" x14ac:dyDescent="0.35">
      <c r="D336" s="33" t="str">
        <f>IF(_xll.TM1RPTELISCONSOLIDATED($H$34,$H336),IF(_xll.TM1RPTELLEV($H$34,$H336)&lt;=5,_xll.TM1RPTELLEV($H$34,$H336),"Default"),"Leaf")</f>
        <v>Leaf</v>
      </c>
      <c r="E336" s="42" t="s">
        <v>676</v>
      </c>
      <c r="F336" s="34" t="str">
        <f>_xll.DBR($B$18,$H336,"Account_Type")</f>
        <v>NON LABOR</v>
      </c>
      <c r="G336" s="34" t="str">
        <f>_xll.DBR($B$18,$H336,"Description")</f>
        <v>Office/Computer Supplies &amp; Eqpt</v>
      </c>
      <c r="H336" s="43" t="s">
        <v>135</v>
      </c>
      <c r="I336" s="36">
        <f>_xll.DBRW($E$12,$F$16,$F$17,$F$18,$E336,$F$20,I$22,$H336,$F$19)</f>
        <v>-0.17</v>
      </c>
      <c r="J336" s="36">
        <f>_xll.DBRW($E$12,$F$16,$F$17,$F$18,$E336,$F$20,J$22,$H336,$F$19)</f>
        <v>0</v>
      </c>
      <c r="K336" s="36">
        <f>_xll.DBRW($E$12,$F$16,$F$17,$F$18,$E336,$F$20,K$22,$H336,$F$19)</f>
        <v>0</v>
      </c>
      <c r="L336" s="36">
        <f>_xll.DBRW($E$12,$F$16,$F$17,$F$18,$E336,$F$20,L$22,$H336,$F$19)</f>
        <v>0</v>
      </c>
      <c r="M336" s="36">
        <f>_xll.DBRW($E$12,$F$16,$F$17,$F$18,$E336,$F$20,M$22,$H336,$F$19)</f>
        <v>0</v>
      </c>
      <c r="N336" s="36">
        <f>_xll.DBRW($E$12,$F$16,$F$17,$F$18,$E336,$F$20,N$22,$H336,$F$19)</f>
        <v>0</v>
      </c>
      <c r="O336" s="36">
        <f>_xll.DBRW($E$12,$F$16,$F$17,$F$18,$E336,$F$20,O$22,$H336,$F$19)</f>
        <v>0</v>
      </c>
      <c r="P336" s="36">
        <f>_xll.DBRW($E$12,$F$16,$F$17,$F$18,$E336,$F$20,P$22,$H336,$F$19)</f>
        <v>0</v>
      </c>
      <c r="Q336" s="36">
        <f>_xll.DBRW($E$12,$F$16,$F$17,$F$18,$E336,$F$20,Q$22,$H336,$F$19)</f>
        <v>0</v>
      </c>
      <c r="R336" s="36">
        <f>_xll.DBRW($E$12,$F$16,$F$17,$F$18,$E336,$F$20,R$22,$H336,$F$19)</f>
        <v>0</v>
      </c>
      <c r="S336" s="36">
        <f>_xll.DBRW($E$12,$F$16,$F$17,$F$18,$E336,$F$20,S$22,$H336,$F$19)</f>
        <v>0</v>
      </c>
      <c r="T336" s="36">
        <f>_xll.DBRW($E$12,$F$16,$F$17,$F$18,$E336,$F$20,T$22,$H336,$F$19)</f>
        <v>0</v>
      </c>
      <c r="U336" s="36">
        <f>_xll.DBRW($E$12,$F$16,$F$17,$F$18,$E336,$F$20,U$22,$H336,$F$19)</f>
        <v>-0.17</v>
      </c>
    </row>
    <row r="337" spans="4:21" s="37" customFormat="1" ht="15" outlineLevel="1" thickBot="1" x14ac:dyDescent="0.35">
      <c r="D337" s="33" t="str">
        <f>IF(_xll.TM1RPTELISCONSOLIDATED($H$34,$H337),IF(_xll.TM1RPTELLEV($H$34,$H337)&lt;=5,_xll.TM1RPTELLEV($H$34,$H337),"Default"),"Leaf")</f>
        <v>Leaf</v>
      </c>
      <c r="E337" s="42" t="s">
        <v>676</v>
      </c>
      <c r="F337" s="34" t="str">
        <f>_xll.DBR($B$18,$H337,"Account_Type")</f>
        <v>NON LABOR</v>
      </c>
      <c r="G337" s="34" t="str">
        <f>_xll.DBR($B$18,$H337,"Description")</f>
        <v>Postage &amp; Courier Fees</v>
      </c>
      <c r="H337" s="43" t="s">
        <v>154</v>
      </c>
      <c r="I337" s="36">
        <f>_xll.DBRW($E$12,$F$16,$F$17,$F$18,$E337,$F$20,I$22,$H337,$F$19)</f>
        <v>0</v>
      </c>
      <c r="J337" s="36">
        <f>_xll.DBRW($E$12,$F$16,$F$17,$F$18,$E337,$F$20,J$22,$H337,$F$19)</f>
        <v>0</v>
      </c>
      <c r="K337" s="36">
        <f>_xll.DBRW($E$12,$F$16,$F$17,$F$18,$E337,$F$20,K$22,$H337,$F$19)</f>
        <v>0</v>
      </c>
      <c r="L337" s="36">
        <f>_xll.DBRW($E$12,$F$16,$F$17,$F$18,$E337,$F$20,L$22,$H337,$F$19)</f>
        <v>0</v>
      </c>
      <c r="M337" s="36">
        <f>_xll.DBRW($E$12,$F$16,$F$17,$F$18,$E337,$F$20,M$22,$H337,$F$19)</f>
        <v>0</v>
      </c>
      <c r="N337" s="36">
        <f>_xll.DBRW($E$12,$F$16,$F$17,$F$18,$E337,$F$20,N$22,$H337,$F$19)</f>
        <v>23.33</v>
      </c>
      <c r="O337" s="36">
        <f>_xll.DBRW($E$12,$F$16,$F$17,$F$18,$E337,$F$20,O$22,$H337,$F$19)</f>
        <v>0</v>
      </c>
      <c r="P337" s="36">
        <f>_xll.DBRW($E$12,$F$16,$F$17,$F$18,$E337,$F$20,P$22,$H337,$F$19)</f>
        <v>0</v>
      </c>
      <c r="Q337" s="36">
        <f>_xll.DBRW($E$12,$F$16,$F$17,$F$18,$E337,$F$20,Q$22,$H337,$F$19)</f>
        <v>0</v>
      </c>
      <c r="R337" s="36">
        <f>_xll.DBRW($E$12,$F$16,$F$17,$F$18,$E337,$F$20,R$22,$H337,$F$19)</f>
        <v>0</v>
      </c>
      <c r="S337" s="36">
        <f>_xll.DBRW($E$12,$F$16,$F$17,$F$18,$E337,$F$20,S$22,$H337,$F$19)</f>
        <v>0</v>
      </c>
      <c r="T337" s="36">
        <f>_xll.DBRW($E$12,$F$16,$F$17,$F$18,$E337,$F$20,T$22,$H337,$F$19)</f>
        <v>0</v>
      </c>
      <c r="U337" s="36">
        <f>_xll.DBRW($E$12,$F$16,$F$17,$F$18,$E337,$F$20,U$22,$H337,$F$19)</f>
        <v>23.33</v>
      </c>
    </row>
    <row r="338" spans="4:21" s="37" customFormat="1" ht="15" outlineLevel="1" thickBot="1" x14ac:dyDescent="0.35">
      <c r="D338" s="33" t="str">
        <f>IF(_xll.TM1RPTELISCONSOLIDATED($H$34,$H338),IF(_xll.TM1RPTELLEV($H$34,$H338)&lt;=5,_xll.TM1RPTELLEV($H$34,$H338),"Default"),"Leaf")</f>
        <v>Leaf</v>
      </c>
      <c r="E338" s="42" t="s">
        <v>676</v>
      </c>
      <c r="F338" s="34" t="str">
        <f>_xll.DBR($B$18,$H338,"Account_Type")</f>
        <v>NON LABOR</v>
      </c>
      <c r="G338" s="34" t="str">
        <f>_xll.DBR($B$18,$H338,"Description")</f>
        <v>Office Rent</v>
      </c>
      <c r="H338" s="43" t="s">
        <v>200</v>
      </c>
      <c r="I338" s="36">
        <f>_xll.DBRW($E$12,$F$16,$F$17,$F$18,$E338,$F$20,I$22,$H338,$F$19)</f>
        <v>0</v>
      </c>
      <c r="J338" s="36">
        <f>_xll.DBRW($E$12,$F$16,$F$17,$F$18,$E338,$F$20,J$22,$H338,$F$19)</f>
        <v>0</v>
      </c>
      <c r="K338" s="36">
        <f>_xll.DBRW($E$12,$F$16,$F$17,$F$18,$E338,$F$20,K$22,$H338,$F$19)</f>
        <v>0</v>
      </c>
      <c r="L338" s="36">
        <f>_xll.DBRW($E$12,$F$16,$F$17,$F$18,$E338,$F$20,L$22,$H338,$F$19)</f>
        <v>0</v>
      </c>
      <c r="M338" s="36">
        <f>_xll.DBRW($E$12,$F$16,$F$17,$F$18,$E338,$F$20,M$22,$H338,$F$19)</f>
        <v>0</v>
      </c>
      <c r="N338" s="36">
        <f>_xll.DBRW($E$12,$F$16,$F$17,$F$18,$E338,$F$20,N$22,$H338,$F$19)</f>
        <v>0</v>
      </c>
      <c r="O338" s="36">
        <f>_xll.DBRW($E$12,$F$16,$F$17,$F$18,$E338,$F$20,O$22,$H338,$F$19)</f>
        <v>-578.1</v>
      </c>
      <c r="P338" s="36">
        <f>_xll.DBRW($E$12,$F$16,$F$17,$F$18,$E338,$F$20,P$22,$H338,$F$19)</f>
        <v>0</v>
      </c>
      <c r="Q338" s="36">
        <f>_xll.DBRW($E$12,$F$16,$F$17,$F$18,$E338,$F$20,Q$22,$H338,$F$19)</f>
        <v>0</v>
      </c>
      <c r="R338" s="36">
        <f>_xll.DBRW($E$12,$F$16,$F$17,$F$18,$E338,$F$20,R$22,$H338,$F$19)</f>
        <v>0</v>
      </c>
      <c r="S338" s="36">
        <f>_xll.DBRW($E$12,$F$16,$F$17,$F$18,$E338,$F$20,S$22,$H338,$F$19)</f>
        <v>0</v>
      </c>
      <c r="T338" s="36">
        <f>_xll.DBRW($E$12,$F$16,$F$17,$F$18,$E338,$F$20,T$22,$H338,$F$19)</f>
        <v>0</v>
      </c>
      <c r="U338" s="36">
        <f>_xll.DBRW($E$12,$F$16,$F$17,$F$18,$E338,$F$20,U$22,$H338,$F$19)</f>
        <v>-578.1</v>
      </c>
    </row>
    <row r="339" spans="4:21" s="37" customFormat="1" ht="15" outlineLevel="1" thickBot="1" x14ac:dyDescent="0.35">
      <c r="D339" s="33" t="str">
        <f>IF(_xll.TM1RPTELISCONSOLIDATED($H$34,$H339),IF(_xll.TM1RPTELLEV($H$34,$H339)&lt;=5,_xll.TM1RPTELLEV($H$34,$H339),"Default"),"Leaf")</f>
        <v>Leaf</v>
      </c>
      <c r="E339" s="42" t="s">
        <v>677</v>
      </c>
      <c r="F339" s="34" t="str">
        <f>_xll.DBR($B$18,$H339,"Account_Type")</f>
        <v>NON LABOR</v>
      </c>
      <c r="G339" s="34" t="str">
        <f>_xll.DBR($B$18,$H339,"Description")</f>
        <v>Travel &amp; Lodging</v>
      </c>
      <c r="H339" s="43" t="s">
        <v>76</v>
      </c>
      <c r="I339" s="36">
        <f>_xll.DBRW($E$12,$F$16,$F$17,$F$18,$E339,$F$20,I$22,$H339,$F$19)</f>
        <v>215.51</v>
      </c>
      <c r="J339" s="36">
        <f>_xll.DBRW($E$12,$F$16,$F$17,$F$18,$E339,$F$20,J$22,$H339,$F$19)</f>
        <v>100</v>
      </c>
      <c r="K339" s="36">
        <f>_xll.DBRW($E$12,$F$16,$F$17,$F$18,$E339,$F$20,K$22,$H339,$F$19)</f>
        <v>100</v>
      </c>
      <c r="L339" s="36">
        <f>_xll.DBRW($E$12,$F$16,$F$17,$F$18,$E339,$F$20,L$22,$H339,$F$19)</f>
        <v>0</v>
      </c>
      <c r="M339" s="36">
        <f>_xll.DBRW($E$12,$F$16,$F$17,$F$18,$E339,$F$20,M$22,$H339,$F$19)</f>
        <v>0</v>
      </c>
      <c r="N339" s="36">
        <f>_xll.DBRW($E$12,$F$16,$F$17,$F$18,$E339,$F$20,N$22,$H339,$F$19)</f>
        <v>0</v>
      </c>
      <c r="O339" s="36">
        <f>_xll.DBRW($E$12,$F$16,$F$17,$F$18,$E339,$F$20,O$22,$H339,$F$19)</f>
        <v>0</v>
      </c>
      <c r="P339" s="36">
        <f>_xll.DBRW($E$12,$F$16,$F$17,$F$18,$E339,$F$20,P$22,$H339,$F$19)</f>
        <v>0</v>
      </c>
      <c r="Q339" s="36">
        <f>_xll.DBRW($E$12,$F$16,$F$17,$F$18,$E339,$F$20,Q$22,$H339,$F$19)</f>
        <v>0</v>
      </c>
      <c r="R339" s="36">
        <f>_xll.DBRW($E$12,$F$16,$F$17,$F$18,$E339,$F$20,R$22,$H339,$F$19)</f>
        <v>0</v>
      </c>
      <c r="S339" s="36">
        <f>_xll.DBRW($E$12,$F$16,$F$17,$F$18,$E339,$F$20,S$22,$H339,$F$19)</f>
        <v>0</v>
      </c>
      <c r="T339" s="36">
        <f>_xll.DBRW($E$12,$F$16,$F$17,$F$18,$E339,$F$20,T$22,$H339,$F$19)</f>
        <v>0</v>
      </c>
      <c r="U339" s="36">
        <f>_xll.DBRW($E$12,$F$16,$F$17,$F$18,$E339,$F$20,U$22,$H339,$F$19)</f>
        <v>415.51</v>
      </c>
    </row>
    <row r="340" spans="4:21" s="37" customFormat="1" ht="15" outlineLevel="1" thickBot="1" x14ac:dyDescent="0.35">
      <c r="D340" s="33" t="str">
        <f>IF(_xll.TM1RPTELISCONSOLIDATED($H$34,$H340),IF(_xll.TM1RPTELLEV($H$34,$H340)&lt;=5,_xll.TM1RPTELLEV($H$34,$H340),"Default"),"Leaf")</f>
        <v>Leaf</v>
      </c>
      <c r="E340" s="42" t="s">
        <v>677</v>
      </c>
      <c r="F340" s="34" t="str">
        <f>_xll.DBR($B$18,$H340,"Account_Type")</f>
        <v>NON LABOR</v>
      </c>
      <c r="G340" s="34" t="str">
        <f>_xll.DBR($B$18,$H340,"Description")</f>
        <v>Client Development</v>
      </c>
      <c r="H340" s="43" t="s">
        <v>88</v>
      </c>
      <c r="I340" s="36">
        <f>_xll.DBRW($E$12,$F$16,$F$17,$F$18,$E340,$F$20,I$22,$H340,$F$19)</f>
        <v>0</v>
      </c>
      <c r="J340" s="36">
        <f>_xll.DBRW($E$12,$F$16,$F$17,$F$18,$E340,$F$20,J$22,$H340,$F$19)</f>
        <v>63.96</v>
      </c>
      <c r="K340" s="36">
        <f>_xll.DBRW($E$12,$F$16,$F$17,$F$18,$E340,$F$20,K$22,$H340,$F$19)</f>
        <v>0</v>
      </c>
      <c r="L340" s="36">
        <f>_xll.DBRW($E$12,$F$16,$F$17,$F$18,$E340,$F$20,L$22,$H340,$F$19)</f>
        <v>0</v>
      </c>
      <c r="M340" s="36">
        <f>_xll.DBRW($E$12,$F$16,$F$17,$F$18,$E340,$F$20,M$22,$H340,$F$19)</f>
        <v>0</v>
      </c>
      <c r="N340" s="36">
        <f>_xll.DBRW($E$12,$F$16,$F$17,$F$18,$E340,$F$20,N$22,$H340,$F$19)</f>
        <v>0</v>
      </c>
      <c r="O340" s="36">
        <f>_xll.DBRW($E$12,$F$16,$F$17,$F$18,$E340,$F$20,O$22,$H340,$F$19)</f>
        <v>0</v>
      </c>
      <c r="P340" s="36">
        <f>_xll.DBRW($E$12,$F$16,$F$17,$F$18,$E340,$F$20,P$22,$H340,$F$19)</f>
        <v>0</v>
      </c>
      <c r="Q340" s="36">
        <f>_xll.DBRW($E$12,$F$16,$F$17,$F$18,$E340,$F$20,Q$22,$H340,$F$19)</f>
        <v>0</v>
      </c>
      <c r="R340" s="36">
        <f>_xll.DBRW($E$12,$F$16,$F$17,$F$18,$E340,$F$20,R$22,$H340,$F$19)</f>
        <v>0</v>
      </c>
      <c r="S340" s="36">
        <f>_xll.DBRW($E$12,$F$16,$F$17,$F$18,$E340,$F$20,S$22,$H340,$F$19)</f>
        <v>0</v>
      </c>
      <c r="T340" s="36">
        <f>_xll.DBRW($E$12,$F$16,$F$17,$F$18,$E340,$F$20,T$22,$H340,$F$19)</f>
        <v>0</v>
      </c>
      <c r="U340" s="36">
        <f>_xll.DBRW($E$12,$F$16,$F$17,$F$18,$E340,$F$20,U$22,$H340,$F$19)</f>
        <v>63.96</v>
      </c>
    </row>
    <row r="341" spans="4:21" s="37" customFormat="1" ht="15" outlineLevel="1" thickBot="1" x14ac:dyDescent="0.35">
      <c r="D341" s="33" t="str">
        <f>IF(_xll.TM1RPTELISCONSOLIDATED($H$34,$H341),IF(_xll.TM1RPTELLEV($H$34,$H341)&lt;=5,_xll.TM1RPTELLEV($H$34,$H341),"Default"),"Leaf")</f>
        <v>Leaf</v>
      </c>
      <c r="E341" s="42" t="s">
        <v>677</v>
      </c>
      <c r="F341" s="34" t="str">
        <f>_xll.DBR($B$18,$H341,"Account_Type")</f>
        <v>NON LABOR</v>
      </c>
      <c r="G341" s="34" t="str">
        <f>_xll.DBR($B$18,$H341,"Description")</f>
        <v>Business Meals &amp; Entertainment</v>
      </c>
      <c r="H341" s="43" t="s">
        <v>110</v>
      </c>
      <c r="I341" s="36">
        <f>_xll.DBRW($E$12,$F$16,$F$17,$F$18,$E341,$F$20,I$22,$H341,$F$19)</f>
        <v>0</v>
      </c>
      <c r="J341" s="36">
        <f>_xll.DBRW($E$12,$F$16,$F$17,$F$18,$E341,$F$20,J$22,$H341,$F$19)</f>
        <v>101.71</v>
      </c>
      <c r="K341" s="36">
        <f>_xll.DBRW($E$12,$F$16,$F$17,$F$18,$E341,$F$20,K$22,$H341,$F$19)</f>
        <v>0</v>
      </c>
      <c r="L341" s="36">
        <f>_xll.DBRW($E$12,$F$16,$F$17,$F$18,$E341,$F$20,L$22,$H341,$F$19)</f>
        <v>0</v>
      </c>
      <c r="M341" s="36">
        <f>_xll.DBRW($E$12,$F$16,$F$17,$F$18,$E341,$F$20,M$22,$H341,$F$19)</f>
        <v>0</v>
      </c>
      <c r="N341" s="36">
        <f>_xll.DBRW($E$12,$F$16,$F$17,$F$18,$E341,$F$20,N$22,$H341,$F$19)</f>
        <v>0</v>
      </c>
      <c r="O341" s="36">
        <f>_xll.DBRW($E$12,$F$16,$F$17,$F$18,$E341,$F$20,O$22,$H341,$F$19)</f>
        <v>0</v>
      </c>
      <c r="P341" s="36">
        <f>_xll.DBRW($E$12,$F$16,$F$17,$F$18,$E341,$F$20,P$22,$H341,$F$19)</f>
        <v>0</v>
      </c>
      <c r="Q341" s="36">
        <f>_xll.DBRW($E$12,$F$16,$F$17,$F$18,$E341,$F$20,Q$22,$H341,$F$19)</f>
        <v>0</v>
      </c>
      <c r="R341" s="36">
        <f>_xll.DBRW($E$12,$F$16,$F$17,$F$18,$E341,$F$20,R$22,$H341,$F$19)</f>
        <v>0</v>
      </c>
      <c r="S341" s="36">
        <f>_xll.DBRW($E$12,$F$16,$F$17,$F$18,$E341,$F$20,S$22,$H341,$F$19)</f>
        <v>0</v>
      </c>
      <c r="T341" s="36">
        <f>_xll.DBRW($E$12,$F$16,$F$17,$F$18,$E341,$F$20,T$22,$H341,$F$19)</f>
        <v>0</v>
      </c>
      <c r="U341" s="36">
        <f>_xll.DBRW($E$12,$F$16,$F$17,$F$18,$E341,$F$20,U$22,$H341,$F$19)</f>
        <v>101.71</v>
      </c>
    </row>
    <row r="342" spans="4:21" s="37" customFormat="1" ht="15" outlineLevel="1" thickBot="1" x14ac:dyDescent="0.35">
      <c r="D342" s="33" t="str">
        <f>IF(_xll.TM1RPTELISCONSOLIDATED($H$34,$H342),IF(_xll.TM1RPTELLEV($H$34,$H342)&lt;=5,_xll.TM1RPTELLEV($H$34,$H342),"Default"),"Leaf")</f>
        <v>Leaf</v>
      </c>
      <c r="E342" s="42" t="s">
        <v>677</v>
      </c>
      <c r="F342" s="34" t="str">
        <f>_xll.DBR($B$18,$H342,"Account_Type")</f>
        <v>NON LABOR</v>
      </c>
      <c r="G342" s="34" t="str">
        <f>_xll.DBR($B$18,$H342,"Description")</f>
        <v>Telecommunications / Internet</v>
      </c>
      <c r="H342" s="43" t="s">
        <v>128</v>
      </c>
      <c r="I342" s="36">
        <f>_xll.DBRW($E$12,$F$16,$F$17,$F$18,$E342,$F$20,I$22,$H342,$F$19)</f>
        <v>557.07000000000005</v>
      </c>
      <c r="J342" s="36">
        <f>_xll.DBRW($E$12,$F$16,$F$17,$F$18,$E342,$F$20,J$22,$H342,$F$19)</f>
        <v>127.73</v>
      </c>
      <c r="K342" s="36">
        <f>_xll.DBRW($E$12,$F$16,$F$17,$F$18,$E342,$F$20,K$22,$H342,$F$19)</f>
        <v>535.46</v>
      </c>
      <c r="L342" s="36">
        <f>_xll.DBRW($E$12,$F$16,$F$17,$F$18,$E342,$F$20,L$22,$H342,$F$19)</f>
        <v>520.74</v>
      </c>
      <c r="M342" s="36">
        <f>_xll.DBRW($E$12,$F$16,$F$17,$F$18,$E342,$F$20,M$22,$H342,$F$19)</f>
        <v>541.34</v>
      </c>
      <c r="N342" s="36">
        <f>_xll.DBRW($E$12,$F$16,$F$17,$F$18,$E342,$F$20,N$22,$H342,$F$19)</f>
        <v>985.18</v>
      </c>
      <c r="O342" s="36">
        <f>_xll.DBRW($E$12,$F$16,$F$17,$F$18,$E342,$F$20,O$22,$H342,$F$19)</f>
        <v>0</v>
      </c>
      <c r="P342" s="36">
        <f>_xll.DBRW($E$12,$F$16,$F$17,$F$18,$E342,$F$20,P$22,$H342,$F$19)</f>
        <v>0</v>
      </c>
      <c r="Q342" s="36">
        <f>_xll.DBRW($E$12,$F$16,$F$17,$F$18,$E342,$F$20,Q$22,$H342,$F$19)</f>
        <v>0</v>
      </c>
      <c r="R342" s="36">
        <f>_xll.DBRW($E$12,$F$16,$F$17,$F$18,$E342,$F$20,R$22,$H342,$F$19)</f>
        <v>0</v>
      </c>
      <c r="S342" s="36">
        <f>_xll.DBRW($E$12,$F$16,$F$17,$F$18,$E342,$F$20,S$22,$H342,$F$19)</f>
        <v>0</v>
      </c>
      <c r="T342" s="36">
        <f>_xll.DBRW($E$12,$F$16,$F$17,$F$18,$E342,$F$20,T$22,$H342,$F$19)</f>
        <v>0</v>
      </c>
      <c r="U342" s="36">
        <f>_xll.DBRW($E$12,$F$16,$F$17,$F$18,$E342,$F$20,U$22,$H342,$F$19)</f>
        <v>3267.52</v>
      </c>
    </row>
    <row r="343" spans="4:21" s="37" customFormat="1" ht="15" outlineLevel="1" thickBot="1" x14ac:dyDescent="0.35">
      <c r="D343" s="33" t="str">
        <f>IF(_xll.TM1RPTELISCONSOLIDATED($H$34,$H343),IF(_xll.TM1RPTELLEV($H$34,$H343)&lt;=5,_xll.TM1RPTELLEV($H$34,$H343),"Default"),"Leaf")</f>
        <v>Leaf</v>
      </c>
      <c r="E343" s="42" t="s">
        <v>677</v>
      </c>
      <c r="F343" s="34" t="str">
        <f>_xll.DBR($B$18,$H343,"Account_Type")</f>
        <v>NON LABOR</v>
      </c>
      <c r="G343" s="34" t="str">
        <f>_xll.DBR($B$18,$H343,"Description")</f>
        <v>Telecommunications / Internet</v>
      </c>
      <c r="H343" s="43" t="s">
        <v>129</v>
      </c>
      <c r="I343" s="36">
        <f>_xll.DBRW($E$12,$F$16,$F$17,$F$18,$E343,$F$20,I$22,$H343,$F$19)</f>
        <v>50</v>
      </c>
      <c r="J343" s="36">
        <f>_xll.DBRW($E$12,$F$16,$F$17,$F$18,$E343,$F$20,J$22,$H343,$F$19)</f>
        <v>50</v>
      </c>
      <c r="K343" s="36">
        <f>_xll.DBRW($E$12,$F$16,$F$17,$F$18,$E343,$F$20,K$22,$H343,$F$19)</f>
        <v>50</v>
      </c>
      <c r="L343" s="36">
        <f>_xll.DBRW($E$12,$F$16,$F$17,$F$18,$E343,$F$20,L$22,$H343,$F$19)</f>
        <v>50</v>
      </c>
      <c r="M343" s="36">
        <f>_xll.DBRW($E$12,$F$16,$F$17,$F$18,$E343,$F$20,M$22,$H343,$F$19)</f>
        <v>25</v>
      </c>
      <c r="N343" s="36">
        <f>_xll.DBRW($E$12,$F$16,$F$17,$F$18,$E343,$F$20,N$22,$H343,$F$19)</f>
        <v>25</v>
      </c>
      <c r="O343" s="36">
        <f>_xll.DBRW($E$12,$F$16,$F$17,$F$18,$E343,$F$20,O$22,$H343,$F$19)</f>
        <v>25</v>
      </c>
      <c r="P343" s="36">
        <f>_xll.DBRW($E$12,$F$16,$F$17,$F$18,$E343,$F$20,P$22,$H343,$F$19)</f>
        <v>0</v>
      </c>
      <c r="Q343" s="36">
        <f>_xll.DBRW($E$12,$F$16,$F$17,$F$18,$E343,$F$20,Q$22,$H343,$F$19)</f>
        <v>0</v>
      </c>
      <c r="R343" s="36">
        <f>_xll.DBRW($E$12,$F$16,$F$17,$F$18,$E343,$F$20,R$22,$H343,$F$19)</f>
        <v>0</v>
      </c>
      <c r="S343" s="36">
        <f>_xll.DBRW($E$12,$F$16,$F$17,$F$18,$E343,$F$20,S$22,$H343,$F$19)</f>
        <v>0</v>
      </c>
      <c r="T343" s="36">
        <f>_xll.DBRW($E$12,$F$16,$F$17,$F$18,$E343,$F$20,T$22,$H343,$F$19)</f>
        <v>0</v>
      </c>
      <c r="U343" s="36">
        <f>_xll.DBRW($E$12,$F$16,$F$17,$F$18,$E343,$F$20,U$22,$H343,$F$19)</f>
        <v>275</v>
      </c>
    </row>
    <row r="344" spans="4:21" s="37" customFormat="1" ht="15" outlineLevel="1" thickBot="1" x14ac:dyDescent="0.35">
      <c r="D344" s="33" t="str">
        <f>IF(_xll.TM1RPTELISCONSOLIDATED($H$34,$H344),IF(_xll.TM1RPTELLEV($H$34,$H344)&lt;=5,_xll.TM1RPTELLEV($H$34,$H344),"Default"),"Leaf")</f>
        <v>Leaf</v>
      </c>
      <c r="E344" s="42" t="s">
        <v>677</v>
      </c>
      <c r="F344" s="34" t="str">
        <f>_xll.DBR($B$18,$H344,"Account_Type")</f>
        <v>NON LABOR</v>
      </c>
      <c r="G344" s="34" t="str">
        <f>_xll.DBR($B$18,$H344,"Description")</f>
        <v>Office/Computer Supplies &amp; Eqpt</v>
      </c>
      <c r="H344" s="43" t="s">
        <v>147</v>
      </c>
      <c r="I344" s="36">
        <f>_xll.DBRW($E$12,$F$16,$F$17,$F$18,$E344,$F$20,I$22,$H344,$F$19)</f>
        <v>929.23</v>
      </c>
      <c r="J344" s="36">
        <f>_xll.DBRW($E$12,$F$16,$F$17,$F$18,$E344,$F$20,J$22,$H344,$F$19)</f>
        <v>335.83</v>
      </c>
      <c r="K344" s="36">
        <f>_xll.DBRW($E$12,$F$16,$F$17,$F$18,$E344,$F$20,K$22,$H344,$F$19)</f>
        <v>403.68</v>
      </c>
      <c r="L344" s="36">
        <f>_xll.DBRW($E$12,$F$16,$F$17,$F$18,$E344,$F$20,L$22,$H344,$F$19)</f>
        <v>297.68</v>
      </c>
      <c r="M344" s="36">
        <f>_xll.DBRW($E$12,$F$16,$F$17,$F$18,$E344,$F$20,M$22,$H344,$F$19)</f>
        <v>350.68</v>
      </c>
      <c r="N344" s="36">
        <f>_xll.DBRW($E$12,$F$16,$F$17,$F$18,$E344,$F$20,N$22,$H344,$F$19)</f>
        <v>297.68</v>
      </c>
      <c r="O344" s="36">
        <f>_xll.DBRW($E$12,$F$16,$F$17,$F$18,$E344,$F$20,O$22,$H344,$F$19)</f>
        <v>0</v>
      </c>
      <c r="P344" s="36">
        <f>_xll.DBRW($E$12,$F$16,$F$17,$F$18,$E344,$F$20,P$22,$H344,$F$19)</f>
        <v>0</v>
      </c>
      <c r="Q344" s="36">
        <f>_xll.DBRW($E$12,$F$16,$F$17,$F$18,$E344,$F$20,Q$22,$H344,$F$19)</f>
        <v>0</v>
      </c>
      <c r="R344" s="36">
        <f>_xll.DBRW($E$12,$F$16,$F$17,$F$18,$E344,$F$20,R$22,$H344,$F$19)</f>
        <v>0</v>
      </c>
      <c r="S344" s="36">
        <f>_xll.DBRW($E$12,$F$16,$F$17,$F$18,$E344,$F$20,S$22,$H344,$F$19)</f>
        <v>0</v>
      </c>
      <c r="T344" s="36">
        <f>_xll.DBRW($E$12,$F$16,$F$17,$F$18,$E344,$F$20,T$22,$H344,$F$19)</f>
        <v>0</v>
      </c>
      <c r="U344" s="36">
        <f>_xll.DBRW($E$12,$F$16,$F$17,$F$18,$E344,$F$20,U$22,$H344,$F$19)</f>
        <v>2614.7799999999997</v>
      </c>
    </row>
    <row r="345" spans="4:21" s="37" customFormat="1" ht="15" outlineLevel="1" thickBot="1" x14ac:dyDescent="0.35">
      <c r="D345" s="33" t="str">
        <f>IF(_xll.TM1RPTELISCONSOLIDATED($H$34,$H345),IF(_xll.TM1RPTELLEV($H$34,$H345)&lt;=5,_xll.TM1RPTELLEV($H$34,$H345),"Default"),"Leaf")</f>
        <v>Leaf</v>
      </c>
      <c r="E345" s="42" t="s">
        <v>677</v>
      </c>
      <c r="F345" s="34" t="str">
        <f>_xll.DBR($B$18,$H345,"Account_Type")</f>
        <v>NON LABOR</v>
      </c>
      <c r="G345" s="34" t="str">
        <f>_xll.DBR($B$18,$H345,"Description")</f>
        <v>Office/Computer Supplies &amp; Eqpt</v>
      </c>
      <c r="H345" s="43" t="s">
        <v>148</v>
      </c>
      <c r="I345" s="36">
        <f>_xll.DBRW($E$12,$F$16,$F$17,$F$18,$E345,$F$20,I$22,$H345,$F$19)</f>
        <v>117.52</v>
      </c>
      <c r="J345" s="36">
        <f>_xll.DBRW($E$12,$F$16,$F$17,$F$18,$E345,$F$20,J$22,$H345,$F$19)</f>
        <v>0</v>
      </c>
      <c r="K345" s="36">
        <f>_xll.DBRW($E$12,$F$16,$F$17,$F$18,$E345,$F$20,K$22,$H345,$F$19)</f>
        <v>0</v>
      </c>
      <c r="L345" s="36">
        <f>_xll.DBRW($E$12,$F$16,$F$17,$F$18,$E345,$F$20,L$22,$H345,$F$19)</f>
        <v>0</v>
      </c>
      <c r="M345" s="36">
        <f>_xll.DBRW($E$12,$F$16,$F$17,$F$18,$E345,$F$20,M$22,$H345,$F$19)</f>
        <v>0</v>
      </c>
      <c r="N345" s="36">
        <f>_xll.DBRW($E$12,$F$16,$F$17,$F$18,$E345,$F$20,N$22,$H345,$F$19)</f>
        <v>0</v>
      </c>
      <c r="O345" s="36">
        <f>_xll.DBRW($E$12,$F$16,$F$17,$F$18,$E345,$F$20,O$22,$H345,$F$19)</f>
        <v>0</v>
      </c>
      <c r="P345" s="36">
        <f>_xll.DBRW($E$12,$F$16,$F$17,$F$18,$E345,$F$20,P$22,$H345,$F$19)</f>
        <v>0</v>
      </c>
      <c r="Q345" s="36">
        <f>_xll.DBRW($E$12,$F$16,$F$17,$F$18,$E345,$F$20,Q$22,$H345,$F$19)</f>
        <v>0</v>
      </c>
      <c r="R345" s="36">
        <f>_xll.DBRW($E$12,$F$16,$F$17,$F$18,$E345,$F$20,R$22,$H345,$F$19)</f>
        <v>0</v>
      </c>
      <c r="S345" s="36">
        <f>_xll.DBRW($E$12,$F$16,$F$17,$F$18,$E345,$F$20,S$22,$H345,$F$19)</f>
        <v>0</v>
      </c>
      <c r="T345" s="36">
        <f>_xll.DBRW($E$12,$F$16,$F$17,$F$18,$E345,$F$20,T$22,$H345,$F$19)</f>
        <v>0</v>
      </c>
      <c r="U345" s="36">
        <f>_xll.DBRW($E$12,$F$16,$F$17,$F$18,$E345,$F$20,U$22,$H345,$F$19)</f>
        <v>117.52</v>
      </c>
    </row>
    <row r="346" spans="4:21" s="37" customFormat="1" ht="15" outlineLevel="1" thickBot="1" x14ac:dyDescent="0.35">
      <c r="D346" s="33" t="str">
        <f>IF(_xll.TM1RPTELISCONSOLIDATED($H$34,$H346),IF(_xll.TM1RPTELLEV($H$34,$H346)&lt;=5,_xll.TM1RPTELLEV($H$34,$H346),"Default"),"Leaf")</f>
        <v>Leaf</v>
      </c>
      <c r="E346" s="42" t="s">
        <v>677</v>
      </c>
      <c r="F346" s="34" t="str">
        <f>_xll.DBR($B$18,$H346,"Account_Type")</f>
        <v>NON LABOR</v>
      </c>
      <c r="G346" s="34" t="str">
        <f>_xll.DBR($B$18,$H346,"Description")</f>
        <v>Education/Training/Dues/Subscriptions</v>
      </c>
      <c r="H346" s="43" t="s">
        <v>183</v>
      </c>
      <c r="I346" s="36">
        <f>_xll.DBRW($E$12,$F$16,$F$17,$F$18,$E346,$F$20,I$22,$H346,$F$19)</f>
        <v>0</v>
      </c>
      <c r="J346" s="36">
        <f>_xll.DBRW($E$12,$F$16,$F$17,$F$18,$E346,$F$20,J$22,$H346,$F$19)</f>
        <v>514.78</v>
      </c>
      <c r="K346" s="36">
        <f>_xll.DBRW($E$12,$F$16,$F$17,$F$18,$E346,$F$20,K$22,$H346,$F$19)</f>
        <v>0</v>
      </c>
      <c r="L346" s="36">
        <f>_xll.DBRW($E$12,$F$16,$F$17,$F$18,$E346,$F$20,L$22,$H346,$F$19)</f>
        <v>-495</v>
      </c>
      <c r="M346" s="36">
        <f>_xll.DBRW($E$12,$F$16,$F$17,$F$18,$E346,$F$20,M$22,$H346,$F$19)</f>
        <v>-0.81</v>
      </c>
      <c r="N346" s="36">
        <f>_xll.DBRW($E$12,$F$16,$F$17,$F$18,$E346,$F$20,N$22,$H346,$F$19)</f>
        <v>65</v>
      </c>
      <c r="O346" s="36">
        <f>_xll.DBRW($E$12,$F$16,$F$17,$F$18,$E346,$F$20,O$22,$H346,$F$19)</f>
        <v>0</v>
      </c>
      <c r="P346" s="36">
        <f>_xll.DBRW($E$12,$F$16,$F$17,$F$18,$E346,$F$20,P$22,$H346,$F$19)</f>
        <v>0</v>
      </c>
      <c r="Q346" s="36">
        <f>_xll.DBRW($E$12,$F$16,$F$17,$F$18,$E346,$F$20,Q$22,$H346,$F$19)</f>
        <v>0</v>
      </c>
      <c r="R346" s="36">
        <f>_xll.DBRW($E$12,$F$16,$F$17,$F$18,$E346,$F$20,R$22,$H346,$F$19)</f>
        <v>0</v>
      </c>
      <c r="S346" s="36">
        <f>_xll.DBRW($E$12,$F$16,$F$17,$F$18,$E346,$F$20,S$22,$H346,$F$19)</f>
        <v>0</v>
      </c>
      <c r="T346" s="36">
        <f>_xll.DBRW($E$12,$F$16,$F$17,$F$18,$E346,$F$20,T$22,$H346,$F$19)</f>
        <v>0</v>
      </c>
      <c r="U346" s="36">
        <f>_xll.DBRW($E$12,$F$16,$F$17,$F$18,$E346,$F$20,U$22,$H346,$F$19)</f>
        <v>83.96999999999997</v>
      </c>
    </row>
    <row r="347" spans="4:21" s="37" customFormat="1" ht="15" outlineLevel="1" thickBot="1" x14ac:dyDescent="0.35">
      <c r="D347" s="33" t="str">
        <f>IF(_xll.TM1RPTELISCONSOLIDATED($H$34,$H347),IF(_xll.TM1RPTELLEV($H$34,$H347)&lt;=5,_xll.TM1RPTELLEV($H$34,$H347),"Default"),"Leaf")</f>
        <v>Leaf</v>
      </c>
      <c r="E347" s="42" t="s">
        <v>677</v>
      </c>
      <c r="F347" s="34" t="str">
        <f>_xll.DBR($B$18,$H347,"Account_Type")</f>
        <v>NON LABOR</v>
      </c>
      <c r="G347" s="34" t="str">
        <f>_xll.DBR($B$18,$H347,"Description")</f>
        <v>Education/Training/Dues/Subscriptions</v>
      </c>
      <c r="H347" s="43" t="s">
        <v>184</v>
      </c>
      <c r="I347" s="36">
        <f>_xll.DBRW($E$12,$F$16,$F$17,$F$18,$E347,$F$20,I$22,$H347,$F$19)</f>
        <v>0</v>
      </c>
      <c r="J347" s="36">
        <f>_xll.DBRW($E$12,$F$16,$F$17,$F$18,$E347,$F$20,J$22,$H347,$F$19)</f>
        <v>0</v>
      </c>
      <c r="K347" s="36">
        <f>_xll.DBRW($E$12,$F$16,$F$17,$F$18,$E347,$F$20,K$22,$H347,$F$19)</f>
        <v>0</v>
      </c>
      <c r="L347" s="36">
        <f>_xll.DBRW($E$12,$F$16,$F$17,$F$18,$E347,$F$20,L$22,$H347,$F$19)</f>
        <v>0</v>
      </c>
      <c r="M347" s="36">
        <f>_xll.DBRW($E$12,$F$16,$F$17,$F$18,$E347,$F$20,M$22,$H347,$F$19)</f>
        <v>-36.619999999999997</v>
      </c>
      <c r="N347" s="36">
        <f>_xll.DBRW($E$12,$F$16,$F$17,$F$18,$E347,$F$20,N$22,$H347,$F$19)</f>
        <v>0</v>
      </c>
      <c r="O347" s="36">
        <f>_xll.DBRW($E$12,$F$16,$F$17,$F$18,$E347,$F$20,O$22,$H347,$F$19)</f>
        <v>0</v>
      </c>
      <c r="P347" s="36">
        <f>_xll.DBRW($E$12,$F$16,$F$17,$F$18,$E347,$F$20,P$22,$H347,$F$19)</f>
        <v>0</v>
      </c>
      <c r="Q347" s="36">
        <f>_xll.DBRW($E$12,$F$16,$F$17,$F$18,$E347,$F$20,Q$22,$H347,$F$19)</f>
        <v>0</v>
      </c>
      <c r="R347" s="36">
        <f>_xll.DBRW($E$12,$F$16,$F$17,$F$18,$E347,$F$20,R$22,$H347,$F$19)</f>
        <v>0</v>
      </c>
      <c r="S347" s="36">
        <f>_xll.DBRW($E$12,$F$16,$F$17,$F$18,$E347,$F$20,S$22,$H347,$F$19)</f>
        <v>0</v>
      </c>
      <c r="T347" s="36">
        <f>_xll.DBRW($E$12,$F$16,$F$17,$F$18,$E347,$F$20,T$22,$H347,$F$19)</f>
        <v>0</v>
      </c>
      <c r="U347" s="36">
        <f>_xll.DBRW($E$12,$F$16,$F$17,$F$18,$E347,$F$20,U$22,$H347,$F$19)</f>
        <v>-36.619999999999997</v>
      </c>
    </row>
    <row r="348" spans="4:21" s="37" customFormat="1" ht="15" outlineLevel="1" thickBot="1" x14ac:dyDescent="0.35">
      <c r="D348" s="33" t="str">
        <f>IF(_xll.TM1RPTELISCONSOLIDATED($H$34,$H348),IF(_xll.TM1RPTELLEV($H$34,$H348)&lt;=5,_xll.TM1RPTELLEV($H$34,$H348),"Default"),"Leaf")</f>
        <v>Leaf</v>
      </c>
      <c r="E348" s="42" t="s">
        <v>677</v>
      </c>
      <c r="F348" s="34" t="str">
        <f>_xll.DBR($B$18,$H348,"Account_Type")</f>
        <v>NON LABOR</v>
      </c>
      <c r="G348" s="34" t="str">
        <f>_xll.DBR($B$18,$H348,"Description")</f>
        <v>Certificates/Licenses/Permits</v>
      </c>
      <c r="H348" s="43" t="s">
        <v>194</v>
      </c>
      <c r="I348" s="36">
        <f>_xll.DBRW($E$12,$F$16,$F$17,$F$18,$E348,$F$20,I$22,$H348,$F$19)</f>
        <v>0</v>
      </c>
      <c r="J348" s="36">
        <f>_xll.DBRW($E$12,$F$16,$F$17,$F$18,$E348,$F$20,J$22,$H348,$F$19)</f>
        <v>0</v>
      </c>
      <c r="K348" s="36">
        <f>_xll.DBRW($E$12,$F$16,$F$17,$F$18,$E348,$F$20,K$22,$H348,$F$19)</f>
        <v>0</v>
      </c>
      <c r="L348" s="36">
        <f>_xll.DBRW($E$12,$F$16,$F$17,$F$18,$E348,$F$20,L$22,$H348,$F$19)</f>
        <v>1165</v>
      </c>
      <c r="M348" s="36">
        <f>_xll.DBRW($E$12,$F$16,$F$17,$F$18,$E348,$F$20,M$22,$H348,$F$19)</f>
        <v>0</v>
      </c>
      <c r="N348" s="36">
        <f>_xll.DBRW($E$12,$F$16,$F$17,$F$18,$E348,$F$20,N$22,$H348,$F$19)</f>
        <v>0</v>
      </c>
      <c r="O348" s="36">
        <f>_xll.DBRW($E$12,$F$16,$F$17,$F$18,$E348,$F$20,O$22,$H348,$F$19)</f>
        <v>0</v>
      </c>
      <c r="P348" s="36">
        <f>_xll.DBRW($E$12,$F$16,$F$17,$F$18,$E348,$F$20,P$22,$H348,$F$19)</f>
        <v>0</v>
      </c>
      <c r="Q348" s="36">
        <f>_xll.DBRW($E$12,$F$16,$F$17,$F$18,$E348,$F$20,Q$22,$H348,$F$19)</f>
        <v>0</v>
      </c>
      <c r="R348" s="36">
        <f>_xll.DBRW($E$12,$F$16,$F$17,$F$18,$E348,$F$20,R$22,$H348,$F$19)</f>
        <v>0</v>
      </c>
      <c r="S348" s="36">
        <f>_xll.DBRW($E$12,$F$16,$F$17,$F$18,$E348,$F$20,S$22,$H348,$F$19)</f>
        <v>0</v>
      </c>
      <c r="T348" s="36">
        <f>_xll.DBRW($E$12,$F$16,$F$17,$F$18,$E348,$F$20,T$22,$H348,$F$19)</f>
        <v>0</v>
      </c>
      <c r="U348" s="36">
        <f>_xll.DBRW($E$12,$F$16,$F$17,$F$18,$E348,$F$20,U$22,$H348,$F$19)</f>
        <v>1165</v>
      </c>
    </row>
    <row r="349" spans="4:21" s="37" customFormat="1" ht="15" outlineLevel="1" thickBot="1" x14ac:dyDescent="0.35">
      <c r="D349" s="33" t="str">
        <f>IF(_xll.TM1RPTELISCONSOLIDATED($H$34,$H349),IF(_xll.TM1RPTELLEV($H$34,$H349)&lt;=5,_xll.TM1RPTELLEV($H$34,$H349),"Default"),"Leaf")</f>
        <v>Leaf</v>
      </c>
      <c r="E349" s="42" t="s">
        <v>677</v>
      </c>
      <c r="F349" s="34" t="str">
        <f>_xll.DBR($B$18,$H349,"Account_Type")</f>
        <v>NON LABOR</v>
      </c>
      <c r="G349" s="34" t="str">
        <f>_xll.DBR($B$18,$H349,"Description")</f>
        <v>Utilities</v>
      </c>
      <c r="H349" s="43" t="s">
        <v>222</v>
      </c>
      <c r="I349" s="36">
        <f>_xll.DBRW($E$12,$F$16,$F$17,$F$18,$E349,$F$20,I$22,$H349,$F$19)</f>
        <v>102.63</v>
      </c>
      <c r="J349" s="36">
        <f>_xll.DBRW($E$12,$F$16,$F$17,$F$18,$E349,$F$20,J$22,$H349,$F$19)</f>
        <v>0</v>
      </c>
      <c r="K349" s="36">
        <f>_xll.DBRW($E$12,$F$16,$F$17,$F$18,$E349,$F$20,K$22,$H349,$F$19)</f>
        <v>99.72</v>
      </c>
      <c r="L349" s="36">
        <f>_xll.DBRW($E$12,$F$16,$F$17,$F$18,$E349,$F$20,L$22,$H349,$F$19)</f>
        <v>136.65</v>
      </c>
      <c r="M349" s="36">
        <f>_xll.DBRW($E$12,$F$16,$F$17,$F$18,$E349,$F$20,M$22,$H349,$F$19)</f>
        <v>54.33</v>
      </c>
      <c r="N349" s="36">
        <f>_xll.DBRW($E$12,$F$16,$F$17,$F$18,$E349,$F$20,N$22,$H349,$F$19)</f>
        <v>148.47</v>
      </c>
      <c r="O349" s="36">
        <f>_xll.DBRW($E$12,$F$16,$F$17,$F$18,$E349,$F$20,O$22,$H349,$F$19)</f>
        <v>0</v>
      </c>
      <c r="P349" s="36">
        <f>_xll.DBRW($E$12,$F$16,$F$17,$F$18,$E349,$F$20,P$22,$H349,$F$19)</f>
        <v>0</v>
      </c>
      <c r="Q349" s="36">
        <f>_xll.DBRW($E$12,$F$16,$F$17,$F$18,$E349,$F$20,Q$22,$H349,$F$19)</f>
        <v>0</v>
      </c>
      <c r="R349" s="36">
        <f>_xll.DBRW($E$12,$F$16,$F$17,$F$18,$E349,$F$20,R$22,$H349,$F$19)</f>
        <v>0</v>
      </c>
      <c r="S349" s="36">
        <f>_xll.DBRW($E$12,$F$16,$F$17,$F$18,$E349,$F$20,S$22,$H349,$F$19)</f>
        <v>0</v>
      </c>
      <c r="T349" s="36">
        <f>_xll.DBRW($E$12,$F$16,$F$17,$F$18,$E349,$F$20,T$22,$H349,$F$19)</f>
        <v>0</v>
      </c>
      <c r="U349" s="36">
        <f>_xll.DBRW($E$12,$F$16,$F$17,$F$18,$E349,$F$20,U$22,$H349,$F$19)</f>
        <v>541.79999999999995</v>
      </c>
    </row>
    <row r="350" spans="4:21" s="37" customFormat="1" ht="15" outlineLevel="1" thickBot="1" x14ac:dyDescent="0.35">
      <c r="D350" s="33" t="str">
        <f>IF(_xll.TM1RPTELISCONSOLIDATED($H$34,$H350),IF(_xll.TM1RPTELLEV($H$34,$H350)&lt;=5,_xll.TM1RPTELLEV($H$34,$H350),"Default"),"Leaf")</f>
        <v>Leaf</v>
      </c>
      <c r="E350" s="42" t="s">
        <v>677</v>
      </c>
      <c r="F350" s="34" t="str">
        <f>_xll.DBR($B$18,$H350,"Account_Type")</f>
        <v>NON LABOR</v>
      </c>
      <c r="G350" s="34" t="str">
        <f>_xll.DBR($B$18,$H350,"Description")</f>
        <v>Facility Maintenance</v>
      </c>
      <c r="H350" s="43" t="s">
        <v>238</v>
      </c>
      <c r="I350" s="36">
        <f>_xll.DBRW($E$12,$F$16,$F$17,$F$18,$E350,$F$20,I$22,$H350,$F$19)</f>
        <v>0</v>
      </c>
      <c r="J350" s="36">
        <f>_xll.DBRW($E$12,$F$16,$F$17,$F$18,$E350,$F$20,J$22,$H350,$F$19)</f>
        <v>0</v>
      </c>
      <c r="K350" s="36">
        <f>_xll.DBRW($E$12,$F$16,$F$17,$F$18,$E350,$F$20,K$22,$H350,$F$19)</f>
        <v>0</v>
      </c>
      <c r="L350" s="36">
        <f>_xll.DBRW($E$12,$F$16,$F$17,$F$18,$E350,$F$20,L$22,$H350,$F$19)</f>
        <v>0</v>
      </c>
      <c r="M350" s="36">
        <f>_xll.DBRW($E$12,$F$16,$F$17,$F$18,$E350,$F$20,M$22,$H350,$F$19)</f>
        <v>490.31</v>
      </c>
      <c r="N350" s="36">
        <f>_xll.DBRW($E$12,$F$16,$F$17,$F$18,$E350,$F$20,N$22,$H350,$F$19)</f>
        <v>0</v>
      </c>
      <c r="O350" s="36">
        <f>_xll.DBRW($E$12,$F$16,$F$17,$F$18,$E350,$F$20,O$22,$H350,$F$19)</f>
        <v>0</v>
      </c>
      <c r="P350" s="36">
        <f>_xll.DBRW($E$12,$F$16,$F$17,$F$18,$E350,$F$20,P$22,$H350,$F$19)</f>
        <v>0</v>
      </c>
      <c r="Q350" s="36">
        <f>_xll.DBRW($E$12,$F$16,$F$17,$F$18,$E350,$F$20,Q$22,$H350,$F$19)</f>
        <v>0</v>
      </c>
      <c r="R350" s="36">
        <f>_xll.DBRW($E$12,$F$16,$F$17,$F$18,$E350,$F$20,R$22,$H350,$F$19)</f>
        <v>0</v>
      </c>
      <c r="S350" s="36">
        <f>_xll.DBRW($E$12,$F$16,$F$17,$F$18,$E350,$F$20,S$22,$H350,$F$19)</f>
        <v>0</v>
      </c>
      <c r="T350" s="36">
        <f>_xll.DBRW($E$12,$F$16,$F$17,$F$18,$E350,$F$20,T$22,$H350,$F$19)</f>
        <v>0</v>
      </c>
      <c r="U350" s="36">
        <f>_xll.DBRW($E$12,$F$16,$F$17,$F$18,$E350,$F$20,U$22,$H350,$F$19)</f>
        <v>490.31</v>
      </c>
    </row>
    <row r="351" spans="4:21" s="37" customFormat="1" ht="15" outlineLevel="1" thickBot="1" x14ac:dyDescent="0.35">
      <c r="D351" s="33" t="str">
        <f>IF(_xll.TM1RPTELISCONSOLIDATED($H$34,$H351),IF(_xll.TM1RPTELLEV($H$34,$H351)&lt;=5,_xll.TM1RPTELLEV($H$34,$H351),"Default"),"Leaf")</f>
        <v>Leaf</v>
      </c>
      <c r="E351" s="42" t="s">
        <v>677</v>
      </c>
      <c r="F351" s="34" t="str">
        <f>_xll.DBR($B$18,$H351,"Account_Type")</f>
        <v>NON LABOR</v>
      </c>
      <c r="G351" s="34" t="str">
        <f>_xll.DBR($B$18,$H351,"Description")</f>
        <v>Fines &amp; Penalties</v>
      </c>
      <c r="H351" s="43" t="s">
        <v>263</v>
      </c>
      <c r="I351" s="36">
        <f>_xll.DBRW($E$12,$F$16,$F$17,$F$18,$E351,$F$20,I$22,$H351,$F$19)</f>
        <v>0</v>
      </c>
      <c r="J351" s="36">
        <f>_xll.DBRW($E$12,$F$16,$F$17,$F$18,$E351,$F$20,J$22,$H351,$F$19)</f>
        <v>20.13</v>
      </c>
      <c r="K351" s="36">
        <f>_xll.DBRW($E$12,$F$16,$F$17,$F$18,$E351,$F$20,K$22,$H351,$F$19)</f>
        <v>0</v>
      </c>
      <c r="L351" s="36">
        <f>_xll.DBRW($E$12,$F$16,$F$17,$F$18,$E351,$F$20,L$22,$H351,$F$19)</f>
        <v>0</v>
      </c>
      <c r="M351" s="36">
        <f>_xll.DBRW($E$12,$F$16,$F$17,$F$18,$E351,$F$20,M$22,$H351,$F$19)</f>
        <v>0</v>
      </c>
      <c r="N351" s="36">
        <f>_xll.DBRW($E$12,$F$16,$F$17,$F$18,$E351,$F$20,N$22,$H351,$F$19)</f>
        <v>0</v>
      </c>
      <c r="O351" s="36">
        <f>_xll.DBRW($E$12,$F$16,$F$17,$F$18,$E351,$F$20,O$22,$H351,$F$19)</f>
        <v>0</v>
      </c>
      <c r="P351" s="36">
        <f>_xll.DBRW($E$12,$F$16,$F$17,$F$18,$E351,$F$20,P$22,$H351,$F$19)</f>
        <v>0</v>
      </c>
      <c r="Q351" s="36">
        <f>_xll.DBRW($E$12,$F$16,$F$17,$F$18,$E351,$F$20,Q$22,$H351,$F$19)</f>
        <v>0</v>
      </c>
      <c r="R351" s="36">
        <f>_xll.DBRW($E$12,$F$16,$F$17,$F$18,$E351,$F$20,R$22,$H351,$F$19)</f>
        <v>0</v>
      </c>
      <c r="S351" s="36">
        <f>_xll.DBRW($E$12,$F$16,$F$17,$F$18,$E351,$F$20,S$22,$H351,$F$19)</f>
        <v>0</v>
      </c>
      <c r="T351" s="36">
        <f>_xll.DBRW($E$12,$F$16,$F$17,$F$18,$E351,$F$20,T$22,$H351,$F$19)</f>
        <v>0</v>
      </c>
      <c r="U351" s="36">
        <f>_xll.DBRW($E$12,$F$16,$F$17,$F$18,$E351,$F$20,U$22,$H351,$F$19)</f>
        <v>20.13</v>
      </c>
    </row>
    <row r="352" spans="4:21" s="37" customFormat="1" ht="15" outlineLevel="1" thickBot="1" x14ac:dyDescent="0.35">
      <c r="D352" s="33" t="str">
        <f>IF(_xll.TM1RPTELISCONSOLIDATED($H$34,$H352),IF(_xll.TM1RPTELLEV($H$34,$H352)&lt;=5,_xll.TM1RPTELLEV($H$34,$H352),"Default"),"Leaf")</f>
        <v>Leaf</v>
      </c>
      <c r="E352" s="42" t="s">
        <v>677</v>
      </c>
      <c r="F352" s="34" t="str">
        <f>_xll.DBR($B$18,$H352,"Account_Type")</f>
        <v>NON LABOR</v>
      </c>
      <c r="G352" s="34" t="str">
        <f>_xll.DBR($B$18,$H352,"Description")</f>
        <v>Drug Testing &amp; Physicals</v>
      </c>
      <c r="H352" s="43" t="s">
        <v>276</v>
      </c>
      <c r="I352" s="36">
        <f>_xll.DBRW($E$12,$F$16,$F$17,$F$18,$E352,$F$20,I$22,$H352,$F$19)</f>
        <v>0</v>
      </c>
      <c r="J352" s="36">
        <f>_xll.DBRW($E$12,$F$16,$F$17,$F$18,$E352,$F$20,J$22,$H352,$F$19)</f>
        <v>227</v>
      </c>
      <c r="K352" s="36">
        <f>_xll.DBRW($E$12,$F$16,$F$17,$F$18,$E352,$F$20,K$22,$H352,$F$19)</f>
        <v>0</v>
      </c>
      <c r="L352" s="36">
        <f>_xll.DBRW($E$12,$F$16,$F$17,$F$18,$E352,$F$20,L$22,$H352,$F$19)</f>
        <v>0</v>
      </c>
      <c r="M352" s="36">
        <f>_xll.DBRW($E$12,$F$16,$F$17,$F$18,$E352,$F$20,M$22,$H352,$F$19)</f>
        <v>0</v>
      </c>
      <c r="N352" s="36">
        <f>_xll.DBRW($E$12,$F$16,$F$17,$F$18,$E352,$F$20,N$22,$H352,$F$19)</f>
        <v>0</v>
      </c>
      <c r="O352" s="36">
        <f>_xll.DBRW($E$12,$F$16,$F$17,$F$18,$E352,$F$20,O$22,$H352,$F$19)</f>
        <v>0</v>
      </c>
      <c r="P352" s="36">
        <f>_xll.DBRW($E$12,$F$16,$F$17,$F$18,$E352,$F$20,P$22,$H352,$F$19)</f>
        <v>0</v>
      </c>
      <c r="Q352" s="36">
        <f>_xll.DBRW($E$12,$F$16,$F$17,$F$18,$E352,$F$20,Q$22,$H352,$F$19)</f>
        <v>0</v>
      </c>
      <c r="R352" s="36">
        <f>_xll.DBRW($E$12,$F$16,$F$17,$F$18,$E352,$F$20,R$22,$H352,$F$19)</f>
        <v>0</v>
      </c>
      <c r="S352" s="36">
        <f>_xll.DBRW($E$12,$F$16,$F$17,$F$18,$E352,$F$20,S$22,$H352,$F$19)</f>
        <v>0</v>
      </c>
      <c r="T352" s="36">
        <f>_xll.DBRW($E$12,$F$16,$F$17,$F$18,$E352,$F$20,T$22,$H352,$F$19)</f>
        <v>0</v>
      </c>
      <c r="U352" s="36">
        <f>_xll.DBRW($E$12,$F$16,$F$17,$F$18,$E352,$F$20,U$22,$H352,$F$19)</f>
        <v>227</v>
      </c>
    </row>
    <row r="353" spans="4:21" s="37" customFormat="1" ht="15" outlineLevel="1" thickBot="1" x14ac:dyDescent="0.35">
      <c r="D353" s="33" t="str">
        <f>IF(_xll.TM1RPTELISCONSOLIDATED($H$34,$H353),IF(_xll.TM1RPTELLEV($H$34,$H353)&lt;=5,_xll.TM1RPTELLEV($H$34,$H353),"Default"),"Leaf")</f>
        <v>Leaf</v>
      </c>
      <c r="E353" s="42" t="s">
        <v>677</v>
      </c>
      <c r="F353" s="34" t="str">
        <f>_xll.DBR($B$18,$H353,"Account_Type")</f>
        <v>NON LABOR</v>
      </c>
      <c r="G353" s="34" t="str">
        <f>_xll.DBR($B$18,$H353,"Description")</f>
        <v>Uniforms</v>
      </c>
      <c r="H353" s="43" t="s">
        <v>289</v>
      </c>
      <c r="I353" s="36">
        <f>_xll.DBRW($E$12,$F$16,$F$17,$F$18,$E353,$F$20,I$22,$H353,$F$19)</f>
        <v>0</v>
      </c>
      <c r="J353" s="36">
        <f>_xll.DBRW($E$12,$F$16,$F$17,$F$18,$E353,$F$20,J$22,$H353,$F$19)</f>
        <v>0</v>
      </c>
      <c r="K353" s="36">
        <f>_xll.DBRW($E$12,$F$16,$F$17,$F$18,$E353,$F$20,K$22,$H353,$F$19)</f>
        <v>0</v>
      </c>
      <c r="L353" s="36">
        <f>_xll.DBRW($E$12,$F$16,$F$17,$F$18,$E353,$F$20,L$22,$H353,$F$19)</f>
        <v>148.81</v>
      </c>
      <c r="M353" s="36">
        <f>_xll.DBRW($E$12,$F$16,$F$17,$F$18,$E353,$F$20,M$22,$H353,$F$19)</f>
        <v>0</v>
      </c>
      <c r="N353" s="36">
        <f>_xll.DBRW($E$12,$F$16,$F$17,$F$18,$E353,$F$20,N$22,$H353,$F$19)</f>
        <v>264.01</v>
      </c>
      <c r="O353" s="36">
        <f>_xll.DBRW($E$12,$F$16,$F$17,$F$18,$E353,$F$20,O$22,$H353,$F$19)</f>
        <v>0</v>
      </c>
      <c r="P353" s="36">
        <f>_xll.DBRW($E$12,$F$16,$F$17,$F$18,$E353,$F$20,P$22,$H353,$F$19)</f>
        <v>0</v>
      </c>
      <c r="Q353" s="36">
        <f>_xll.DBRW($E$12,$F$16,$F$17,$F$18,$E353,$F$20,Q$22,$H353,$F$19)</f>
        <v>0</v>
      </c>
      <c r="R353" s="36">
        <f>_xll.DBRW($E$12,$F$16,$F$17,$F$18,$E353,$F$20,R$22,$H353,$F$19)</f>
        <v>0</v>
      </c>
      <c r="S353" s="36">
        <f>_xll.DBRW($E$12,$F$16,$F$17,$F$18,$E353,$F$20,S$22,$H353,$F$19)</f>
        <v>0</v>
      </c>
      <c r="T353" s="36">
        <f>_xll.DBRW($E$12,$F$16,$F$17,$F$18,$E353,$F$20,T$22,$H353,$F$19)</f>
        <v>0</v>
      </c>
      <c r="U353" s="36">
        <f>_xll.DBRW($E$12,$F$16,$F$17,$F$18,$E353,$F$20,U$22,$H353,$F$19)</f>
        <v>412.82</v>
      </c>
    </row>
    <row r="354" spans="4:21" s="37" customFormat="1" ht="15" outlineLevel="1" thickBot="1" x14ac:dyDescent="0.35">
      <c r="D354" s="33" t="str">
        <f>IF(_xll.TM1RPTELISCONSOLIDATED($H$34,$H354),IF(_xll.TM1RPTELLEV($H$34,$H354)&lt;=5,_xll.TM1RPTELLEV($H$34,$H354),"Default"),"Leaf")</f>
        <v>Leaf</v>
      </c>
      <c r="E354" s="42" t="s">
        <v>677</v>
      </c>
      <c r="F354" s="34" t="str">
        <f>_xll.DBR($B$18,$H354,"Account_Type")</f>
        <v>NON LABOR</v>
      </c>
      <c r="G354" s="34" t="str">
        <f>_xll.DBR($B$18,$H354,"Description")</f>
        <v>Employee Morale &amp; Welfare</v>
      </c>
      <c r="H354" s="43" t="s">
        <v>306</v>
      </c>
      <c r="I354" s="36">
        <f>_xll.DBRW($E$12,$F$16,$F$17,$F$18,$E354,$F$20,I$22,$H354,$F$19)</f>
        <v>375.06</v>
      </c>
      <c r="J354" s="36">
        <f>_xll.DBRW($E$12,$F$16,$F$17,$F$18,$E354,$F$20,J$22,$H354,$F$19)</f>
        <v>0</v>
      </c>
      <c r="K354" s="36">
        <f>_xll.DBRW($E$12,$F$16,$F$17,$F$18,$E354,$F$20,K$22,$H354,$F$19)</f>
        <v>0</v>
      </c>
      <c r="L354" s="36">
        <f>_xll.DBRW($E$12,$F$16,$F$17,$F$18,$E354,$F$20,L$22,$H354,$F$19)</f>
        <v>0</v>
      </c>
      <c r="M354" s="36">
        <f>_xll.DBRW($E$12,$F$16,$F$17,$F$18,$E354,$F$20,M$22,$H354,$F$19)</f>
        <v>0</v>
      </c>
      <c r="N354" s="36">
        <f>_xll.DBRW($E$12,$F$16,$F$17,$F$18,$E354,$F$20,N$22,$H354,$F$19)</f>
        <v>0</v>
      </c>
      <c r="O354" s="36">
        <f>_xll.DBRW($E$12,$F$16,$F$17,$F$18,$E354,$F$20,O$22,$H354,$F$19)</f>
        <v>0</v>
      </c>
      <c r="P354" s="36">
        <f>_xll.DBRW($E$12,$F$16,$F$17,$F$18,$E354,$F$20,P$22,$H354,$F$19)</f>
        <v>0</v>
      </c>
      <c r="Q354" s="36">
        <f>_xll.DBRW($E$12,$F$16,$F$17,$F$18,$E354,$F$20,Q$22,$H354,$F$19)</f>
        <v>0</v>
      </c>
      <c r="R354" s="36">
        <f>_xll.DBRW($E$12,$F$16,$F$17,$F$18,$E354,$F$20,R$22,$H354,$F$19)</f>
        <v>0</v>
      </c>
      <c r="S354" s="36">
        <f>_xll.DBRW($E$12,$F$16,$F$17,$F$18,$E354,$F$20,S$22,$H354,$F$19)</f>
        <v>0</v>
      </c>
      <c r="T354" s="36">
        <f>_xll.DBRW($E$12,$F$16,$F$17,$F$18,$E354,$F$20,T$22,$H354,$F$19)</f>
        <v>0</v>
      </c>
      <c r="U354" s="36">
        <f>_xll.DBRW($E$12,$F$16,$F$17,$F$18,$E354,$F$20,U$22,$H354,$F$19)</f>
        <v>375.06</v>
      </c>
    </row>
    <row r="355" spans="4:21" s="37" customFormat="1" ht="15" outlineLevel="1" thickBot="1" x14ac:dyDescent="0.35">
      <c r="D355" s="33" t="str">
        <f>IF(_xll.TM1RPTELISCONSOLIDATED($H$34,$H355),IF(_xll.TM1RPTELLEV($H$34,$H355)&lt;=5,_xll.TM1RPTELLEV($H$34,$H355),"Default"),"Leaf")</f>
        <v>Leaf</v>
      </c>
      <c r="E355" s="42" t="s">
        <v>677</v>
      </c>
      <c r="F355" s="34" t="str">
        <f>_xll.DBR($B$18,$H355,"Account_Type")</f>
        <v>NON LABOR</v>
      </c>
      <c r="G355" s="34" t="str">
        <f>_xll.DBR($B$18,$H355,"Description")</f>
        <v>Small Tools</v>
      </c>
      <c r="H355" s="43" t="s">
        <v>317</v>
      </c>
      <c r="I355" s="36">
        <f>_xll.DBRW($E$12,$F$16,$F$17,$F$18,$E355,$F$20,I$22,$H355,$F$19)</f>
        <v>0</v>
      </c>
      <c r="J355" s="36">
        <f>_xll.DBRW($E$12,$F$16,$F$17,$F$18,$E355,$F$20,J$22,$H355,$F$19)</f>
        <v>0</v>
      </c>
      <c r="K355" s="36">
        <f>_xll.DBRW($E$12,$F$16,$F$17,$F$18,$E355,$F$20,K$22,$H355,$F$19)</f>
        <v>0</v>
      </c>
      <c r="L355" s="36">
        <f>_xll.DBRW($E$12,$F$16,$F$17,$F$18,$E355,$F$20,L$22,$H355,$F$19)</f>
        <v>0</v>
      </c>
      <c r="M355" s="36">
        <f>_xll.DBRW($E$12,$F$16,$F$17,$F$18,$E355,$F$20,M$22,$H355,$F$19)</f>
        <v>1.05</v>
      </c>
      <c r="N355" s="36">
        <f>_xll.DBRW($E$12,$F$16,$F$17,$F$18,$E355,$F$20,N$22,$H355,$F$19)</f>
        <v>0</v>
      </c>
      <c r="O355" s="36">
        <f>_xll.DBRW($E$12,$F$16,$F$17,$F$18,$E355,$F$20,O$22,$H355,$F$19)</f>
        <v>0</v>
      </c>
      <c r="P355" s="36">
        <f>_xll.DBRW($E$12,$F$16,$F$17,$F$18,$E355,$F$20,P$22,$H355,$F$19)</f>
        <v>0</v>
      </c>
      <c r="Q355" s="36">
        <f>_xll.DBRW($E$12,$F$16,$F$17,$F$18,$E355,$F$20,Q$22,$H355,$F$19)</f>
        <v>0</v>
      </c>
      <c r="R355" s="36">
        <f>_xll.DBRW($E$12,$F$16,$F$17,$F$18,$E355,$F$20,R$22,$H355,$F$19)</f>
        <v>0</v>
      </c>
      <c r="S355" s="36">
        <f>_xll.DBRW($E$12,$F$16,$F$17,$F$18,$E355,$F$20,S$22,$H355,$F$19)</f>
        <v>0</v>
      </c>
      <c r="T355" s="36">
        <f>_xll.DBRW($E$12,$F$16,$F$17,$F$18,$E355,$F$20,T$22,$H355,$F$19)</f>
        <v>0</v>
      </c>
      <c r="U355" s="36">
        <f>_xll.DBRW($E$12,$F$16,$F$17,$F$18,$E355,$F$20,U$22,$H355,$F$19)</f>
        <v>1.05</v>
      </c>
    </row>
    <row r="356" spans="4:21" s="37" customFormat="1" ht="15" outlineLevel="1" thickBot="1" x14ac:dyDescent="0.35">
      <c r="D356" s="33" t="str">
        <f>IF(_xll.TM1RPTELISCONSOLIDATED($H$34,$H356),IF(_xll.TM1RPTELLEV($H$34,$H356)&lt;=5,_xll.TM1RPTELLEV($H$34,$H356),"Default"),"Leaf")</f>
        <v>Leaf</v>
      </c>
      <c r="E356" s="42" t="s">
        <v>677</v>
      </c>
      <c r="F356" s="34" t="str">
        <f>_xll.DBR($B$18,$H356,"Account_Type")</f>
        <v>NON LABOR</v>
      </c>
      <c r="G356" s="34" t="str">
        <f>_xll.DBR($B$18,$H356,"Description")</f>
        <v>Consumable Purchases</v>
      </c>
      <c r="H356" s="43" t="s">
        <v>329</v>
      </c>
      <c r="I356" s="36">
        <f>_xll.DBRW($E$12,$F$16,$F$17,$F$18,$E356,$F$20,I$22,$H356,$F$19)</f>
        <v>83.98</v>
      </c>
      <c r="J356" s="36">
        <f>_xll.DBRW($E$12,$F$16,$F$17,$F$18,$E356,$F$20,J$22,$H356,$F$19)</f>
        <v>69.28</v>
      </c>
      <c r="K356" s="36">
        <f>_xll.DBRW($E$12,$F$16,$F$17,$F$18,$E356,$F$20,K$22,$H356,$F$19)</f>
        <v>76.63</v>
      </c>
      <c r="L356" s="36">
        <f>_xll.DBRW($E$12,$F$16,$F$17,$F$18,$E356,$F$20,L$22,$H356,$F$19)</f>
        <v>55.58</v>
      </c>
      <c r="M356" s="36">
        <f>_xll.DBRW($E$12,$F$16,$F$17,$F$18,$E356,$F$20,M$22,$H356,$F$19)</f>
        <v>40.880000000000003</v>
      </c>
      <c r="N356" s="36">
        <f>_xll.DBRW($E$12,$F$16,$F$17,$F$18,$E356,$F$20,N$22,$H356,$F$19)</f>
        <v>7.48</v>
      </c>
      <c r="O356" s="36">
        <f>_xll.DBRW($E$12,$F$16,$F$17,$F$18,$E356,$F$20,O$22,$H356,$F$19)</f>
        <v>0</v>
      </c>
      <c r="P356" s="36">
        <f>_xll.DBRW($E$12,$F$16,$F$17,$F$18,$E356,$F$20,P$22,$H356,$F$19)</f>
        <v>0</v>
      </c>
      <c r="Q356" s="36">
        <f>_xll.DBRW($E$12,$F$16,$F$17,$F$18,$E356,$F$20,Q$22,$H356,$F$19)</f>
        <v>0</v>
      </c>
      <c r="R356" s="36">
        <f>_xll.DBRW($E$12,$F$16,$F$17,$F$18,$E356,$F$20,R$22,$H356,$F$19)</f>
        <v>0</v>
      </c>
      <c r="S356" s="36">
        <f>_xll.DBRW($E$12,$F$16,$F$17,$F$18,$E356,$F$20,S$22,$H356,$F$19)</f>
        <v>0</v>
      </c>
      <c r="T356" s="36">
        <f>_xll.DBRW($E$12,$F$16,$F$17,$F$18,$E356,$F$20,T$22,$H356,$F$19)</f>
        <v>0</v>
      </c>
      <c r="U356" s="36">
        <f>_xll.DBRW($E$12,$F$16,$F$17,$F$18,$E356,$F$20,U$22,$H356,$F$19)</f>
        <v>333.83</v>
      </c>
    </row>
    <row r="357" spans="4:21" s="37" customFormat="1" ht="15" outlineLevel="1" thickBot="1" x14ac:dyDescent="0.35">
      <c r="D357" s="33" t="str">
        <f>IF(_xll.TM1RPTELISCONSOLIDATED($H$34,$H357),IF(_xll.TM1RPTELLEV($H$34,$H357)&lt;=5,_xll.TM1RPTELLEV($H$34,$H357),"Default"),"Leaf")</f>
        <v>Leaf</v>
      </c>
      <c r="E357" s="42" t="s">
        <v>677</v>
      </c>
      <c r="F357" s="34" t="str">
        <f>_xll.DBR($B$18,$H357,"Account_Type")</f>
        <v>NON LABOR</v>
      </c>
      <c r="G357" s="34" t="str">
        <f>_xll.DBR($B$18,$H357,"Description")</f>
        <v>Employee Leased Vehicles</v>
      </c>
      <c r="H357" s="43" t="s">
        <v>365</v>
      </c>
      <c r="I357" s="36">
        <f>_xll.DBRW($E$12,$F$16,$F$17,$F$18,$E357,$F$20,I$22,$H357,$F$19)</f>
        <v>1850</v>
      </c>
      <c r="J357" s="36">
        <f>_xll.DBRW($E$12,$F$16,$F$17,$F$18,$E357,$F$20,J$22,$H357,$F$19)</f>
        <v>1850</v>
      </c>
      <c r="K357" s="36">
        <f>_xll.DBRW($E$12,$F$16,$F$17,$F$18,$E357,$F$20,K$22,$H357,$F$19)</f>
        <v>1850</v>
      </c>
      <c r="L357" s="36">
        <f>_xll.DBRW($E$12,$F$16,$F$17,$F$18,$E357,$F$20,L$22,$H357,$F$19)</f>
        <v>1850</v>
      </c>
      <c r="M357" s="36">
        <f>_xll.DBRW($E$12,$F$16,$F$17,$F$18,$E357,$F$20,M$22,$H357,$F$19)</f>
        <v>1150</v>
      </c>
      <c r="N357" s="36">
        <f>_xll.DBRW($E$12,$F$16,$F$17,$F$18,$E357,$F$20,N$22,$H357,$F$19)</f>
        <v>1150</v>
      </c>
      <c r="O357" s="36">
        <f>_xll.DBRW($E$12,$F$16,$F$17,$F$18,$E357,$F$20,O$22,$H357,$F$19)</f>
        <v>1150</v>
      </c>
      <c r="P357" s="36">
        <f>_xll.DBRW($E$12,$F$16,$F$17,$F$18,$E357,$F$20,P$22,$H357,$F$19)</f>
        <v>0</v>
      </c>
      <c r="Q357" s="36">
        <f>_xll.DBRW($E$12,$F$16,$F$17,$F$18,$E357,$F$20,Q$22,$H357,$F$19)</f>
        <v>0</v>
      </c>
      <c r="R357" s="36">
        <f>_xll.DBRW($E$12,$F$16,$F$17,$F$18,$E357,$F$20,R$22,$H357,$F$19)</f>
        <v>0</v>
      </c>
      <c r="S357" s="36">
        <f>_xll.DBRW($E$12,$F$16,$F$17,$F$18,$E357,$F$20,S$22,$H357,$F$19)</f>
        <v>0</v>
      </c>
      <c r="T357" s="36">
        <f>_xll.DBRW($E$12,$F$16,$F$17,$F$18,$E357,$F$20,T$22,$H357,$F$19)</f>
        <v>0</v>
      </c>
      <c r="U357" s="36">
        <f>_xll.DBRW($E$12,$F$16,$F$17,$F$18,$E357,$F$20,U$22,$H357,$F$19)</f>
        <v>10850</v>
      </c>
    </row>
    <row r="358" spans="4:21" s="37" customFormat="1" ht="15" outlineLevel="1" thickBot="1" x14ac:dyDescent="0.35">
      <c r="D358" s="33" t="str">
        <f>IF(_xll.TM1RPTELISCONSOLIDATED($H$34,$H358),IF(_xll.TM1RPTELLEV($H$34,$H358)&lt;=5,_xll.TM1RPTELLEV($H$34,$H358),"Default"),"Leaf")</f>
        <v>Leaf</v>
      </c>
      <c r="E358" s="42" t="s">
        <v>677</v>
      </c>
      <c r="F358" s="34" t="str">
        <f>_xll.DBR($B$18,$H358,"Account_Type")</f>
        <v>NON LABOR</v>
      </c>
      <c r="G358" s="34" t="str">
        <f>_xll.DBR($B$18,$H358,"Description")</f>
        <v>Employee Leased Vehicles</v>
      </c>
      <c r="H358" s="43" t="s">
        <v>366</v>
      </c>
      <c r="I358" s="36">
        <f>_xll.DBRW($E$12,$F$16,$F$17,$F$18,$E358,$F$20,I$22,$H358,$F$19)</f>
        <v>1150</v>
      </c>
      <c r="J358" s="36">
        <f>_xll.DBRW($E$12,$F$16,$F$17,$F$18,$E358,$F$20,J$22,$H358,$F$19)</f>
        <v>1891.94</v>
      </c>
      <c r="K358" s="36">
        <f>_xll.DBRW($E$12,$F$16,$F$17,$F$18,$E358,$F$20,K$22,$H358,$F$19)</f>
        <v>1150</v>
      </c>
      <c r="L358" s="36">
        <f>_xll.DBRW($E$12,$F$16,$F$17,$F$18,$E358,$F$20,L$22,$H358,$F$19)</f>
        <v>0</v>
      </c>
      <c r="M358" s="36">
        <f>_xll.DBRW($E$12,$F$16,$F$17,$F$18,$E358,$F$20,M$22,$H358,$F$19)</f>
        <v>0</v>
      </c>
      <c r="N358" s="36">
        <f>_xll.DBRW($E$12,$F$16,$F$17,$F$18,$E358,$F$20,N$22,$H358,$F$19)</f>
        <v>0</v>
      </c>
      <c r="O358" s="36">
        <f>_xll.DBRW($E$12,$F$16,$F$17,$F$18,$E358,$F$20,O$22,$H358,$F$19)</f>
        <v>0</v>
      </c>
      <c r="P358" s="36">
        <f>_xll.DBRW($E$12,$F$16,$F$17,$F$18,$E358,$F$20,P$22,$H358,$F$19)</f>
        <v>0</v>
      </c>
      <c r="Q358" s="36">
        <f>_xll.DBRW($E$12,$F$16,$F$17,$F$18,$E358,$F$20,Q$22,$H358,$F$19)</f>
        <v>0</v>
      </c>
      <c r="R358" s="36">
        <f>_xll.DBRW($E$12,$F$16,$F$17,$F$18,$E358,$F$20,R$22,$H358,$F$19)</f>
        <v>0</v>
      </c>
      <c r="S358" s="36">
        <f>_xll.DBRW($E$12,$F$16,$F$17,$F$18,$E358,$F$20,S$22,$H358,$F$19)</f>
        <v>0</v>
      </c>
      <c r="T358" s="36">
        <f>_xll.DBRW($E$12,$F$16,$F$17,$F$18,$E358,$F$20,T$22,$H358,$F$19)</f>
        <v>0</v>
      </c>
      <c r="U358" s="36">
        <f>_xll.DBRW($E$12,$F$16,$F$17,$F$18,$E358,$F$20,U$22,$H358,$F$19)</f>
        <v>4191.9400000000005</v>
      </c>
    </row>
    <row r="359" spans="4:21" s="37" customFormat="1" ht="15" outlineLevel="1" thickBot="1" x14ac:dyDescent="0.35">
      <c r="D359" s="33" t="str">
        <f>IF(_xll.TM1RPTELISCONSOLIDATED($H$34,$H359),IF(_xll.TM1RPTELLEV($H$34,$H359)&lt;=5,_xll.TM1RPTELLEV($H$34,$H359),"Default"),"Leaf")</f>
        <v>Leaf</v>
      </c>
      <c r="E359" s="42" t="s">
        <v>677</v>
      </c>
      <c r="F359" s="34" t="str">
        <f>_xll.DBR($B$18,$H359,"Account_Type")</f>
        <v>NON LABOR</v>
      </c>
      <c r="G359" s="34" t="str">
        <f>_xll.DBR($B$18,$H359,"Description")</f>
        <v>Fuel to Leased Vehicles</v>
      </c>
      <c r="H359" s="43" t="s">
        <v>401</v>
      </c>
      <c r="I359" s="36">
        <f>_xll.DBRW($E$12,$F$16,$F$17,$F$18,$E359,$F$20,I$22,$H359,$F$19)</f>
        <v>93.02</v>
      </c>
      <c r="J359" s="36">
        <f>_xll.DBRW($E$12,$F$16,$F$17,$F$18,$E359,$F$20,J$22,$H359,$F$19)</f>
        <v>287.52</v>
      </c>
      <c r="K359" s="36">
        <f>_xll.DBRW($E$12,$F$16,$F$17,$F$18,$E359,$F$20,K$22,$H359,$F$19)</f>
        <v>202.28</v>
      </c>
      <c r="L359" s="36">
        <f>_xll.DBRW($E$12,$F$16,$F$17,$F$18,$E359,$F$20,L$22,$H359,$F$19)</f>
        <v>98.26</v>
      </c>
      <c r="M359" s="36">
        <f>_xll.DBRW($E$12,$F$16,$F$17,$F$18,$E359,$F$20,M$22,$H359,$F$19)</f>
        <v>144.26</v>
      </c>
      <c r="N359" s="36">
        <f>_xll.DBRW($E$12,$F$16,$F$17,$F$18,$E359,$F$20,N$22,$H359,$F$19)</f>
        <v>0</v>
      </c>
      <c r="O359" s="36">
        <f>_xll.DBRW($E$12,$F$16,$F$17,$F$18,$E359,$F$20,O$22,$H359,$F$19)</f>
        <v>0</v>
      </c>
      <c r="P359" s="36">
        <f>_xll.DBRW($E$12,$F$16,$F$17,$F$18,$E359,$F$20,P$22,$H359,$F$19)</f>
        <v>0</v>
      </c>
      <c r="Q359" s="36">
        <f>_xll.DBRW($E$12,$F$16,$F$17,$F$18,$E359,$F$20,Q$22,$H359,$F$19)</f>
        <v>0</v>
      </c>
      <c r="R359" s="36">
        <f>_xll.DBRW($E$12,$F$16,$F$17,$F$18,$E359,$F$20,R$22,$H359,$F$19)</f>
        <v>0</v>
      </c>
      <c r="S359" s="36">
        <f>_xll.DBRW($E$12,$F$16,$F$17,$F$18,$E359,$F$20,S$22,$H359,$F$19)</f>
        <v>0</v>
      </c>
      <c r="T359" s="36">
        <f>_xll.DBRW($E$12,$F$16,$F$17,$F$18,$E359,$F$20,T$22,$H359,$F$19)</f>
        <v>0</v>
      </c>
      <c r="U359" s="36">
        <f>_xll.DBRW($E$12,$F$16,$F$17,$F$18,$E359,$F$20,U$22,$H359,$F$19)</f>
        <v>825.33999999999992</v>
      </c>
    </row>
    <row r="360" spans="4:21" s="37" customFormat="1" ht="15" outlineLevel="1" thickBot="1" x14ac:dyDescent="0.35">
      <c r="D360" s="33" t="str">
        <f>IF(_xll.TM1RPTELISCONSOLIDATED($H$34,$H360),IF(_xll.TM1RPTELLEV($H$34,$H360)&lt;=5,_xll.TM1RPTELLEV($H$34,$H360),"Default"),"Leaf")</f>
        <v>Leaf</v>
      </c>
      <c r="E360" s="42" t="s">
        <v>677</v>
      </c>
      <c r="F360" s="34" t="str">
        <f>_xll.DBR($B$18,$H360,"Account_Type")</f>
        <v>NON LABOR</v>
      </c>
      <c r="G360" s="34" t="str">
        <f>_xll.DBR($B$18,$H360,"Description")</f>
        <v>Fuel to Leased Vehicles</v>
      </c>
      <c r="H360" s="43" t="s">
        <v>402</v>
      </c>
      <c r="I360" s="36">
        <f>_xll.DBRW($E$12,$F$16,$F$17,$F$18,$E360,$F$20,I$22,$H360,$F$19)</f>
        <v>385.45</v>
      </c>
      <c r="J360" s="36">
        <f>_xll.DBRW($E$12,$F$16,$F$17,$F$18,$E360,$F$20,J$22,$H360,$F$19)</f>
        <v>192.21</v>
      </c>
      <c r="K360" s="36">
        <f>_xll.DBRW($E$12,$F$16,$F$17,$F$18,$E360,$F$20,K$22,$H360,$F$19)</f>
        <v>402.46</v>
      </c>
      <c r="L360" s="36">
        <f>_xll.DBRW($E$12,$F$16,$F$17,$F$18,$E360,$F$20,L$22,$H360,$F$19)</f>
        <v>0</v>
      </c>
      <c r="M360" s="36">
        <f>_xll.DBRW($E$12,$F$16,$F$17,$F$18,$E360,$F$20,M$22,$H360,$F$19)</f>
        <v>180.6</v>
      </c>
      <c r="N360" s="36">
        <f>_xll.DBRW($E$12,$F$16,$F$17,$F$18,$E360,$F$20,N$22,$H360,$F$19)</f>
        <v>0</v>
      </c>
      <c r="O360" s="36">
        <f>_xll.DBRW($E$12,$F$16,$F$17,$F$18,$E360,$F$20,O$22,$H360,$F$19)</f>
        <v>0</v>
      </c>
      <c r="P360" s="36">
        <f>_xll.DBRW($E$12,$F$16,$F$17,$F$18,$E360,$F$20,P$22,$H360,$F$19)</f>
        <v>0</v>
      </c>
      <c r="Q360" s="36">
        <f>_xll.DBRW($E$12,$F$16,$F$17,$F$18,$E360,$F$20,Q$22,$H360,$F$19)</f>
        <v>0</v>
      </c>
      <c r="R360" s="36">
        <f>_xll.DBRW($E$12,$F$16,$F$17,$F$18,$E360,$F$20,R$22,$H360,$F$19)</f>
        <v>0</v>
      </c>
      <c r="S360" s="36">
        <f>_xll.DBRW($E$12,$F$16,$F$17,$F$18,$E360,$F$20,S$22,$H360,$F$19)</f>
        <v>0</v>
      </c>
      <c r="T360" s="36">
        <f>_xll.DBRW($E$12,$F$16,$F$17,$F$18,$E360,$F$20,T$22,$H360,$F$19)</f>
        <v>0</v>
      </c>
      <c r="U360" s="36">
        <f>_xll.DBRW($E$12,$F$16,$F$17,$F$18,$E360,$F$20,U$22,$H360,$F$19)</f>
        <v>1160.7199999999998</v>
      </c>
    </row>
    <row r="361" spans="4:21" s="37" customFormat="1" ht="15" outlineLevel="1" thickBot="1" x14ac:dyDescent="0.35">
      <c r="D361" s="33" t="str">
        <f>IF(_xll.TM1RPTELISCONSOLIDATED($H$34,$H361),IF(_xll.TM1RPTELLEV($H$34,$H361)&lt;=5,_xll.TM1RPTELLEV($H$34,$H361),"Default"),"Leaf")</f>
        <v>Leaf</v>
      </c>
      <c r="E361" s="42" t="s">
        <v>677</v>
      </c>
      <c r="F361" s="34" t="str">
        <f>_xll.DBR($B$18,$H361,"Account_Type")</f>
        <v>NON LABOR</v>
      </c>
      <c r="G361" s="34" t="str">
        <f>_xll.DBR($B$18,$H361,"Description")</f>
        <v>Company Owned Equipment</v>
      </c>
      <c r="H361" s="43" t="s">
        <v>425</v>
      </c>
      <c r="I361" s="36">
        <f>_xll.DBRW($E$12,$F$16,$F$17,$F$18,$E361,$F$20,I$22,$H361,$F$19)</f>
        <v>620</v>
      </c>
      <c r="J361" s="36">
        <f>_xll.DBRW($E$12,$F$16,$F$17,$F$18,$E361,$F$20,J$22,$H361,$F$19)</f>
        <v>130</v>
      </c>
      <c r="K361" s="36">
        <f>_xll.DBRW($E$12,$F$16,$F$17,$F$18,$E361,$F$20,K$22,$H361,$F$19)</f>
        <v>55</v>
      </c>
      <c r="L361" s="36">
        <f>_xll.DBRW($E$12,$F$16,$F$17,$F$18,$E361,$F$20,L$22,$H361,$F$19)</f>
        <v>380</v>
      </c>
      <c r="M361" s="36">
        <f>_xll.DBRW($E$12,$F$16,$F$17,$F$18,$E361,$F$20,M$22,$H361,$F$19)</f>
        <v>0</v>
      </c>
      <c r="N361" s="36">
        <f>_xll.DBRW($E$12,$F$16,$F$17,$F$18,$E361,$F$20,N$22,$H361,$F$19)</f>
        <v>0</v>
      </c>
      <c r="O361" s="36">
        <f>_xll.DBRW($E$12,$F$16,$F$17,$F$18,$E361,$F$20,O$22,$H361,$F$19)</f>
        <v>0</v>
      </c>
      <c r="P361" s="36">
        <f>_xll.DBRW($E$12,$F$16,$F$17,$F$18,$E361,$F$20,P$22,$H361,$F$19)</f>
        <v>0</v>
      </c>
      <c r="Q361" s="36">
        <f>_xll.DBRW($E$12,$F$16,$F$17,$F$18,$E361,$F$20,Q$22,$H361,$F$19)</f>
        <v>0</v>
      </c>
      <c r="R361" s="36">
        <f>_xll.DBRW($E$12,$F$16,$F$17,$F$18,$E361,$F$20,R$22,$H361,$F$19)</f>
        <v>0</v>
      </c>
      <c r="S361" s="36">
        <f>_xll.DBRW($E$12,$F$16,$F$17,$F$18,$E361,$F$20,S$22,$H361,$F$19)</f>
        <v>0</v>
      </c>
      <c r="T361" s="36">
        <f>_xll.DBRW($E$12,$F$16,$F$17,$F$18,$E361,$F$20,T$22,$H361,$F$19)</f>
        <v>0</v>
      </c>
      <c r="U361" s="36">
        <f>_xll.DBRW($E$12,$F$16,$F$17,$F$18,$E361,$F$20,U$22,$H361,$F$19)</f>
        <v>1185</v>
      </c>
    </row>
    <row r="362" spans="4:21" s="37" customFormat="1" ht="15" outlineLevel="1" thickBot="1" x14ac:dyDescent="0.35">
      <c r="D362" s="33" t="str">
        <f>IF(_xll.TM1RPTELISCONSOLIDATED($H$34,$H362),IF(_xll.TM1RPTELLEV($H$34,$H362)&lt;=5,_xll.TM1RPTELLEV($H$34,$H362),"Default"),"Leaf")</f>
        <v>Leaf</v>
      </c>
      <c r="E362" s="42" t="s">
        <v>677</v>
      </c>
      <c r="F362" s="34" t="str">
        <f>_xll.DBR($B$18,$H362,"Account_Type")</f>
        <v>NON LABOR</v>
      </c>
      <c r="G362" s="34" t="str">
        <f>_xll.DBR($B$18,$H362,"Description")</f>
        <v>Fuel to Company Owned Equipment</v>
      </c>
      <c r="H362" s="43" t="s">
        <v>441</v>
      </c>
      <c r="I362" s="36">
        <f>_xll.DBRW($E$12,$F$16,$F$17,$F$18,$E362,$F$20,I$22,$H362,$F$19)</f>
        <v>0</v>
      </c>
      <c r="J362" s="36">
        <f>_xll.DBRW($E$12,$F$16,$F$17,$F$18,$E362,$F$20,J$22,$H362,$F$19)</f>
        <v>427.22</v>
      </c>
      <c r="K362" s="36">
        <f>_xll.DBRW($E$12,$F$16,$F$17,$F$18,$E362,$F$20,K$22,$H362,$F$19)</f>
        <v>0</v>
      </c>
      <c r="L362" s="36">
        <f>_xll.DBRW($E$12,$F$16,$F$17,$F$18,$E362,$F$20,L$22,$H362,$F$19)</f>
        <v>0</v>
      </c>
      <c r="M362" s="36">
        <f>_xll.DBRW($E$12,$F$16,$F$17,$F$18,$E362,$F$20,M$22,$H362,$F$19)</f>
        <v>0</v>
      </c>
      <c r="N362" s="36">
        <f>_xll.DBRW($E$12,$F$16,$F$17,$F$18,$E362,$F$20,N$22,$H362,$F$19)</f>
        <v>0</v>
      </c>
      <c r="O362" s="36">
        <f>_xll.DBRW($E$12,$F$16,$F$17,$F$18,$E362,$F$20,O$22,$H362,$F$19)</f>
        <v>0</v>
      </c>
      <c r="P362" s="36">
        <f>_xll.DBRW($E$12,$F$16,$F$17,$F$18,$E362,$F$20,P$22,$H362,$F$19)</f>
        <v>0</v>
      </c>
      <c r="Q362" s="36">
        <f>_xll.DBRW($E$12,$F$16,$F$17,$F$18,$E362,$F$20,Q$22,$H362,$F$19)</f>
        <v>0</v>
      </c>
      <c r="R362" s="36">
        <f>_xll.DBRW($E$12,$F$16,$F$17,$F$18,$E362,$F$20,R$22,$H362,$F$19)</f>
        <v>0</v>
      </c>
      <c r="S362" s="36">
        <f>_xll.DBRW($E$12,$F$16,$F$17,$F$18,$E362,$F$20,S$22,$H362,$F$19)</f>
        <v>0</v>
      </c>
      <c r="T362" s="36">
        <f>_xll.DBRW($E$12,$F$16,$F$17,$F$18,$E362,$F$20,T$22,$H362,$F$19)</f>
        <v>0</v>
      </c>
      <c r="U362" s="36">
        <f>_xll.DBRW($E$12,$F$16,$F$17,$F$18,$E362,$F$20,U$22,$H362,$F$19)</f>
        <v>427.22</v>
      </c>
    </row>
    <row r="363" spans="4:21" s="37" customFormat="1" ht="15" outlineLevel="1" thickBot="1" x14ac:dyDescent="0.35">
      <c r="D363" s="33" t="str">
        <f>IF(_xll.TM1RPTELISCONSOLIDATED($H$34,$H363),IF(_xll.TM1RPTELLEV($H$34,$H363)&lt;=5,_xll.TM1RPTELLEV($H$34,$H363),"Default"),"Leaf")</f>
        <v>Leaf</v>
      </c>
      <c r="E363" s="42" t="s">
        <v>677</v>
      </c>
      <c r="F363" s="34" t="str">
        <f>_xll.DBR($B$18,$H363,"Account_Type")</f>
        <v>NON LABOR</v>
      </c>
      <c r="G363" s="34" t="str">
        <f>_xll.DBR($B$18,$H363,"Description")</f>
        <v>Sponsorships/Contributions</v>
      </c>
      <c r="H363" s="43" t="s">
        <v>449</v>
      </c>
      <c r="I363" s="36">
        <f>_xll.DBRW($E$12,$F$16,$F$17,$F$18,$E363,$F$20,I$22,$H363,$F$19)</f>
        <v>0</v>
      </c>
      <c r="J363" s="36">
        <f>_xll.DBRW($E$12,$F$16,$F$17,$F$18,$E363,$F$20,J$22,$H363,$F$19)</f>
        <v>5000</v>
      </c>
      <c r="K363" s="36">
        <f>_xll.DBRW($E$12,$F$16,$F$17,$F$18,$E363,$F$20,K$22,$H363,$F$19)</f>
        <v>0</v>
      </c>
      <c r="L363" s="36">
        <f>_xll.DBRW($E$12,$F$16,$F$17,$F$18,$E363,$F$20,L$22,$H363,$F$19)</f>
        <v>0</v>
      </c>
      <c r="M363" s="36">
        <f>_xll.DBRW($E$12,$F$16,$F$17,$F$18,$E363,$F$20,M$22,$H363,$F$19)</f>
        <v>0</v>
      </c>
      <c r="N363" s="36">
        <f>_xll.DBRW($E$12,$F$16,$F$17,$F$18,$E363,$F$20,N$22,$H363,$F$19)</f>
        <v>0</v>
      </c>
      <c r="O363" s="36">
        <f>_xll.DBRW($E$12,$F$16,$F$17,$F$18,$E363,$F$20,O$22,$H363,$F$19)</f>
        <v>0</v>
      </c>
      <c r="P363" s="36">
        <f>_xll.DBRW($E$12,$F$16,$F$17,$F$18,$E363,$F$20,P$22,$H363,$F$19)</f>
        <v>0</v>
      </c>
      <c r="Q363" s="36">
        <f>_xll.DBRW($E$12,$F$16,$F$17,$F$18,$E363,$F$20,Q$22,$H363,$F$19)</f>
        <v>0</v>
      </c>
      <c r="R363" s="36">
        <f>_xll.DBRW($E$12,$F$16,$F$17,$F$18,$E363,$F$20,R$22,$H363,$F$19)</f>
        <v>0</v>
      </c>
      <c r="S363" s="36">
        <f>_xll.DBRW($E$12,$F$16,$F$17,$F$18,$E363,$F$20,S$22,$H363,$F$19)</f>
        <v>0</v>
      </c>
      <c r="T363" s="36">
        <f>_xll.DBRW($E$12,$F$16,$F$17,$F$18,$E363,$F$20,T$22,$H363,$F$19)</f>
        <v>0</v>
      </c>
      <c r="U363" s="36">
        <f>_xll.DBRW($E$12,$F$16,$F$17,$F$18,$E363,$F$20,U$22,$H363,$F$19)</f>
        <v>5000</v>
      </c>
    </row>
    <row r="364" spans="4:21" s="37" customFormat="1" ht="15" outlineLevel="1" thickBot="1" x14ac:dyDescent="0.35">
      <c r="D364" s="33" t="str">
        <f>IF(_xll.TM1RPTELISCONSOLIDATED($H$34,$H364),IF(_xll.TM1RPTELLEV($H$34,$H364)&lt;=5,_xll.TM1RPTELLEV($H$34,$H364),"Default"),"Leaf")</f>
        <v>Leaf</v>
      </c>
      <c r="E364" s="42" t="s">
        <v>677</v>
      </c>
      <c r="F364" s="34" t="str">
        <f>_xll.DBR($B$18,$H364,"Account_Type")</f>
        <v>NON LABOR</v>
      </c>
      <c r="G364" s="34" t="str">
        <f>_xll.DBR($B$18,$H364,"Description")</f>
        <v>Corporate Allocation</v>
      </c>
      <c r="H364" s="43" t="s">
        <v>460</v>
      </c>
      <c r="I364" s="36">
        <f>_xll.DBRW($E$12,$F$16,$F$17,$F$18,$E364,$F$20,I$22,$H364,$F$19)</f>
        <v>56245.919999999998</v>
      </c>
      <c r="J364" s="36">
        <f>_xll.DBRW($E$12,$F$16,$F$17,$F$18,$E364,$F$20,J$22,$H364,$F$19)</f>
        <v>53850.7</v>
      </c>
      <c r="K364" s="36">
        <f>_xll.DBRW($E$12,$F$16,$F$17,$F$18,$E364,$F$20,K$22,$H364,$F$19)</f>
        <v>86147.03</v>
      </c>
      <c r="L364" s="36">
        <f>_xll.DBRW($E$12,$F$16,$F$17,$F$18,$E364,$F$20,L$22,$H364,$F$19)</f>
        <v>83592.67</v>
      </c>
      <c r="M364" s="36">
        <f>_xll.DBRW($E$12,$F$16,$F$17,$F$18,$E364,$F$20,M$22,$H364,$F$19)</f>
        <v>94592.46</v>
      </c>
      <c r="N364" s="36">
        <f>_xll.DBRW($E$12,$F$16,$F$17,$F$18,$E364,$F$20,N$22,$H364,$F$19)</f>
        <v>0</v>
      </c>
      <c r="O364" s="36">
        <f>_xll.DBRW($E$12,$F$16,$F$17,$F$18,$E364,$F$20,O$22,$H364,$F$19)</f>
        <v>0</v>
      </c>
      <c r="P364" s="36">
        <f>_xll.DBRW($E$12,$F$16,$F$17,$F$18,$E364,$F$20,P$22,$H364,$F$19)</f>
        <v>0</v>
      </c>
      <c r="Q364" s="36">
        <f>_xll.DBRW($E$12,$F$16,$F$17,$F$18,$E364,$F$20,Q$22,$H364,$F$19)</f>
        <v>0</v>
      </c>
      <c r="R364" s="36">
        <f>_xll.DBRW($E$12,$F$16,$F$17,$F$18,$E364,$F$20,R$22,$H364,$F$19)</f>
        <v>0</v>
      </c>
      <c r="S364" s="36">
        <f>_xll.DBRW($E$12,$F$16,$F$17,$F$18,$E364,$F$20,S$22,$H364,$F$19)</f>
        <v>0</v>
      </c>
      <c r="T364" s="36">
        <f>_xll.DBRW($E$12,$F$16,$F$17,$F$18,$E364,$F$20,T$22,$H364,$F$19)</f>
        <v>0</v>
      </c>
      <c r="U364" s="36">
        <f>_xll.DBRW($E$12,$F$16,$F$17,$F$18,$E364,$F$20,U$22,$H364,$F$19)</f>
        <v>374428.78</v>
      </c>
    </row>
    <row r="365" spans="4:21" s="37" customFormat="1" ht="15" outlineLevel="1" thickBot="1" x14ac:dyDescent="0.35">
      <c r="D365" s="33" t="str">
        <f>IF(_xll.TM1RPTELISCONSOLIDATED($H$34,$H365),IF(_xll.TM1RPTELLEV($H$34,$H365)&lt;=5,_xll.TM1RPTELLEV($H$34,$H365),"Default"),"Leaf")</f>
        <v>Leaf</v>
      </c>
      <c r="E365" s="42" t="s">
        <v>678</v>
      </c>
      <c r="F365" s="34" t="str">
        <f>_xll.DBR($B$18,$H365,"Account_Type")</f>
        <v>NON LABOR</v>
      </c>
      <c r="G365" s="34" t="str">
        <f>_xll.DBR($B$18,$H365,"Description")</f>
        <v>Miscellaneous Expense</v>
      </c>
      <c r="H365" s="43" t="s">
        <v>664</v>
      </c>
      <c r="I365" s="36">
        <f>_xll.DBRW($E$12,$F$16,$F$17,$F$18,$E365,$F$20,I$22,$H365,$F$19)</f>
        <v>0</v>
      </c>
      <c r="J365" s="36">
        <f>_xll.DBRW($E$12,$F$16,$F$17,$F$18,$E365,$F$20,J$22,$H365,$F$19)</f>
        <v>2787.1</v>
      </c>
      <c r="K365" s="36">
        <f>_xll.DBRW($E$12,$F$16,$F$17,$F$18,$E365,$F$20,K$22,$H365,$F$19)</f>
        <v>0</v>
      </c>
      <c r="L365" s="36">
        <f>_xll.DBRW($E$12,$F$16,$F$17,$F$18,$E365,$F$20,L$22,$H365,$F$19)</f>
        <v>0</v>
      </c>
      <c r="M365" s="36">
        <f>_xll.DBRW($E$12,$F$16,$F$17,$F$18,$E365,$F$20,M$22,$H365,$F$19)</f>
        <v>0</v>
      </c>
      <c r="N365" s="36">
        <f>_xll.DBRW($E$12,$F$16,$F$17,$F$18,$E365,$F$20,N$22,$H365,$F$19)</f>
        <v>0</v>
      </c>
      <c r="O365" s="36">
        <f>_xll.DBRW($E$12,$F$16,$F$17,$F$18,$E365,$F$20,O$22,$H365,$F$19)</f>
        <v>0</v>
      </c>
      <c r="P365" s="36">
        <f>_xll.DBRW($E$12,$F$16,$F$17,$F$18,$E365,$F$20,P$22,$H365,$F$19)</f>
        <v>0</v>
      </c>
      <c r="Q365" s="36">
        <f>_xll.DBRW($E$12,$F$16,$F$17,$F$18,$E365,$F$20,Q$22,$H365,$F$19)</f>
        <v>0</v>
      </c>
      <c r="R365" s="36">
        <f>_xll.DBRW($E$12,$F$16,$F$17,$F$18,$E365,$F$20,R$22,$H365,$F$19)</f>
        <v>0</v>
      </c>
      <c r="S365" s="36">
        <f>_xll.DBRW($E$12,$F$16,$F$17,$F$18,$E365,$F$20,S$22,$H365,$F$19)</f>
        <v>0</v>
      </c>
      <c r="T365" s="36">
        <f>_xll.DBRW($E$12,$F$16,$F$17,$F$18,$E365,$F$20,T$22,$H365,$F$19)</f>
        <v>0</v>
      </c>
      <c r="U365" s="36">
        <f>_xll.DBRW($E$12,$F$16,$F$17,$F$18,$E365,$F$20,U$22,$H365,$F$19)</f>
        <v>2787.1</v>
      </c>
    </row>
    <row r="366" spans="4:21" s="37" customFormat="1" ht="15" outlineLevel="1" thickBot="1" x14ac:dyDescent="0.35">
      <c r="D366" s="33" t="str">
        <f>IF(_xll.TM1RPTELISCONSOLIDATED($H$34,$H366),IF(_xll.TM1RPTELLEV($H$34,$H366)&lt;=5,_xll.TM1RPTELLEV($H$34,$H366),"Default"),"Leaf")</f>
        <v>Leaf</v>
      </c>
      <c r="E366" s="42" t="s">
        <v>678</v>
      </c>
      <c r="F366" s="34" t="str">
        <f>_xll.DBR($B$18,$H366,"Account_Type")</f>
        <v>NON LABOR</v>
      </c>
      <c r="G366" s="34" t="str">
        <f>_xll.DBR($B$18,$H366,"Description")</f>
        <v>Advertising &amp; Promotion</v>
      </c>
      <c r="H366" s="43" t="s">
        <v>666</v>
      </c>
      <c r="I366" s="36">
        <f>_xll.DBRW($E$12,$F$16,$F$17,$F$18,$E366,$F$20,I$22,$H366,$F$19)</f>
        <v>-9133.94</v>
      </c>
      <c r="J366" s="36">
        <f>_xll.DBRW($E$12,$F$16,$F$17,$F$18,$E366,$F$20,J$22,$H366,$F$19)</f>
        <v>-2312.58</v>
      </c>
      <c r="K366" s="36">
        <f>_xll.DBRW($E$12,$F$16,$F$17,$F$18,$E366,$F$20,K$22,$H366,$F$19)</f>
        <v>-3200.72</v>
      </c>
      <c r="L366" s="36">
        <f>_xll.DBRW($E$12,$F$16,$F$17,$F$18,$E366,$F$20,L$22,$H366,$F$19)</f>
        <v>-1754</v>
      </c>
      <c r="M366" s="36">
        <f>_xll.DBRW($E$12,$F$16,$F$17,$F$18,$E366,$F$20,M$22,$H366,$F$19)</f>
        <v>-2112</v>
      </c>
      <c r="N366" s="36">
        <f>_xll.DBRW($E$12,$F$16,$F$17,$F$18,$E366,$F$20,N$22,$H366,$F$19)</f>
        <v>-1084.9100000000001</v>
      </c>
      <c r="O366" s="36">
        <f>_xll.DBRW($E$12,$F$16,$F$17,$F$18,$E366,$F$20,O$22,$H366,$F$19)</f>
        <v>0</v>
      </c>
      <c r="P366" s="36">
        <f>_xll.DBRW($E$12,$F$16,$F$17,$F$18,$E366,$F$20,P$22,$H366,$F$19)</f>
        <v>0</v>
      </c>
      <c r="Q366" s="36">
        <f>_xll.DBRW($E$12,$F$16,$F$17,$F$18,$E366,$F$20,Q$22,$H366,$F$19)</f>
        <v>0</v>
      </c>
      <c r="R366" s="36">
        <f>_xll.DBRW($E$12,$F$16,$F$17,$F$18,$E366,$F$20,R$22,$H366,$F$19)</f>
        <v>0</v>
      </c>
      <c r="S366" s="36">
        <f>_xll.DBRW($E$12,$F$16,$F$17,$F$18,$E366,$F$20,S$22,$H366,$F$19)</f>
        <v>0</v>
      </c>
      <c r="T366" s="36">
        <f>_xll.DBRW($E$12,$F$16,$F$17,$F$18,$E366,$F$20,T$22,$H366,$F$19)</f>
        <v>0</v>
      </c>
      <c r="U366" s="36">
        <f>_xll.DBRW($E$12,$F$16,$F$17,$F$18,$E366,$F$20,U$22,$H366,$F$19)</f>
        <v>-19598.149999999998</v>
      </c>
    </row>
    <row r="367" spans="4:21" s="37" customFormat="1" ht="15" outlineLevel="1" thickBot="1" x14ac:dyDescent="0.35">
      <c r="D367" s="33" t="str">
        <f>IF(_xll.TM1RPTELISCONSOLIDATED($H$34,$H367),IF(_xll.TM1RPTELLEV($H$34,$H367)&lt;=5,_xll.TM1RPTELLEV($H$34,$H367),"Default"),"Leaf")</f>
        <v>Leaf</v>
      </c>
      <c r="E367" s="42" t="s">
        <v>678</v>
      </c>
      <c r="F367" s="34" t="str">
        <f>_xll.DBR($B$18,$H367,"Account_Type")</f>
        <v>NON LABOR</v>
      </c>
      <c r="G367" s="34" t="str">
        <f>_xll.DBR($B$18,$H367,"Description")</f>
        <v>Advertising &amp; Promotion</v>
      </c>
      <c r="H367" s="43" t="s">
        <v>667</v>
      </c>
      <c r="I367" s="36">
        <f>_xll.DBRW($E$12,$F$16,$F$17,$F$18,$E367,$F$20,I$22,$H367,$F$19)</f>
        <v>0</v>
      </c>
      <c r="J367" s="36">
        <f>_xll.DBRW($E$12,$F$16,$F$17,$F$18,$E367,$F$20,J$22,$H367,$F$19)</f>
        <v>0</v>
      </c>
      <c r="K367" s="36">
        <f>_xll.DBRW($E$12,$F$16,$F$17,$F$18,$E367,$F$20,K$22,$H367,$F$19)</f>
        <v>0</v>
      </c>
      <c r="L367" s="36">
        <f>_xll.DBRW($E$12,$F$16,$F$17,$F$18,$E367,$F$20,L$22,$H367,$F$19)</f>
        <v>0</v>
      </c>
      <c r="M367" s="36">
        <f>_xll.DBRW($E$12,$F$16,$F$17,$F$18,$E367,$F$20,M$22,$H367,$F$19)</f>
        <v>160.35</v>
      </c>
      <c r="N367" s="36">
        <f>_xll.DBRW($E$12,$F$16,$F$17,$F$18,$E367,$F$20,N$22,$H367,$F$19)</f>
        <v>0</v>
      </c>
      <c r="O367" s="36">
        <f>_xll.DBRW($E$12,$F$16,$F$17,$F$18,$E367,$F$20,O$22,$H367,$F$19)</f>
        <v>0</v>
      </c>
      <c r="P367" s="36">
        <f>_xll.DBRW($E$12,$F$16,$F$17,$F$18,$E367,$F$20,P$22,$H367,$F$19)</f>
        <v>0</v>
      </c>
      <c r="Q367" s="36">
        <f>_xll.DBRW($E$12,$F$16,$F$17,$F$18,$E367,$F$20,Q$22,$H367,$F$19)</f>
        <v>0</v>
      </c>
      <c r="R367" s="36">
        <f>_xll.DBRW($E$12,$F$16,$F$17,$F$18,$E367,$F$20,R$22,$H367,$F$19)</f>
        <v>0</v>
      </c>
      <c r="S367" s="36">
        <f>_xll.DBRW($E$12,$F$16,$F$17,$F$18,$E367,$F$20,S$22,$H367,$F$19)</f>
        <v>0</v>
      </c>
      <c r="T367" s="36">
        <f>_xll.DBRW($E$12,$F$16,$F$17,$F$18,$E367,$F$20,T$22,$H367,$F$19)</f>
        <v>0</v>
      </c>
      <c r="U367" s="36">
        <f>_xll.DBRW($E$12,$F$16,$F$17,$F$18,$E367,$F$20,U$22,$H367,$F$19)</f>
        <v>160.35</v>
      </c>
    </row>
    <row r="368" spans="4:21" s="37" customFormat="1" ht="15" outlineLevel="1" thickBot="1" x14ac:dyDescent="0.35">
      <c r="D368" s="33" t="str">
        <f>IF(_xll.TM1RPTELISCONSOLIDATED($H$34,$H368),IF(_xll.TM1RPTELLEV($H$34,$H368)&lt;=5,_xll.TM1RPTELLEV($H$34,$H368),"Default"),"Leaf")</f>
        <v>Leaf</v>
      </c>
      <c r="E368" s="42" t="s">
        <v>678</v>
      </c>
      <c r="F368" s="34" t="str">
        <f>_xll.DBR($B$18,$H368,"Account_Type")</f>
        <v>NON LABOR</v>
      </c>
      <c r="G368" s="34" t="str">
        <f>_xll.DBR($B$18,$H368,"Description")</f>
        <v>Fines &amp; Penalties</v>
      </c>
      <c r="H368" s="43" t="s">
        <v>668</v>
      </c>
      <c r="I368" s="36">
        <f>_xll.DBRW($E$12,$F$16,$F$17,$F$18,$E368,$F$20,I$22,$H368,$F$19)</f>
        <v>4771.9399999999996</v>
      </c>
      <c r="J368" s="36">
        <f>_xll.DBRW($E$12,$F$16,$F$17,$F$18,$E368,$F$20,J$22,$H368,$F$19)</f>
        <v>203515.62</v>
      </c>
      <c r="K368" s="36">
        <f>_xll.DBRW($E$12,$F$16,$F$17,$F$18,$E368,$F$20,K$22,$H368,$F$19)</f>
        <v>7986.13</v>
      </c>
      <c r="L368" s="36">
        <f>_xll.DBRW($E$12,$F$16,$F$17,$F$18,$E368,$F$20,L$22,$H368,$F$19)</f>
        <v>-1202.74</v>
      </c>
      <c r="M368" s="36">
        <f>_xll.DBRW($E$12,$F$16,$F$17,$F$18,$E368,$F$20,M$22,$H368,$F$19)</f>
        <v>385.48</v>
      </c>
      <c r="N368" s="36">
        <f>_xll.DBRW($E$12,$F$16,$F$17,$F$18,$E368,$F$20,N$22,$H368,$F$19)</f>
        <v>5035.68</v>
      </c>
      <c r="O368" s="36">
        <f>_xll.DBRW($E$12,$F$16,$F$17,$F$18,$E368,$F$20,O$22,$H368,$F$19)</f>
        <v>375</v>
      </c>
      <c r="P368" s="36">
        <f>_xll.DBRW($E$12,$F$16,$F$17,$F$18,$E368,$F$20,P$22,$H368,$F$19)</f>
        <v>0</v>
      </c>
      <c r="Q368" s="36">
        <f>_xll.DBRW($E$12,$F$16,$F$17,$F$18,$E368,$F$20,Q$22,$H368,$F$19)</f>
        <v>0</v>
      </c>
      <c r="R368" s="36">
        <f>_xll.DBRW($E$12,$F$16,$F$17,$F$18,$E368,$F$20,R$22,$H368,$F$19)</f>
        <v>0</v>
      </c>
      <c r="S368" s="36">
        <f>_xll.DBRW($E$12,$F$16,$F$17,$F$18,$E368,$F$20,S$22,$H368,$F$19)</f>
        <v>0</v>
      </c>
      <c r="T368" s="36">
        <f>_xll.DBRW($E$12,$F$16,$F$17,$F$18,$E368,$F$20,T$22,$H368,$F$19)</f>
        <v>0</v>
      </c>
      <c r="U368" s="36">
        <f>_xll.DBRW($E$12,$F$16,$F$17,$F$18,$E368,$F$20,U$22,$H368,$F$19)</f>
        <v>220867.11000000002</v>
      </c>
    </row>
    <row r="369" spans="4:21" s="37" customFormat="1" ht="15" outlineLevel="1" thickBot="1" x14ac:dyDescent="0.35">
      <c r="D369" s="33" t="str">
        <f>IF(_xll.TM1RPTELISCONSOLIDATED($H$34,$H369),IF(_xll.TM1RPTELLEV($H$34,$H369)&lt;=5,_xll.TM1RPTELLEV($H$34,$H369),"Default"),"Leaf")</f>
        <v>Leaf</v>
      </c>
      <c r="E369" s="42" t="s">
        <v>678</v>
      </c>
      <c r="F369" s="34" t="str">
        <f>_xll.DBR($B$18,$H369,"Account_Type")</f>
        <v>NON LABOR</v>
      </c>
      <c r="G369" s="34" t="str">
        <f>_xll.DBR($B$18,$H369,"Description")</f>
        <v>Miscellaneous Expense</v>
      </c>
      <c r="H369" s="43" t="s">
        <v>669</v>
      </c>
      <c r="I369" s="36">
        <f>_xll.DBRW($E$12,$F$16,$F$17,$F$18,$E369,$F$20,I$22,$H369,$F$19)</f>
        <v>124.32</v>
      </c>
      <c r="J369" s="36">
        <f>_xll.DBRW($E$12,$F$16,$F$17,$F$18,$E369,$F$20,J$22,$H369,$F$19)</f>
        <v>30335.93</v>
      </c>
      <c r="K369" s="36">
        <f>_xll.DBRW($E$12,$F$16,$F$17,$F$18,$E369,$F$20,K$22,$H369,$F$19)</f>
        <v>137.04</v>
      </c>
      <c r="L369" s="36">
        <f>_xll.DBRW($E$12,$F$16,$F$17,$F$18,$E369,$F$20,L$22,$H369,$F$19)</f>
        <v>173.38</v>
      </c>
      <c r="M369" s="36">
        <f>_xll.DBRW($E$12,$F$16,$F$17,$F$18,$E369,$F$20,M$22,$H369,$F$19)</f>
        <v>0</v>
      </c>
      <c r="N369" s="36">
        <f>_xll.DBRW($E$12,$F$16,$F$17,$F$18,$E369,$F$20,N$22,$H369,$F$19)</f>
        <v>200.93</v>
      </c>
      <c r="O369" s="36">
        <f>_xll.DBRW($E$12,$F$16,$F$17,$F$18,$E369,$F$20,O$22,$H369,$F$19)</f>
        <v>25.09</v>
      </c>
      <c r="P369" s="36">
        <f>_xll.DBRW($E$12,$F$16,$F$17,$F$18,$E369,$F$20,P$22,$H369,$F$19)</f>
        <v>0</v>
      </c>
      <c r="Q369" s="36">
        <f>_xll.DBRW($E$12,$F$16,$F$17,$F$18,$E369,$F$20,Q$22,$H369,$F$19)</f>
        <v>0</v>
      </c>
      <c r="R369" s="36">
        <f>_xll.DBRW($E$12,$F$16,$F$17,$F$18,$E369,$F$20,R$22,$H369,$F$19)</f>
        <v>0</v>
      </c>
      <c r="S369" s="36">
        <f>_xll.DBRW($E$12,$F$16,$F$17,$F$18,$E369,$F$20,S$22,$H369,$F$19)</f>
        <v>0</v>
      </c>
      <c r="T369" s="36">
        <f>_xll.DBRW($E$12,$F$16,$F$17,$F$18,$E369,$F$20,T$22,$H369,$F$19)</f>
        <v>0</v>
      </c>
      <c r="U369" s="36">
        <f>_xll.DBRW($E$12,$F$16,$F$17,$F$18,$E369,$F$20,U$22,$H369,$F$19)</f>
        <v>30996.690000000002</v>
      </c>
    </row>
    <row r="370" spans="4:21" s="37" customFormat="1" ht="15" outlineLevel="1" thickBot="1" x14ac:dyDescent="0.35">
      <c r="D370" s="33" t="str">
        <f>IF(_xll.TM1RPTELISCONSOLIDATED($H$34,$H370),IF(_xll.TM1RPTELLEV($H$34,$H370)&lt;=5,_xll.TM1RPTELLEV($H$34,$H370),"Default"),"Leaf")</f>
        <v>Leaf</v>
      </c>
      <c r="E370" s="42" t="s">
        <v>679</v>
      </c>
      <c r="F370" s="34" t="str">
        <f>_xll.DBR($B$18,$H370,"Account_Type")</f>
        <v>NON LABOR</v>
      </c>
      <c r="G370" s="34" t="str">
        <f>_xll.DBR($B$18,$H370,"Description")</f>
        <v>Telecommunications / Internet</v>
      </c>
      <c r="H370" s="43" t="s">
        <v>498</v>
      </c>
      <c r="I370" s="36">
        <f>_xll.DBRW($E$12,$F$16,$F$17,$F$18,$E370,$F$20,I$22,$H370,$F$19)</f>
        <v>14881.41</v>
      </c>
      <c r="J370" s="36">
        <f>_xll.DBRW($E$12,$F$16,$F$17,$F$18,$E370,$F$20,J$22,$H370,$F$19)</f>
        <v>2294.9499999999998</v>
      </c>
      <c r="K370" s="36">
        <f>_xll.DBRW($E$12,$F$16,$F$17,$F$18,$E370,$F$20,K$22,$H370,$F$19)</f>
        <v>930.22</v>
      </c>
      <c r="L370" s="36">
        <f>_xll.DBRW($E$12,$F$16,$F$17,$F$18,$E370,$F$20,L$22,$H370,$F$19)</f>
        <v>992.25</v>
      </c>
      <c r="M370" s="36">
        <f>_xll.DBRW($E$12,$F$16,$F$17,$F$18,$E370,$F$20,M$22,$H370,$F$19)</f>
        <v>1159.1500000000001</v>
      </c>
      <c r="N370" s="36">
        <f>_xll.DBRW($E$12,$F$16,$F$17,$F$18,$E370,$F$20,N$22,$H370,$F$19)</f>
        <v>2328.62</v>
      </c>
      <c r="O370" s="36">
        <f>_xll.DBRW($E$12,$F$16,$F$17,$F$18,$E370,$F$20,O$22,$H370,$F$19)</f>
        <v>25</v>
      </c>
      <c r="P370" s="36">
        <f>_xll.DBRW($E$12,$F$16,$F$17,$F$18,$E370,$F$20,P$22,$H370,$F$19)</f>
        <v>0</v>
      </c>
      <c r="Q370" s="36">
        <f>_xll.DBRW($E$12,$F$16,$F$17,$F$18,$E370,$F$20,Q$22,$H370,$F$19)</f>
        <v>0</v>
      </c>
      <c r="R370" s="36">
        <f>_xll.DBRW($E$12,$F$16,$F$17,$F$18,$E370,$F$20,R$22,$H370,$F$19)</f>
        <v>0</v>
      </c>
      <c r="S370" s="36">
        <f>_xll.DBRW($E$12,$F$16,$F$17,$F$18,$E370,$F$20,S$22,$H370,$F$19)</f>
        <v>0</v>
      </c>
      <c r="T370" s="36">
        <f>_xll.DBRW($E$12,$F$16,$F$17,$F$18,$E370,$F$20,T$22,$H370,$F$19)</f>
        <v>0</v>
      </c>
      <c r="U370" s="36">
        <f>_xll.DBRW($E$12,$F$16,$F$17,$F$18,$E370,$F$20,U$22,$H370,$F$19)</f>
        <v>22611.600000000002</v>
      </c>
    </row>
    <row r="371" spans="4:21" s="37" customFormat="1" ht="15" outlineLevel="1" thickBot="1" x14ac:dyDescent="0.35">
      <c r="D371" s="33" t="str">
        <f>IF(_xll.TM1RPTELISCONSOLIDATED($H$34,$H371),IF(_xll.TM1RPTELLEV($H$34,$H371)&lt;=5,_xll.TM1RPTELLEV($H$34,$H371),"Default"),"Leaf")</f>
        <v>Leaf</v>
      </c>
      <c r="E371" s="42" t="s">
        <v>679</v>
      </c>
      <c r="F371" s="34" t="str">
        <f>_xll.DBR($B$18,$H371,"Account_Type")</f>
        <v>NON LABOR</v>
      </c>
      <c r="G371" s="34" t="str">
        <f>_xll.DBR($B$18,$H371,"Description")</f>
        <v>Office/Computer Supplies &amp; Eqpt</v>
      </c>
      <c r="H371" s="43" t="s">
        <v>519</v>
      </c>
      <c r="I371" s="36">
        <f>_xll.DBRW($E$12,$F$16,$F$17,$F$18,$E371,$F$20,I$22,$H371,$F$19)</f>
        <v>0</v>
      </c>
      <c r="J371" s="36">
        <f>_xll.DBRW($E$12,$F$16,$F$17,$F$18,$E371,$F$20,J$22,$H371,$F$19)</f>
        <v>828.71</v>
      </c>
      <c r="K371" s="36">
        <f>_xll.DBRW($E$12,$F$16,$F$17,$F$18,$E371,$F$20,K$22,$H371,$F$19)</f>
        <v>692.1</v>
      </c>
      <c r="L371" s="36">
        <f>_xll.DBRW($E$12,$F$16,$F$17,$F$18,$E371,$F$20,L$22,$H371,$F$19)</f>
        <v>604.13</v>
      </c>
      <c r="M371" s="36">
        <f>_xll.DBRW($E$12,$F$16,$F$17,$F$18,$E371,$F$20,M$22,$H371,$F$19)</f>
        <v>2825.93</v>
      </c>
      <c r="N371" s="36">
        <f>_xll.DBRW($E$12,$F$16,$F$17,$F$18,$E371,$F$20,N$22,$H371,$F$19)</f>
        <v>0</v>
      </c>
      <c r="O371" s="36">
        <f>_xll.DBRW($E$12,$F$16,$F$17,$F$18,$E371,$F$20,O$22,$H371,$F$19)</f>
        <v>0</v>
      </c>
      <c r="P371" s="36">
        <f>_xll.DBRW($E$12,$F$16,$F$17,$F$18,$E371,$F$20,P$22,$H371,$F$19)</f>
        <v>0</v>
      </c>
      <c r="Q371" s="36">
        <f>_xll.DBRW($E$12,$F$16,$F$17,$F$18,$E371,$F$20,Q$22,$H371,$F$19)</f>
        <v>0</v>
      </c>
      <c r="R371" s="36">
        <f>_xll.DBRW($E$12,$F$16,$F$17,$F$18,$E371,$F$20,R$22,$H371,$F$19)</f>
        <v>0</v>
      </c>
      <c r="S371" s="36">
        <f>_xll.DBRW($E$12,$F$16,$F$17,$F$18,$E371,$F$20,S$22,$H371,$F$19)</f>
        <v>0</v>
      </c>
      <c r="T371" s="36">
        <f>_xll.DBRW($E$12,$F$16,$F$17,$F$18,$E371,$F$20,T$22,$H371,$F$19)</f>
        <v>0</v>
      </c>
      <c r="U371" s="36">
        <f>_xll.DBRW($E$12,$F$16,$F$17,$F$18,$E371,$F$20,U$22,$H371,$F$19)</f>
        <v>4950.87</v>
      </c>
    </row>
    <row r="372" spans="4:21" s="37" customFormat="1" ht="15" outlineLevel="1" thickBot="1" x14ac:dyDescent="0.35">
      <c r="D372" s="33" t="str">
        <f>IF(_xll.TM1RPTELISCONSOLIDATED($H$34,$H372),IF(_xll.TM1RPTELLEV($H$34,$H372)&lt;=5,_xll.TM1RPTELLEV($H$34,$H372),"Default"),"Leaf")</f>
        <v>Leaf</v>
      </c>
      <c r="E372" s="42" t="s">
        <v>679</v>
      </c>
      <c r="F372" s="34" t="str">
        <f>_xll.DBR($B$18,$H372,"Account_Type")</f>
        <v>NON LABOR</v>
      </c>
      <c r="G372" s="34" t="str">
        <f>_xll.DBR($B$18,$H372,"Description")</f>
        <v>Office/Computer Supplies &amp; Eqpt</v>
      </c>
      <c r="H372" s="43" t="s">
        <v>520</v>
      </c>
      <c r="I372" s="36">
        <f>_xll.DBRW($E$12,$F$16,$F$17,$F$18,$E372,$F$20,I$22,$H372,$F$19)</f>
        <v>124275.18</v>
      </c>
      <c r="J372" s="36">
        <f>_xll.DBRW($E$12,$F$16,$F$17,$F$18,$E372,$F$20,J$22,$H372,$F$19)</f>
        <v>115988.33</v>
      </c>
      <c r="K372" s="36">
        <f>_xll.DBRW($E$12,$F$16,$F$17,$F$18,$E372,$F$20,K$22,$H372,$F$19)</f>
        <v>97806.82</v>
      </c>
      <c r="L372" s="36">
        <f>_xll.DBRW($E$12,$F$16,$F$17,$F$18,$E372,$F$20,L$22,$H372,$F$19)</f>
        <v>116926.81</v>
      </c>
      <c r="M372" s="36">
        <f>_xll.DBRW($E$12,$F$16,$F$17,$F$18,$E372,$F$20,M$22,$H372,$F$19)</f>
        <v>116788.09</v>
      </c>
      <c r="N372" s="36">
        <f>_xll.DBRW($E$12,$F$16,$F$17,$F$18,$E372,$F$20,N$22,$H372,$F$19)</f>
        <v>117326.39</v>
      </c>
      <c r="O372" s="36">
        <f>_xll.DBRW($E$12,$F$16,$F$17,$F$18,$E372,$F$20,O$22,$H372,$F$19)</f>
        <v>0</v>
      </c>
      <c r="P372" s="36">
        <f>_xll.DBRW($E$12,$F$16,$F$17,$F$18,$E372,$F$20,P$22,$H372,$F$19)</f>
        <v>0</v>
      </c>
      <c r="Q372" s="36">
        <f>_xll.DBRW($E$12,$F$16,$F$17,$F$18,$E372,$F$20,Q$22,$H372,$F$19)</f>
        <v>0</v>
      </c>
      <c r="R372" s="36">
        <f>_xll.DBRW($E$12,$F$16,$F$17,$F$18,$E372,$F$20,R$22,$H372,$F$19)</f>
        <v>0</v>
      </c>
      <c r="S372" s="36">
        <f>_xll.DBRW($E$12,$F$16,$F$17,$F$18,$E372,$F$20,S$22,$H372,$F$19)</f>
        <v>0</v>
      </c>
      <c r="T372" s="36">
        <f>_xll.DBRW($E$12,$F$16,$F$17,$F$18,$E372,$F$20,T$22,$H372,$F$19)</f>
        <v>0</v>
      </c>
      <c r="U372" s="36">
        <f>_xll.DBRW($E$12,$F$16,$F$17,$F$18,$E372,$F$20,U$22,$H372,$F$19)</f>
        <v>689111.62</v>
      </c>
    </row>
    <row r="373" spans="4:21" s="37" customFormat="1" ht="15" outlineLevel="1" thickBot="1" x14ac:dyDescent="0.35">
      <c r="D373" s="33" t="str">
        <f>IF(_xll.TM1RPTELISCONSOLIDATED($H$34,$H373),IF(_xll.TM1RPTELLEV($H$34,$H373)&lt;=5,_xll.TM1RPTELLEV($H$34,$H373),"Default"),"Leaf")</f>
        <v>Leaf</v>
      </c>
      <c r="E373" s="42" t="s">
        <v>679</v>
      </c>
      <c r="F373" s="34" t="str">
        <f>_xll.DBR($B$18,$H373,"Account_Type")</f>
        <v>NON LABOR</v>
      </c>
      <c r="G373" s="34" t="str">
        <f>_xll.DBR($B$18,$H373,"Description")</f>
        <v>Office/Computer Supplies &amp; Eqpt</v>
      </c>
      <c r="H373" s="43" t="s">
        <v>521</v>
      </c>
      <c r="I373" s="36">
        <f>_xll.DBRW($E$12,$F$16,$F$17,$F$18,$E373,$F$20,I$22,$H373,$F$19)</f>
        <v>403.11</v>
      </c>
      <c r="J373" s="36">
        <f>_xll.DBRW($E$12,$F$16,$F$17,$F$18,$E373,$F$20,J$22,$H373,$F$19)</f>
        <v>3828.47</v>
      </c>
      <c r="K373" s="36">
        <f>_xll.DBRW($E$12,$F$16,$F$17,$F$18,$E373,$F$20,K$22,$H373,$F$19)</f>
        <v>112.37</v>
      </c>
      <c r="L373" s="36">
        <f>_xll.DBRW($E$12,$F$16,$F$17,$F$18,$E373,$F$20,L$22,$H373,$F$19)</f>
        <v>-3416.27</v>
      </c>
      <c r="M373" s="36">
        <f>_xll.DBRW($E$12,$F$16,$F$17,$F$18,$E373,$F$20,M$22,$H373,$F$19)</f>
        <v>241.27</v>
      </c>
      <c r="N373" s="36">
        <f>_xll.DBRW($E$12,$F$16,$F$17,$F$18,$E373,$F$20,N$22,$H373,$F$19)</f>
        <v>478.72</v>
      </c>
      <c r="O373" s="36">
        <f>_xll.DBRW($E$12,$F$16,$F$17,$F$18,$E373,$F$20,O$22,$H373,$F$19)</f>
        <v>-315</v>
      </c>
      <c r="P373" s="36">
        <f>_xll.DBRW($E$12,$F$16,$F$17,$F$18,$E373,$F$20,P$22,$H373,$F$19)</f>
        <v>0</v>
      </c>
      <c r="Q373" s="36">
        <f>_xll.DBRW($E$12,$F$16,$F$17,$F$18,$E373,$F$20,Q$22,$H373,$F$19)</f>
        <v>0</v>
      </c>
      <c r="R373" s="36">
        <f>_xll.DBRW($E$12,$F$16,$F$17,$F$18,$E373,$F$20,R$22,$H373,$F$19)</f>
        <v>0</v>
      </c>
      <c r="S373" s="36">
        <f>_xll.DBRW($E$12,$F$16,$F$17,$F$18,$E373,$F$20,S$22,$H373,$F$19)</f>
        <v>0</v>
      </c>
      <c r="T373" s="36">
        <f>_xll.DBRW($E$12,$F$16,$F$17,$F$18,$E373,$F$20,T$22,$H373,$F$19)</f>
        <v>0</v>
      </c>
      <c r="U373" s="36">
        <f>_xll.DBRW($E$12,$F$16,$F$17,$F$18,$E373,$F$20,U$22,$H373,$F$19)</f>
        <v>1332.6699999999998</v>
      </c>
    </row>
    <row r="374" spans="4:21" s="37" customFormat="1" ht="15" outlineLevel="1" thickBot="1" x14ac:dyDescent="0.35">
      <c r="D374" s="33" t="str">
        <f>IF(_xll.TM1RPTELISCONSOLIDATED($H$34,$H374),IF(_xll.TM1RPTELLEV($H$34,$H374)&lt;=5,_xll.TM1RPTELLEV($H$34,$H374),"Default"),"Leaf")</f>
        <v>Leaf</v>
      </c>
      <c r="E374" s="42" t="s">
        <v>679</v>
      </c>
      <c r="F374" s="34" t="str">
        <f>_xll.DBR($B$18,$H374,"Account_Type")</f>
        <v>NON LABOR</v>
      </c>
      <c r="G374" s="34" t="str">
        <f>_xll.DBR($B$18,$H374,"Description")</f>
        <v>Office/Computer Supplies &amp; Eqpt</v>
      </c>
      <c r="H374" s="43" t="s">
        <v>522</v>
      </c>
      <c r="I374" s="36">
        <f>_xll.DBRW($E$12,$F$16,$F$17,$F$18,$E374,$F$20,I$22,$H374,$F$19)</f>
        <v>0</v>
      </c>
      <c r="J374" s="36">
        <f>_xll.DBRW($E$12,$F$16,$F$17,$F$18,$E374,$F$20,J$22,$H374,$F$19)</f>
        <v>-5043.04</v>
      </c>
      <c r="K374" s="36">
        <f>_xll.DBRW($E$12,$F$16,$F$17,$F$18,$E374,$F$20,K$22,$H374,$F$19)</f>
        <v>5043.04</v>
      </c>
      <c r="L374" s="36">
        <f>_xll.DBRW($E$12,$F$16,$F$17,$F$18,$E374,$F$20,L$22,$H374,$F$19)</f>
        <v>0</v>
      </c>
      <c r="M374" s="36">
        <f>_xll.DBRW($E$12,$F$16,$F$17,$F$18,$E374,$F$20,M$22,$H374,$F$19)</f>
        <v>0</v>
      </c>
      <c r="N374" s="36">
        <f>_xll.DBRW($E$12,$F$16,$F$17,$F$18,$E374,$F$20,N$22,$H374,$F$19)</f>
        <v>3074.4</v>
      </c>
      <c r="O374" s="36">
        <f>_xll.DBRW($E$12,$F$16,$F$17,$F$18,$E374,$F$20,O$22,$H374,$F$19)</f>
        <v>0</v>
      </c>
      <c r="P374" s="36">
        <f>_xll.DBRW($E$12,$F$16,$F$17,$F$18,$E374,$F$20,P$22,$H374,$F$19)</f>
        <v>0</v>
      </c>
      <c r="Q374" s="36">
        <f>_xll.DBRW($E$12,$F$16,$F$17,$F$18,$E374,$F$20,Q$22,$H374,$F$19)</f>
        <v>0</v>
      </c>
      <c r="R374" s="36">
        <f>_xll.DBRW($E$12,$F$16,$F$17,$F$18,$E374,$F$20,R$22,$H374,$F$19)</f>
        <v>0</v>
      </c>
      <c r="S374" s="36">
        <f>_xll.DBRW($E$12,$F$16,$F$17,$F$18,$E374,$F$20,S$22,$H374,$F$19)</f>
        <v>0</v>
      </c>
      <c r="T374" s="36">
        <f>_xll.DBRW($E$12,$F$16,$F$17,$F$18,$E374,$F$20,T$22,$H374,$F$19)</f>
        <v>0</v>
      </c>
      <c r="U374" s="36">
        <f>_xll.DBRW($E$12,$F$16,$F$17,$F$18,$E374,$F$20,U$22,$H374,$F$19)</f>
        <v>3074.4</v>
      </c>
    </row>
    <row r="375" spans="4:21" s="37" customFormat="1" ht="15" outlineLevel="1" thickBot="1" x14ac:dyDescent="0.35">
      <c r="D375" s="33" t="str">
        <f>IF(_xll.TM1RPTELISCONSOLIDATED($H$34,$H375),IF(_xll.TM1RPTELLEV($H$34,$H375)&lt;=5,_xll.TM1RPTELLEV($H$34,$H375),"Default"),"Leaf")</f>
        <v>Leaf</v>
      </c>
      <c r="E375" s="42" t="s">
        <v>679</v>
      </c>
      <c r="F375" s="34" t="str">
        <f>_xll.DBR($B$18,$H375,"Account_Type")</f>
        <v>NON LABOR</v>
      </c>
      <c r="G375" s="34" t="str">
        <f>_xll.DBR($B$18,$H375,"Description")</f>
        <v>Office/Computer Supplies &amp; Eqpt</v>
      </c>
      <c r="H375" s="43" t="s">
        <v>523</v>
      </c>
      <c r="I375" s="36">
        <f>_xll.DBRW($E$12,$F$16,$F$17,$F$18,$E375,$F$20,I$22,$H375,$F$19)</f>
        <v>325.92</v>
      </c>
      <c r="J375" s="36">
        <f>_xll.DBRW($E$12,$F$16,$F$17,$F$18,$E375,$F$20,J$22,$H375,$F$19)</f>
        <v>-1131.73</v>
      </c>
      <c r="K375" s="36">
        <f>_xll.DBRW($E$12,$F$16,$F$17,$F$18,$E375,$F$20,K$22,$H375,$F$19)</f>
        <v>-98.16</v>
      </c>
      <c r="L375" s="36">
        <f>_xll.DBRW($E$12,$F$16,$F$17,$F$18,$E375,$F$20,L$22,$H375,$F$19)</f>
        <v>740.87</v>
      </c>
      <c r="M375" s="36">
        <f>_xll.DBRW($E$12,$F$16,$F$17,$F$18,$E375,$F$20,M$22,$H375,$F$19)</f>
        <v>413.78</v>
      </c>
      <c r="N375" s="36">
        <f>_xll.DBRW($E$12,$F$16,$F$17,$F$18,$E375,$F$20,N$22,$H375,$F$19)</f>
        <v>-111.73</v>
      </c>
      <c r="O375" s="36">
        <f>_xll.DBRW($E$12,$F$16,$F$17,$F$18,$E375,$F$20,O$22,$H375,$F$19)</f>
        <v>0</v>
      </c>
      <c r="P375" s="36">
        <f>_xll.DBRW($E$12,$F$16,$F$17,$F$18,$E375,$F$20,P$22,$H375,$F$19)</f>
        <v>0</v>
      </c>
      <c r="Q375" s="36">
        <f>_xll.DBRW($E$12,$F$16,$F$17,$F$18,$E375,$F$20,Q$22,$H375,$F$19)</f>
        <v>0</v>
      </c>
      <c r="R375" s="36">
        <f>_xll.DBRW($E$12,$F$16,$F$17,$F$18,$E375,$F$20,R$22,$H375,$F$19)</f>
        <v>0</v>
      </c>
      <c r="S375" s="36">
        <f>_xll.DBRW($E$12,$F$16,$F$17,$F$18,$E375,$F$20,S$22,$H375,$F$19)</f>
        <v>0</v>
      </c>
      <c r="T375" s="36">
        <f>_xll.DBRW($E$12,$F$16,$F$17,$F$18,$E375,$F$20,T$22,$H375,$F$19)</f>
        <v>0</v>
      </c>
      <c r="U375" s="36">
        <f>_xll.DBRW($E$12,$F$16,$F$17,$F$18,$E375,$F$20,U$22,$H375,$F$19)</f>
        <v>138.95000000000005</v>
      </c>
    </row>
    <row r="376" spans="4:21" s="37" customFormat="1" ht="15" outlineLevel="1" thickBot="1" x14ac:dyDescent="0.35">
      <c r="D376" s="33" t="str">
        <f>IF(_xll.TM1RPTELISCONSOLIDATED($H$34,$H376),IF(_xll.TM1RPTELLEV($H$34,$H376)&lt;=5,_xll.TM1RPTELLEV($H$34,$H376),"Default"),"Leaf")</f>
        <v>Leaf</v>
      </c>
      <c r="E376" s="42" t="s">
        <v>679</v>
      </c>
      <c r="F376" s="34" t="str">
        <f>_xll.DBR($B$18,$H376,"Account_Type")</f>
        <v>NON LABOR</v>
      </c>
      <c r="G376" s="34" t="str">
        <f>_xll.DBR($B$18,$H376,"Description")</f>
        <v>Office/Computer Supplies &amp; Eqpt</v>
      </c>
      <c r="H376" s="43" t="s">
        <v>524</v>
      </c>
      <c r="I376" s="36">
        <f>_xll.DBRW($E$12,$F$16,$F$17,$F$18,$E376,$F$20,I$22,$H376,$F$19)</f>
        <v>-279.16000000000003</v>
      </c>
      <c r="J376" s="36">
        <f>_xll.DBRW($E$12,$F$16,$F$17,$F$18,$E376,$F$20,J$22,$H376,$F$19)</f>
        <v>704.34</v>
      </c>
      <c r="K376" s="36">
        <f>_xll.DBRW($E$12,$F$16,$F$17,$F$18,$E376,$F$20,K$22,$H376,$F$19)</f>
        <v>-559.01</v>
      </c>
      <c r="L376" s="36">
        <f>_xll.DBRW($E$12,$F$16,$F$17,$F$18,$E376,$F$20,L$22,$H376,$F$19)</f>
        <v>4057.33</v>
      </c>
      <c r="M376" s="36">
        <f>_xll.DBRW($E$12,$F$16,$F$17,$F$18,$E376,$F$20,M$22,$H376,$F$19)</f>
        <v>-1359.53</v>
      </c>
      <c r="N376" s="36">
        <f>_xll.DBRW($E$12,$F$16,$F$17,$F$18,$E376,$F$20,N$22,$H376,$F$19)</f>
        <v>1873.1</v>
      </c>
      <c r="O376" s="36">
        <f>_xll.DBRW($E$12,$F$16,$F$17,$F$18,$E376,$F$20,O$22,$H376,$F$19)</f>
        <v>-2268.04</v>
      </c>
      <c r="P376" s="36">
        <f>_xll.DBRW($E$12,$F$16,$F$17,$F$18,$E376,$F$20,P$22,$H376,$F$19)</f>
        <v>0</v>
      </c>
      <c r="Q376" s="36">
        <f>_xll.DBRW($E$12,$F$16,$F$17,$F$18,$E376,$F$20,Q$22,$H376,$F$19)</f>
        <v>0</v>
      </c>
      <c r="R376" s="36">
        <f>_xll.DBRW($E$12,$F$16,$F$17,$F$18,$E376,$F$20,R$22,$H376,$F$19)</f>
        <v>0</v>
      </c>
      <c r="S376" s="36">
        <f>_xll.DBRW($E$12,$F$16,$F$17,$F$18,$E376,$F$20,S$22,$H376,$F$19)</f>
        <v>0</v>
      </c>
      <c r="T376" s="36">
        <f>_xll.DBRW($E$12,$F$16,$F$17,$F$18,$E376,$F$20,T$22,$H376,$F$19)</f>
        <v>0</v>
      </c>
      <c r="U376" s="36">
        <f>_xll.DBRW($E$12,$F$16,$F$17,$F$18,$E376,$F$20,U$22,$H376,$F$19)</f>
        <v>2169.0299999999997</v>
      </c>
    </row>
    <row r="377" spans="4:21" s="37" customFormat="1" ht="15" outlineLevel="1" thickBot="1" x14ac:dyDescent="0.35">
      <c r="D377" s="33" t="str">
        <f>IF(_xll.TM1RPTELISCONSOLIDATED($H$34,$H377),IF(_xll.TM1RPTELLEV($H$34,$H377)&lt;=5,_xll.TM1RPTELLEV($H$34,$H377),"Default"),"Leaf")</f>
        <v>Leaf</v>
      </c>
      <c r="E377" s="42" t="s">
        <v>679</v>
      </c>
      <c r="F377" s="34" t="str">
        <f>_xll.DBR($B$18,$H377,"Account_Type")</f>
        <v>NON LABOR</v>
      </c>
      <c r="G377" s="34" t="str">
        <f>_xll.DBR($B$18,$H377,"Description")</f>
        <v>Office/Computer Supplies &amp; Eqpt</v>
      </c>
      <c r="H377" s="43" t="s">
        <v>705</v>
      </c>
      <c r="I377" s="36">
        <f>_xll.DBRW($E$12,$F$16,$F$17,$F$18,$E377,$F$20,I$22,$H377,$F$19)</f>
        <v>0</v>
      </c>
      <c r="J377" s="36">
        <f>_xll.DBRW($E$12,$F$16,$F$17,$F$18,$E377,$F$20,J$22,$H377,$F$19)</f>
        <v>0</v>
      </c>
      <c r="K377" s="36">
        <f>_xll.DBRW($E$12,$F$16,$F$17,$F$18,$E377,$F$20,K$22,$H377,$F$19)</f>
        <v>0</v>
      </c>
      <c r="L377" s="36">
        <f>_xll.DBRW($E$12,$F$16,$F$17,$F$18,$E377,$F$20,L$22,$H377,$F$19)</f>
        <v>0</v>
      </c>
      <c r="M377" s="36">
        <f>_xll.DBRW($E$12,$F$16,$F$17,$F$18,$E377,$F$20,M$22,$H377,$F$19)</f>
        <v>0</v>
      </c>
      <c r="N377" s="36">
        <f>_xll.DBRW($E$12,$F$16,$F$17,$F$18,$E377,$F$20,N$22,$H377,$F$19)</f>
        <v>20301.599999999999</v>
      </c>
      <c r="O377" s="36">
        <f>_xll.DBRW($E$12,$F$16,$F$17,$F$18,$E377,$F$20,O$22,$H377,$F$19)</f>
        <v>-20301.599999999999</v>
      </c>
      <c r="P377" s="36">
        <f>_xll.DBRW($E$12,$F$16,$F$17,$F$18,$E377,$F$20,P$22,$H377,$F$19)</f>
        <v>0</v>
      </c>
      <c r="Q377" s="36">
        <f>_xll.DBRW($E$12,$F$16,$F$17,$F$18,$E377,$F$20,Q$22,$H377,$F$19)</f>
        <v>0</v>
      </c>
      <c r="R377" s="36">
        <f>_xll.DBRW($E$12,$F$16,$F$17,$F$18,$E377,$F$20,R$22,$H377,$F$19)</f>
        <v>0</v>
      </c>
      <c r="S377" s="36">
        <f>_xll.DBRW($E$12,$F$16,$F$17,$F$18,$E377,$F$20,S$22,$H377,$F$19)</f>
        <v>0</v>
      </c>
      <c r="T377" s="36">
        <f>_xll.DBRW($E$12,$F$16,$F$17,$F$18,$E377,$F$20,T$22,$H377,$F$19)</f>
        <v>0</v>
      </c>
      <c r="U377" s="36">
        <f>_xll.DBRW($E$12,$F$16,$F$17,$F$18,$E377,$F$20,U$22,$H377,$F$19)</f>
        <v>0</v>
      </c>
    </row>
    <row r="378" spans="4:21" s="37" customFormat="1" ht="15" outlineLevel="1" thickBot="1" x14ac:dyDescent="0.35">
      <c r="D378" s="33" t="str">
        <f>IF(_xll.TM1RPTELISCONSOLIDATED($H$34,$H378),IF(_xll.TM1RPTELLEV($H$34,$H378)&lt;=5,_xll.TM1RPTELLEV($H$34,$H378),"Default"),"Leaf")</f>
        <v>Leaf</v>
      </c>
      <c r="E378" s="42" t="s">
        <v>679</v>
      </c>
      <c r="F378" s="34" t="str">
        <f>_xll.DBR($B$18,$H378,"Account_Type")</f>
        <v>NON LABOR</v>
      </c>
      <c r="G378" s="34" t="str">
        <f>_xll.DBR($B$18,$H378,"Description")</f>
        <v>Office/Computer Supplies &amp; Eqpt</v>
      </c>
      <c r="H378" s="43" t="s">
        <v>525</v>
      </c>
      <c r="I378" s="36">
        <f>_xll.DBRW($E$12,$F$16,$F$17,$F$18,$E378,$F$20,I$22,$H378,$F$19)</f>
        <v>37399.29</v>
      </c>
      <c r="J378" s="36">
        <f>_xll.DBRW($E$12,$F$16,$F$17,$F$18,$E378,$F$20,J$22,$H378,$F$19)</f>
        <v>42321.82</v>
      </c>
      <c r="K378" s="36">
        <f>_xll.DBRW($E$12,$F$16,$F$17,$F$18,$E378,$F$20,K$22,$H378,$F$19)</f>
        <v>37378.44</v>
      </c>
      <c r="L378" s="36">
        <f>_xll.DBRW($E$12,$F$16,$F$17,$F$18,$E378,$F$20,L$22,$H378,$F$19)</f>
        <v>37748.239999999998</v>
      </c>
      <c r="M378" s="36">
        <f>_xll.DBRW($E$12,$F$16,$F$17,$F$18,$E378,$F$20,M$22,$H378,$F$19)</f>
        <v>37602.550000000003</v>
      </c>
      <c r="N378" s="36">
        <f>_xll.DBRW($E$12,$F$16,$F$17,$F$18,$E378,$F$20,N$22,$H378,$F$19)</f>
        <v>35227.86</v>
      </c>
      <c r="O378" s="36">
        <f>_xll.DBRW($E$12,$F$16,$F$17,$F$18,$E378,$F$20,O$22,$H378,$F$19)</f>
        <v>-35227.86</v>
      </c>
      <c r="P378" s="36">
        <f>_xll.DBRW($E$12,$F$16,$F$17,$F$18,$E378,$F$20,P$22,$H378,$F$19)</f>
        <v>0</v>
      </c>
      <c r="Q378" s="36">
        <f>_xll.DBRW($E$12,$F$16,$F$17,$F$18,$E378,$F$20,Q$22,$H378,$F$19)</f>
        <v>0</v>
      </c>
      <c r="R378" s="36">
        <f>_xll.DBRW($E$12,$F$16,$F$17,$F$18,$E378,$F$20,R$22,$H378,$F$19)</f>
        <v>0</v>
      </c>
      <c r="S378" s="36">
        <f>_xll.DBRW($E$12,$F$16,$F$17,$F$18,$E378,$F$20,S$22,$H378,$F$19)</f>
        <v>0</v>
      </c>
      <c r="T378" s="36">
        <f>_xll.DBRW($E$12,$F$16,$F$17,$F$18,$E378,$F$20,T$22,$H378,$F$19)</f>
        <v>0</v>
      </c>
      <c r="U378" s="36">
        <f>_xll.DBRW($E$12,$F$16,$F$17,$F$18,$E378,$F$20,U$22,$H378,$F$19)</f>
        <v>192450.34000000003</v>
      </c>
    </row>
    <row r="379" spans="4:21" s="37" customFormat="1" ht="15" outlineLevel="1" thickBot="1" x14ac:dyDescent="0.35">
      <c r="D379" s="33" t="str">
        <f>IF(_xll.TM1RPTELISCONSOLIDATED($H$34,$H379),IF(_xll.TM1RPTELLEV($H$34,$H379)&lt;=5,_xll.TM1RPTELLEV($H$34,$H379),"Default"),"Leaf")</f>
        <v>Leaf</v>
      </c>
      <c r="E379" s="42" t="s">
        <v>679</v>
      </c>
      <c r="F379" s="34" t="str">
        <f>_xll.DBR($B$18,$H379,"Account_Type")</f>
        <v>NON LABOR</v>
      </c>
      <c r="G379" s="34" t="str">
        <f>_xll.DBR($B$18,$H379,"Description")</f>
        <v>Postage &amp; Courier Fees</v>
      </c>
      <c r="H379" s="43" t="s">
        <v>545</v>
      </c>
      <c r="I379" s="36">
        <f>_xll.DBRW($E$12,$F$16,$F$17,$F$18,$E379,$F$20,I$22,$H379,$F$19)</f>
        <v>31.72</v>
      </c>
      <c r="J379" s="36">
        <f>_xll.DBRW($E$12,$F$16,$F$17,$F$18,$E379,$F$20,J$22,$H379,$F$19)</f>
        <v>23.67</v>
      </c>
      <c r="K379" s="36">
        <f>_xll.DBRW($E$12,$F$16,$F$17,$F$18,$E379,$F$20,K$22,$H379,$F$19)</f>
        <v>0</v>
      </c>
      <c r="L379" s="36">
        <f>_xll.DBRW($E$12,$F$16,$F$17,$F$18,$E379,$F$20,L$22,$H379,$F$19)</f>
        <v>38.61</v>
      </c>
      <c r="M379" s="36">
        <f>_xll.DBRW($E$12,$F$16,$F$17,$F$18,$E379,$F$20,M$22,$H379,$F$19)</f>
        <v>0</v>
      </c>
      <c r="N379" s="36">
        <f>_xll.DBRW($E$12,$F$16,$F$17,$F$18,$E379,$F$20,N$22,$H379,$F$19)</f>
        <v>0</v>
      </c>
      <c r="O379" s="36">
        <f>_xll.DBRW($E$12,$F$16,$F$17,$F$18,$E379,$F$20,O$22,$H379,$F$19)</f>
        <v>0</v>
      </c>
      <c r="P379" s="36">
        <f>_xll.DBRW($E$12,$F$16,$F$17,$F$18,$E379,$F$20,P$22,$H379,$F$19)</f>
        <v>0</v>
      </c>
      <c r="Q379" s="36">
        <f>_xll.DBRW($E$12,$F$16,$F$17,$F$18,$E379,$F$20,Q$22,$H379,$F$19)</f>
        <v>0</v>
      </c>
      <c r="R379" s="36">
        <f>_xll.DBRW($E$12,$F$16,$F$17,$F$18,$E379,$F$20,R$22,$H379,$F$19)</f>
        <v>0</v>
      </c>
      <c r="S379" s="36">
        <f>_xll.DBRW($E$12,$F$16,$F$17,$F$18,$E379,$F$20,S$22,$H379,$F$19)</f>
        <v>0</v>
      </c>
      <c r="T379" s="36">
        <f>_xll.DBRW($E$12,$F$16,$F$17,$F$18,$E379,$F$20,T$22,$H379,$F$19)</f>
        <v>0</v>
      </c>
      <c r="U379" s="36">
        <f>_xll.DBRW($E$12,$F$16,$F$17,$F$18,$E379,$F$20,U$22,$H379,$F$19)</f>
        <v>94</v>
      </c>
    </row>
    <row r="380" spans="4:21" s="37" customFormat="1" ht="15" outlineLevel="1" thickBot="1" x14ac:dyDescent="0.35">
      <c r="D380" s="33" t="str">
        <f>IF(_xll.TM1RPTELISCONSOLIDATED($H$34,$H380),IF(_xll.TM1RPTELLEV($H$34,$H380)&lt;=5,_xll.TM1RPTELLEV($H$34,$H380),"Default"),"Leaf")</f>
        <v>Leaf</v>
      </c>
      <c r="E380" s="42" t="s">
        <v>679</v>
      </c>
      <c r="F380" s="34" t="str">
        <f>_xll.DBR($B$18,$H380,"Account_Type")</f>
        <v>NON LABOR</v>
      </c>
      <c r="G380" s="34" t="str">
        <f>_xll.DBR($B$18,$H380,"Description")</f>
        <v>Office Rent</v>
      </c>
      <c r="H380" s="43" t="s">
        <v>579</v>
      </c>
      <c r="I380" s="36">
        <f>_xll.DBRW($E$12,$F$16,$F$17,$F$18,$E380,$F$20,I$22,$H380,$F$19)</f>
        <v>0</v>
      </c>
      <c r="J380" s="36">
        <f>_xll.DBRW($E$12,$F$16,$F$17,$F$18,$E380,$F$20,J$22,$H380,$F$19)</f>
        <v>7368.54</v>
      </c>
      <c r="K380" s="36">
        <f>_xll.DBRW($E$12,$F$16,$F$17,$F$18,$E380,$F$20,K$22,$H380,$F$19)</f>
        <v>0</v>
      </c>
      <c r="L380" s="36">
        <f>_xll.DBRW($E$12,$F$16,$F$17,$F$18,$E380,$F$20,L$22,$H380,$F$19)</f>
        <v>2456.1799999999998</v>
      </c>
      <c r="M380" s="36">
        <f>_xll.DBRW($E$12,$F$16,$F$17,$F$18,$E380,$F$20,M$22,$H380,$F$19)</f>
        <v>2456.1799999999998</v>
      </c>
      <c r="N380" s="36">
        <f>_xll.DBRW($E$12,$F$16,$F$17,$F$18,$E380,$F$20,N$22,$H380,$F$19)</f>
        <v>2456.1799999999998</v>
      </c>
      <c r="O380" s="36">
        <f>_xll.DBRW($E$12,$F$16,$F$17,$F$18,$E380,$F$20,O$22,$H380,$F$19)</f>
        <v>0</v>
      </c>
      <c r="P380" s="36">
        <f>_xll.DBRW($E$12,$F$16,$F$17,$F$18,$E380,$F$20,P$22,$H380,$F$19)</f>
        <v>0</v>
      </c>
      <c r="Q380" s="36">
        <f>_xll.DBRW($E$12,$F$16,$F$17,$F$18,$E380,$F$20,Q$22,$H380,$F$19)</f>
        <v>0</v>
      </c>
      <c r="R380" s="36">
        <f>_xll.DBRW($E$12,$F$16,$F$17,$F$18,$E380,$F$20,R$22,$H380,$F$19)</f>
        <v>0</v>
      </c>
      <c r="S380" s="36">
        <f>_xll.DBRW($E$12,$F$16,$F$17,$F$18,$E380,$F$20,S$22,$H380,$F$19)</f>
        <v>0</v>
      </c>
      <c r="T380" s="36">
        <f>_xll.DBRW($E$12,$F$16,$F$17,$F$18,$E380,$F$20,T$22,$H380,$F$19)</f>
        <v>0</v>
      </c>
      <c r="U380" s="36">
        <f>_xll.DBRW($E$12,$F$16,$F$17,$F$18,$E380,$F$20,U$22,$H380,$F$19)</f>
        <v>14737.08</v>
      </c>
    </row>
    <row r="381" spans="4:21" s="37" customFormat="1" ht="15" outlineLevel="1" thickBot="1" x14ac:dyDescent="0.35">
      <c r="D381" s="33" t="str">
        <f>IF(_xll.TM1RPTELISCONSOLIDATED($H$34,$H381),IF(_xll.TM1RPTELLEV($H$34,$H381)&lt;=5,_xll.TM1RPTELLEV($H$34,$H381),"Default"),"Leaf")</f>
        <v>Leaf</v>
      </c>
      <c r="E381" s="42" t="s">
        <v>679</v>
      </c>
      <c r="F381" s="34" t="str">
        <f>_xll.DBR($B$18,$H381,"Account_Type")</f>
        <v>NON LABOR</v>
      </c>
      <c r="G381" s="34" t="str">
        <f>_xll.DBR($B$18,$H381,"Description")</f>
        <v>Employee Leased Vehicles</v>
      </c>
      <c r="H381" s="43" t="s">
        <v>627</v>
      </c>
      <c r="I381" s="36">
        <f>_xll.DBRW($E$12,$F$16,$F$17,$F$18,$E381,$F$20,I$22,$H381,$F$19)</f>
        <v>1150</v>
      </c>
      <c r="J381" s="36">
        <f>_xll.DBRW($E$12,$F$16,$F$17,$F$18,$E381,$F$20,J$22,$H381,$F$19)</f>
        <v>2050</v>
      </c>
      <c r="K381" s="36">
        <f>_xll.DBRW($E$12,$F$16,$F$17,$F$18,$E381,$F$20,K$22,$H381,$F$19)</f>
        <v>2050</v>
      </c>
      <c r="L381" s="36">
        <f>_xll.DBRW($E$12,$F$16,$F$17,$F$18,$E381,$F$20,L$22,$H381,$F$19)</f>
        <v>2050</v>
      </c>
      <c r="M381" s="36">
        <f>_xll.DBRW($E$12,$F$16,$F$17,$F$18,$E381,$F$20,M$22,$H381,$F$19)</f>
        <v>2050</v>
      </c>
      <c r="N381" s="36">
        <f>_xll.DBRW($E$12,$F$16,$F$17,$F$18,$E381,$F$20,N$22,$H381,$F$19)</f>
        <v>2050</v>
      </c>
      <c r="O381" s="36">
        <f>_xll.DBRW($E$12,$F$16,$F$17,$F$18,$E381,$F$20,O$22,$H381,$F$19)</f>
        <v>2050</v>
      </c>
      <c r="P381" s="36">
        <f>_xll.DBRW($E$12,$F$16,$F$17,$F$18,$E381,$F$20,P$22,$H381,$F$19)</f>
        <v>0</v>
      </c>
      <c r="Q381" s="36">
        <f>_xll.DBRW($E$12,$F$16,$F$17,$F$18,$E381,$F$20,Q$22,$H381,$F$19)</f>
        <v>0</v>
      </c>
      <c r="R381" s="36">
        <f>_xll.DBRW($E$12,$F$16,$F$17,$F$18,$E381,$F$20,R$22,$H381,$F$19)</f>
        <v>0</v>
      </c>
      <c r="S381" s="36">
        <f>_xll.DBRW($E$12,$F$16,$F$17,$F$18,$E381,$F$20,S$22,$H381,$F$19)</f>
        <v>0</v>
      </c>
      <c r="T381" s="36">
        <f>_xll.DBRW($E$12,$F$16,$F$17,$F$18,$E381,$F$20,T$22,$H381,$F$19)</f>
        <v>0</v>
      </c>
      <c r="U381" s="36">
        <f>_xll.DBRW($E$12,$F$16,$F$17,$F$18,$E381,$F$20,U$22,$H381,$F$19)</f>
        <v>13450</v>
      </c>
    </row>
    <row r="382" spans="4:21" s="37" customFormat="1" ht="15" outlineLevel="1" thickBot="1" x14ac:dyDescent="0.35">
      <c r="D382" s="33" t="str">
        <f>IF(_xll.TM1RPTELISCONSOLIDATED($H$34,$H382),IF(_xll.TM1RPTELLEV($H$34,$H382)&lt;=5,_xll.TM1RPTELLEV($H$34,$H382),"Default"),"Leaf")</f>
        <v>Leaf</v>
      </c>
      <c r="E382" s="42" t="s">
        <v>679</v>
      </c>
      <c r="F382" s="34" t="str">
        <f>_xll.DBR($B$18,$H382,"Account_Type")</f>
        <v>NON LABOR</v>
      </c>
      <c r="G382" s="34" t="str">
        <f>_xll.DBR($B$18,$H382,"Description")</f>
        <v>Miscellaneous Expense</v>
      </c>
      <c r="H382" s="43" t="s">
        <v>661</v>
      </c>
      <c r="I382" s="36">
        <f>_xll.DBRW($E$12,$F$16,$F$17,$F$18,$E382,$F$20,I$22,$H382,$F$19)</f>
        <v>0</v>
      </c>
      <c r="J382" s="36">
        <f>_xll.DBRW($E$12,$F$16,$F$17,$F$18,$E382,$F$20,J$22,$H382,$F$19)</f>
        <v>0</v>
      </c>
      <c r="K382" s="36">
        <f>_xll.DBRW($E$12,$F$16,$F$17,$F$18,$E382,$F$20,K$22,$H382,$F$19)</f>
        <v>0</v>
      </c>
      <c r="L382" s="36">
        <f>_xll.DBRW($E$12,$F$16,$F$17,$F$18,$E382,$F$20,L$22,$H382,$F$19)</f>
        <v>0</v>
      </c>
      <c r="M382" s="36">
        <f>_xll.DBRW($E$12,$F$16,$F$17,$F$18,$E382,$F$20,M$22,$H382,$F$19)</f>
        <v>0</v>
      </c>
      <c r="N382" s="36">
        <f>_xll.DBRW($E$12,$F$16,$F$17,$F$18,$E382,$F$20,N$22,$H382,$F$19)</f>
        <v>4.8</v>
      </c>
      <c r="O382" s="36">
        <f>_xll.DBRW($E$12,$F$16,$F$17,$F$18,$E382,$F$20,O$22,$H382,$F$19)</f>
        <v>0</v>
      </c>
      <c r="P382" s="36">
        <f>_xll.DBRW($E$12,$F$16,$F$17,$F$18,$E382,$F$20,P$22,$H382,$F$19)</f>
        <v>0</v>
      </c>
      <c r="Q382" s="36">
        <f>_xll.DBRW($E$12,$F$16,$F$17,$F$18,$E382,$F$20,Q$22,$H382,$F$19)</f>
        <v>0</v>
      </c>
      <c r="R382" s="36">
        <f>_xll.DBRW($E$12,$F$16,$F$17,$F$18,$E382,$F$20,R$22,$H382,$F$19)</f>
        <v>0</v>
      </c>
      <c r="S382" s="36">
        <f>_xll.DBRW($E$12,$F$16,$F$17,$F$18,$E382,$F$20,S$22,$H382,$F$19)</f>
        <v>0</v>
      </c>
      <c r="T382" s="36">
        <f>_xll.DBRW($E$12,$F$16,$F$17,$F$18,$E382,$F$20,T$22,$H382,$F$19)</f>
        <v>0</v>
      </c>
      <c r="U382" s="36">
        <f>_xll.DBRW($E$12,$F$16,$F$17,$F$18,$E382,$F$20,U$22,$H382,$F$19)</f>
        <v>4.8</v>
      </c>
    </row>
    <row r="383" spans="4:21" s="37" customFormat="1" ht="15" outlineLevel="1" thickBot="1" x14ac:dyDescent="0.35">
      <c r="D383" s="33" t="str">
        <f>IF(_xll.TM1RPTELISCONSOLIDATED($H$34,$H383),IF(_xll.TM1RPTELLEV($H$34,$H383)&lt;=5,_xll.TM1RPTELLEV($H$34,$H383),"Default"),"Leaf")</f>
        <v>Leaf</v>
      </c>
      <c r="E383" s="42" t="s">
        <v>680</v>
      </c>
      <c r="F383" s="34" t="str">
        <f>_xll.DBR($B$18,$H383,"Account_Type")</f>
        <v>NON LABOR</v>
      </c>
      <c r="G383" s="34" t="str">
        <f>_xll.DBR($B$18,$H383,"Description")</f>
        <v>Telecommunications / Internet</v>
      </c>
      <c r="H383" s="43" t="s">
        <v>503</v>
      </c>
      <c r="I383" s="36">
        <f>_xll.DBRW($E$12,$F$16,$F$17,$F$18,$E383,$F$20,I$22,$H383,$F$19)</f>
        <v>5874.81</v>
      </c>
      <c r="J383" s="36">
        <f>_xll.DBRW($E$12,$F$16,$F$17,$F$18,$E383,$F$20,J$22,$H383,$F$19)</f>
        <v>3406.47</v>
      </c>
      <c r="K383" s="36">
        <f>_xll.DBRW($E$12,$F$16,$F$17,$F$18,$E383,$F$20,K$22,$H383,$F$19)</f>
        <v>5167.8</v>
      </c>
      <c r="L383" s="36">
        <f>_xll.DBRW($E$12,$F$16,$F$17,$F$18,$E383,$F$20,L$22,$H383,$F$19)</f>
        <v>3380.01</v>
      </c>
      <c r="M383" s="36">
        <f>_xll.DBRW($E$12,$F$16,$F$17,$F$18,$E383,$F$20,M$22,$H383,$F$19)</f>
        <v>2813.19</v>
      </c>
      <c r="N383" s="36">
        <f>_xll.DBRW($E$12,$F$16,$F$17,$F$18,$E383,$F$20,N$22,$H383,$F$19)</f>
        <v>1773.59</v>
      </c>
      <c r="O383" s="36">
        <f>_xll.DBRW($E$12,$F$16,$F$17,$F$18,$E383,$F$20,O$22,$H383,$F$19)</f>
        <v>0</v>
      </c>
      <c r="P383" s="36">
        <f>_xll.DBRW($E$12,$F$16,$F$17,$F$18,$E383,$F$20,P$22,$H383,$F$19)</f>
        <v>0</v>
      </c>
      <c r="Q383" s="36">
        <f>_xll.DBRW($E$12,$F$16,$F$17,$F$18,$E383,$F$20,Q$22,$H383,$F$19)</f>
        <v>0</v>
      </c>
      <c r="R383" s="36">
        <f>_xll.DBRW($E$12,$F$16,$F$17,$F$18,$E383,$F$20,R$22,$H383,$F$19)</f>
        <v>0</v>
      </c>
      <c r="S383" s="36">
        <f>_xll.DBRW($E$12,$F$16,$F$17,$F$18,$E383,$F$20,S$22,$H383,$F$19)</f>
        <v>0</v>
      </c>
      <c r="T383" s="36">
        <f>_xll.DBRW($E$12,$F$16,$F$17,$F$18,$E383,$F$20,T$22,$H383,$F$19)</f>
        <v>0</v>
      </c>
      <c r="U383" s="36">
        <f>_xll.DBRW($E$12,$F$16,$F$17,$F$18,$E383,$F$20,U$22,$H383,$F$19)</f>
        <v>22415.870000000003</v>
      </c>
    </row>
    <row r="384" spans="4:21" s="37" customFormat="1" ht="15" outlineLevel="1" thickBot="1" x14ac:dyDescent="0.35">
      <c r="D384" s="33" t="str">
        <f>IF(_xll.TM1RPTELISCONSOLIDATED($H$34,$H384),IF(_xll.TM1RPTELLEV($H$34,$H384)&lt;=5,_xll.TM1RPTELLEV($H$34,$H384),"Default"),"Leaf")</f>
        <v>Leaf</v>
      </c>
      <c r="E384" s="42" t="s">
        <v>680</v>
      </c>
      <c r="F384" s="34" t="str">
        <f>_xll.DBR($B$18,$H384,"Account_Type")</f>
        <v>NON LABOR</v>
      </c>
      <c r="G384" s="34" t="str">
        <f>_xll.DBR($B$18,$H384,"Description")</f>
        <v>Office/Computer Supplies &amp; Eqpt</v>
      </c>
      <c r="H384" s="43" t="s">
        <v>530</v>
      </c>
      <c r="I384" s="36">
        <f>_xll.DBRW($E$12,$F$16,$F$17,$F$18,$E384,$F$20,I$22,$H384,$F$19)</f>
        <v>81.38</v>
      </c>
      <c r="J384" s="36">
        <f>_xll.DBRW($E$12,$F$16,$F$17,$F$18,$E384,$F$20,J$22,$H384,$F$19)</f>
        <v>0</v>
      </c>
      <c r="K384" s="36">
        <f>_xll.DBRW($E$12,$F$16,$F$17,$F$18,$E384,$F$20,K$22,$H384,$F$19)</f>
        <v>0</v>
      </c>
      <c r="L384" s="36">
        <f>_xll.DBRW($E$12,$F$16,$F$17,$F$18,$E384,$F$20,L$22,$H384,$F$19)</f>
        <v>0</v>
      </c>
      <c r="M384" s="36">
        <f>_xll.DBRW($E$12,$F$16,$F$17,$F$18,$E384,$F$20,M$22,$H384,$F$19)</f>
        <v>0</v>
      </c>
      <c r="N384" s="36">
        <f>_xll.DBRW($E$12,$F$16,$F$17,$F$18,$E384,$F$20,N$22,$H384,$F$19)</f>
        <v>0</v>
      </c>
      <c r="O384" s="36">
        <f>_xll.DBRW($E$12,$F$16,$F$17,$F$18,$E384,$F$20,O$22,$H384,$F$19)</f>
        <v>0</v>
      </c>
      <c r="P384" s="36">
        <f>_xll.DBRW($E$12,$F$16,$F$17,$F$18,$E384,$F$20,P$22,$H384,$F$19)</f>
        <v>0</v>
      </c>
      <c r="Q384" s="36">
        <f>_xll.DBRW($E$12,$F$16,$F$17,$F$18,$E384,$F$20,Q$22,$H384,$F$19)</f>
        <v>0</v>
      </c>
      <c r="R384" s="36">
        <f>_xll.DBRW($E$12,$F$16,$F$17,$F$18,$E384,$F$20,R$22,$H384,$F$19)</f>
        <v>0</v>
      </c>
      <c r="S384" s="36">
        <f>_xll.DBRW($E$12,$F$16,$F$17,$F$18,$E384,$F$20,S$22,$H384,$F$19)</f>
        <v>0</v>
      </c>
      <c r="T384" s="36">
        <f>_xll.DBRW($E$12,$F$16,$F$17,$F$18,$E384,$F$20,T$22,$H384,$F$19)</f>
        <v>0</v>
      </c>
      <c r="U384" s="36">
        <f>_xll.DBRW($E$12,$F$16,$F$17,$F$18,$E384,$F$20,U$22,$H384,$F$19)</f>
        <v>81.38</v>
      </c>
    </row>
    <row r="385" spans="4:21" s="37" customFormat="1" ht="15" outlineLevel="1" thickBot="1" x14ac:dyDescent="0.35">
      <c r="D385" s="33" t="str">
        <f>IF(_xll.TM1RPTELISCONSOLIDATED($H$34,$H385),IF(_xll.TM1RPTELLEV($H$34,$H385)&lt;=5,_xll.TM1RPTELLEV($H$34,$H385),"Default"),"Leaf")</f>
        <v>Leaf</v>
      </c>
      <c r="E385" s="42" t="s">
        <v>680</v>
      </c>
      <c r="F385" s="34" t="str">
        <f>_xll.DBR($B$18,$H385,"Account_Type")</f>
        <v>NON LABOR</v>
      </c>
      <c r="G385" s="34" t="str">
        <f>_xll.DBR($B$18,$H385,"Description")</f>
        <v>Postage &amp; Courier Fees</v>
      </c>
      <c r="H385" s="43" t="s">
        <v>549</v>
      </c>
      <c r="I385" s="36">
        <f>_xll.DBRW($E$12,$F$16,$F$17,$F$18,$E385,$F$20,I$22,$H385,$F$19)</f>
        <v>17.88</v>
      </c>
      <c r="J385" s="36">
        <f>_xll.DBRW($E$12,$F$16,$F$17,$F$18,$E385,$F$20,J$22,$H385,$F$19)</f>
        <v>36.47</v>
      </c>
      <c r="K385" s="36">
        <f>_xll.DBRW($E$12,$F$16,$F$17,$F$18,$E385,$F$20,K$22,$H385,$F$19)</f>
        <v>104.92</v>
      </c>
      <c r="L385" s="36">
        <f>_xll.DBRW($E$12,$F$16,$F$17,$F$18,$E385,$F$20,L$22,$H385,$F$19)</f>
        <v>84.36</v>
      </c>
      <c r="M385" s="36">
        <f>_xll.DBRW($E$12,$F$16,$F$17,$F$18,$E385,$F$20,M$22,$H385,$F$19)</f>
        <v>56.83</v>
      </c>
      <c r="N385" s="36">
        <f>_xll.DBRW($E$12,$F$16,$F$17,$F$18,$E385,$F$20,N$22,$H385,$F$19)</f>
        <v>98.19</v>
      </c>
      <c r="O385" s="36">
        <f>_xll.DBRW($E$12,$F$16,$F$17,$F$18,$E385,$F$20,O$22,$H385,$F$19)</f>
        <v>0</v>
      </c>
      <c r="P385" s="36">
        <f>_xll.DBRW($E$12,$F$16,$F$17,$F$18,$E385,$F$20,P$22,$H385,$F$19)</f>
        <v>0</v>
      </c>
      <c r="Q385" s="36">
        <f>_xll.DBRW($E$12,$F$16,$F$17,$F$18,$E385,$F$20,Q$22,$H385,$F$19)</f>
        <v>0</v>
      </c>
      <c r="R385" s="36">
        <f>_xll.DBRW($E$12,$F$16,$F$17,$F$18,$E385,$F$20,R$22,$H385,$F$19)</f>
        <v>0</v>
      </c>
      <c r="S385" s="36">
        <f>_xll.DBRW($E$12,$F$16,$F$17,$F$18,$E385,$F$20,S$22,$H385,$F$19)</f>
        <v>0</v>
      </c>
      <c r="T385" s="36">
        <f>_xll.DBRW($E$12,$F$16,$F$17,$F$18,$E385,$F$20,T$22,$H385,$F$19)</f>
        <v>0</v>
      </c>
      <c r="U385" s="36">
        <f>_xll.DBRW($E$12,$F$16,$F$17,$F$18,$E385,$F$20,U$22,$H385,$F$19)</f>
        <v>398.65</v>
      </c>
    </row>
    <row r="386" spans="4:21" s="37" customFormat="1" ht="15" outlineLevel="1" thickBot="1" x14ac:dyDescent="0.35">
      <c r="D386" s="33" t="str">
        <f>IF(_xll.TM1RPTELISCONSOLIDATED($H$34,$H386),IF(_xll.TM1RPTELLEV($H$34,$H386)&lt;=5,_xll.TM1RPTELLEV($H$34,$H386),"Default"),"Leaf")</f>
        <v>Leaf</v>
      </c>
      <c r="E386" s="42" t="s">
        <v>680</v>
      </c>
      <c r="F386" s="34" t="str">
        <f>_xll.DBR($B$18,$H386,"Account_Type")</f>
        <v>NON LABOR</v>
      </c>
      <c r="G386" s="34" t="str">
        <f>_xll.DBR($B$18,$H386,"Description")</f>
        <v>Professional Services / Consultants</v>
      </c>
      <c r="H386" s="43" t="s">
        <v>597</v>
      </c>
      <c r="I386" s="36">
        <f>_xll.DBRW($E$12,$F$16,$F$17,$F$18,$E386,$F$20,I$22,$H386,$F$19)</f>
        <v>13.67</v>
      </c>
      <c r="J386" s="36">
        <f>_xll.DBRW($E$12,$F$16,$F$17,$F$18,$E386,$F$20,J$22,$H386,$F$19)</f>
        <v>0</v>
      </c>
      <c r="K386" s="36">
        <f>_xll.DBRW($E$12,$F$16,$F$17,$F$18,$E386,$F$20,K$22,$H386,$F$19)</f>
        <v>0</v>
      </c>
      <c r="L386" s="36">
        <f>_xll.DBRW($E$12,$F$16,$F$17,$F$18,$E386,$F$20,L$22,$H386,$F$19)</f>
        <v>0</v>
      </c>
      <c r="M386" s="36">
        <f>_xll.DBRW($E$12,$F$16,$F$17,$F$18,$E386,$F$20,M$22,$H386,$F$19)</f>
        <v>0</v>
      </c>
      <c r="N386" s="36">
        <f>_xll.DBRW($E$12,$F$16,$F$17,$F$18,$E386,$F$20,N$22,$H386,$F$19)</f>
        <v>0</v>
      </c>
      <c r="O386" s="36">
        <f>_xll.DBRW($E$12,$F$16,$F$17,$F$18,$E386,$F$20,O$22,$H386,$F$19)</f>
        <v>0</v>
      </c>
      <c r="P386" s="36">
        <f>_xll.DBRW($E$12,$F$16,$F$17,$F$18,$E386,$F$20,P$22,$H386,$F$19)</f>
        <v>0</v>
      </c>
      <c r="Q386" s="36">
        <f>_xll.DBRW($E$12,$F$16,$F$17,$F$18,$E386,$F$20,Q$22,$H386,$F$19)</f>
        <v>0</v>
      </c>
      <c r="R386" s="36">
        <f>_xll.DBRW($E$12,$F$16,$F$17,$F$18,$E386,$F$20,R$22,$H386,$F$19)</f>
        <v>0</v>
      </c>
      <c r="S386" s="36">
        <f>_xll.DBRW($E$12,$F$16,$F$17,$F$18,$E386,$F$20,S$22,$H386,$F$19)</f>
        <v>0</v>
      </c>
      <c r="T386" s="36">
        <f>_xll.DBRW($E$12,$F$16,$F$17,$F$18,$E386,$F$20,T$22,$H386,$F$19)</f>
        <v>0</v>
      </c>
      <c r="U386" s="36">
        <f>_xll.DBRW($E$12,$F$16,$F$17,$F$18,$E386,$F$20,U$22,$H386,$F$19)</f>
        <v>13.67</v>
      </c>
    </row>
    <row r="387" spans="4:21" s="37" customFormat="1" ht="15" outlineLevel="1" thickBot="1" x14ac:dyDescent="0.35">
      <c r="D387" s="33" t="str">
        <f>IF(_xll.TM1RPTELISCONSOLIDATED($H$34,$H387),IF(_xll.TM1RPTELLEV($H$34,$H387)&lt;=5,_xll.TM1RPTELLEV($H$34,$H387),"Default"),"Leaf")</f>
        <v>Leaf</v>
      </c>
      <c r="E387" s="42" t="s">
        <v>681</v>
      </c>
      <c r="F387" s="34" t="str">
        <f>_xll.DBR($B$18,$H387,"Account_Type")</f>
        <v>NON LABOR</v>
      </c>
      <c r="G387" s="34" t="str">
        <f>_xll.DBR($B$18,$H387,"Description")</f>
        <v>Travel &amp; Lodging</v>
      </c>
      <c r="H387" s="43" t="s">
        <v>465</v>
      </c>
      <c r="I387" s="36">
        <f>_xll.DBRW($E$12,$F$16,$F$17,$F$18,$E387,$F$20,I$22,$H387,$F$19)</f>
        <v>612.28</v>
      </c>
      <c r="J387" s="36">
        <f>_xll.DBRW($E$12,$F$16,$F$17,$F$18,$E387,$F$20,J$22,$H387,$F$19)</f>
        <v>142.97999999999999</v>
      </c>
      <c r="K387" s="36">
        <f>_xll.DBRW($E$12,$F$16,$F$17,$F$18,$E387,$F$20,K$22,$H387,$F$19)</f>
        <v>60.9</v>
      </c>
      <c r="L387" s="36">
        <f>_xll.DBRW($E$12,$F$16,$F$17,$F$18,$E387,$F$20,L$22,$H387,$F$19)</f>
        <v>-554.05999999999995</v>
      </c>
      <c r="M387" s="36">
        <f>_xll.DBRW($E$12,$F$16,$F$17,$F$18,$E387,$F$20,M$22,$H387,$F$19)</f>
        <v>0</v>
      </c>
      <c r="N387" s="36">
        <f>_xll.DBRW($E$12,$F$16,$F$17,$F$18,$E387,$F$20,N$22,$H387,$F$19)</f>
        <v>143.4</v>
      </c>
      <c r="O387" s="36">
        <f>_xll.DBRW($E$12,$F$16,$F$17,$F$18,$E387,$F$20,O$22,$H387,$F$19)</f>
        <v>0</v>
      </c>
      <c r="P387" s="36">
        <f>_xll.DBRW($E$12,$F$16,$F$17,$F$18,$E387,$F$20,P$22,$H387,$F$19)</f>
        <v>0</v>
      </c>
      <c r="Q387" s="36">
        <f>_xll.DBRW($E$12,$F$16,$F$17,$F$18,$E387,$F$20,Q$22,$H387,$F$19)</f>
        <v>0</v>
      </c>
      <c r="R387" s="36">
        <f>_xll.DBRW($E$12,$F$16,$F$17,$F$18,$E387,$F$20,R$22,$H387,$F$19)</f>
        <v>0</v>
      </c>
      <c r="S387" s="36">
        <f>_xll.DBRW($E$12,$F$16,$F$17,$F$18,$E387,$F$20,S$22,$H387,$F$19)</f>
        <v>0</v>
      </c>
      <c r="T387" s="36">
        <f>_xll.DBRW($E$12,$F$16,$F$17,$F$18,$E387,$F$20,T$22,$H387,$F$19)</f>
        <v>0</v>
      </c>
      <c r="U387" s="36">
        <f>_xll.DBRW($E$12,$F$16,$F$17,$F$18,$E387,$F$20,U$22,$H387,$F$19)</f>
        <v>405.5</v>
      </c>
    </row>
    <row r="388" spans="4:21" s="37" customFormat="1" ht="15" outlineLevel="1" thickBot="1" x14ac:dyDescent="0.35">
      <c r="D388" s="33" t="str">
        <f>IF(_xll.TM1RPTELISCONSOLIDATED($H$34,$H388),IF(_xll.TM1RPTELLEV($H$34,$H388)&lt;=5,_xll.TM1RPTELLEV($H$34,$H388),"Default"),"Leaf")</f>
        <v>Leaf</v>
      </c>
      <c r="E388" s="42" t="s">
        <v>681</v>
      </c>
      <c r="F388" s="34" t="str">
        <f>_xll.DBR($B$18,$H388,"Account_Type")</f>
        <v>NON LABOR</v>
      </c>
      <c r="G388" s="34" t="str">
        <f>_xll.DBR($B$18,$H388,"Description")</f>
        <v>Travel &amp; Lodging</v>
      </c>
      <c r="H388" s="43" t="s">
        <v>470</v>
      </c>
      <c r="I388" s="36">
        <f>_xll.DBRW($E$12,$F$16,$F$17,$F$18,$E388,$F$20,I$22,$H388,$F$19)</f>
        <v>0</v>
      </c>
      <c r="J388" s="36">
        <f>_xll.DBRW($E$12,$F$16,$F$17,$F$18,$E388,$F$20,J$22,$H388,$F$19)</f>
        <v>0</v>
      </c>
      <c r="K388" s="36">
        <f>_xll.DBRW($E$12,$F$16,$F$17,$F$18,$E388,$F$20,K$22,$H388,$F$19)</f>
        <v>0</v>
      </c>
      <c r="L388" s="36">
        <f>_xll.DBRW($E$12,$F$16,$F$17,$F$18,$E388,$F$20,L$22,$H388,$F$19)</f>
        <v>0</v>
      </c>
      <c r="M388" s="36">
        <f>_xll.DBRW($E$12,$F$16,$F$17,$F$18,$E388,$F$20,M$22,$H388,$F$19)</f>
        <v>280.42</v>
      </c>
      <c r="N388" s="36">
        <f>_xll.DBRW($E$12,$F$16,$F$17,$F$18,$E388,$F$20,N$22,$H388,$F$19)</f>
        <v>0</v>
      </c>
      <c r="O388" s="36">
        <f>_xll.DBRW($E$12,$F$16,$F$17,$F$18,$E388,$F$20,O$22,$H388,$F$19)</f>
        <v>0</v>
      </c>
      <c r="P388" s="36">
        <f>_xll.DBRW($E$12,$F$16,$F$17,$F$18,$E388,$F$20,P$22,$H388,$F$19)</f>
        <v>0</v>
      </c>
      <c r="Q388" s="36">
        <f>_xll.DBRW($E$12,$F$16,$F$17,$F$18,$E388,$F$20,Q$22,$H388,$F$19)</f>
        <v>0</v>
      </c>
      <c r="R388" s="36">
        <f>_xll.DBRW($E$12,$F$16,$F$17,$F$18,$E388,$F$20,R$22,$H388,$F$19)</f>
        <v>0</v>
      </c>
      <c r="S388" s="36">
        <f>_xll.DBRW($E$12,$F$16,$F$17,$F$18,$E388,$F$20,S$22,$H388,$F$19)</f>
        <v>0</v>
      </c>
      <c r="T388" s="36">
        <f>_xll.DBRW($E$12,$F$16,$F$17,$F$18,$E388,$F$20,T$22,$H388,$F$19)</f>
        <v>0</v>
      </c>
      <c r="U388" s="36">
        <f>_xll.DBRW($E$12,$F$16,$F$17,$F$18,$E388,$F$20,U$22,$H388,$F$19)</f>
        <v>280.42</v>
      </c>
    </row>
    <row r="389" spans="4:21" s="37" customFormat="1" ht="15" outlineLevel="1" thickBot="1" x14ac:dyDescent="0.35">
      <c r="D389" s="33" t="str">
        <f>IF(_xll.TM1RPTELISCONSOLIDATED($H$34,$H389),IF(_xll.TM1RPTELLEV($H$34,$H389)&lt;=5,_xll.TM1RPTELLEV($H$34,$H389),"Default"),"Leaf")</f>
        <v>Leaf</v>
      </c>
      <c r="E389" s="42" t="s">
        <v>681</v>
      </c>
      <c r="F389" s="34" t="str">
        <f>_xll.DBR($B$18,$H389,"Account_Type")</f>
        <v>NON LABOR</v>
      </c>
      <c r="G389" s="34" t="str">
        <f>_xll.DBR($B$18,$H389,"Description")</f>
        <v>Business Meals &amp; Entertainment</v>
      </c>
      <c r="H389" s="43" t="s">
        <v>490</v>
      </c>
      <c r="I389" s="36">
        <f>_xll.DBRW($E$12,$F$16,$F$17,$F$18,$E389,$F$20,I$22,$H389,$F$19)</f>
        <v>0</v>
      </c>
      <c r="J389" s="36">
        <f>_xll.DBRW($E$12,$F$16,$F$17,$F$18,$E389,$F$20,J$22,$H389,$F$19)</f>
        <v>0</v>
      </c>
      <c r="K389" s="36">
        <f>_xll.DBRW($E$12,$F$16,$F$17,$F$18,$E389,$F$20,K$22,$H389,$F$19)</f>
        <v>0</v>
      </c>
      <c r="L389" s="36">
        <f>_xll.DBRW($E$12,$F$16,$F$17,$F$18,$E389,$F$20,L$22,$H389,$F$19)</f>
        <v>0</v>
      </c>
      <c r="M389" s="36">
        <f>_xll.DBRW($E$12,$F$16,$F$17,$F$18,$E389,$F$20,M$22,$H389,$F$19)</f>
        <v>174.27</v>
      </c>
      <c r="N389" s="36">
        <f>_xll.DBRW($E$12,$F$16,$F$17,$F$18,$E389,$F$20,N$22,$H389,$F$19)</f>
        <v>0</v>
      </c>
      <c r="O389" s="36">
        <f>_xll.DBRW($E$12,$F$16,$F$17,$F$18,$E389,$F$20,O$22,$H389,$F$19)</f>
        <v>0</v>
      </c>
      <c r="P389" s="36">
        <f>_xll.DBRW($E$12,$F$16,$F$17,$F$18,$E389,$F$20,P$22,$H389,$F$19)</f>
        <v>0</v>
      </c>
      <c r="Q389" s="36">
        <f>_xll.DBRW($E$12,$F$16,$F$17,$F$18,$E389,$F$20,Q$22,$H389,$F$19)</f>
        <v>0</v>
      </c>
      <c r="R389" s="36">
        <f>_xll.DBRW($E$12,$F$16,$F$17,$F$18,$E389,$F$20,R$22,$H389,$F$19)</f>
        <v>0</v>
      </c>
      <c r="S389" s="36">
        <f>_xll.DBRW($E$12,$F$16,$F$17,$F$18,$E389,$F$20,S$22,$H389,$F$19)</f>
        <v>0</v>
      </c>
      <c r="T389" s="36">
        <f>_xll.DBRW($E$12,$F$16,$F$17,$F$18,$E389,$F$20,T$22,$H389,$F$19)</f>
        <v>0</v>
      </c>
      <c r="U389" s="36">
        <f>_xll.DBRW($E$12,$F$16,$F$17,$F$18,$E389,$F$20,U$22,$H389,$F$19)</f>
        <v>174.27</v>
      </c>
    </row>
    <row r="390" spans="4:21" s="37" customFormat="1" ht="15" outlineLevel="1" thickBot="1" x14ac:dyDescent="0.35">
      <c r="D390" s="33" t="str">
        <f>IF(_xll.TM1RPTELISCONSOLIDATED($H$34,$H390),IF(_xll.TM1RPTELLEV($H$34,$H390)&lt;=5,_xll.TM1RPTELLEV($H$34,$H390),"Default"),"Leaf")</f>
        <v>Leaf</v>
      </c>
      <c r="E390" s="42" t="s">
        <v>681</v>
      </c>
      <c r="F390" s="34" t="str">
        <f>_xll.DBR($B$18,$H390,"Account_Type")</f>
        <v>NON LABOR</v>
      </c>
      <c r="G390" s="34" t="str">
        <f>_xll.DBR($B$18,$H390,"Description")</f>
        <v>Telecommunications / Internet</v>
      </c>
      <c r="H390" s="43" t="s">
        <v>499</v>
      </c>
      <c r="I390" s="36">
        <f>_xll.DBRW($E$12,$F$16,$F$17,$F$18,$E390,$F$20,I$22,$H390,$F$19)</f>
        <v>25</v>
      </c>
      <c r="J390" s="36">
        <f>_xll.DBRW($E$12,$F$16,$F$17,$F$18,$E390,$F$20,J$22,$H390,$F$19)</f>
        <v>25</v>
      </c>
      <c r="K390" s="36">
        <f>_xll.DBRW($E$12,$F$16,$F$17,$F$18,$E390,$F$20,K$22,$H390,$F$19)</f>
        <v>25</v>
      </c>
      <c r="L390" s="36">
        <f>_xll.DBRW($E$12,$F$16,$F$17,$F$18,$E390,$F$20,L$22,$H390,$F$19)</f>
        <v>25</v>
      </c>
      <c r="M390" s="36">
        <f>_xll.DBRW($E$12,$F$16,$F$17,$F$18,$E390,$F$20,M$22,$H390,$F$19)</f>
        <v>25</v>
      </c>
      <c r="N390" s="36">
        <f>_xll.DBRW($E$12,$F$16,$F$17,$F$18,$E390,$F$20,N$22,$H390,$F$19)</f>
        <v>25</v>
      </c>
      <c r="O390" s="36">
        <f>_xll.DBRW($E$12,$F$16,$F$17,$F$18,$E390,$F$20,O$22,$H390,$F$19)</f>
        <v>25</v>
      </c>
      <c r="P390" s="36">
        <f>_xll.DBRW($E$12,$F$16,$F$17,$F$18,$E390,$F$20,P$22,$H390,$F$19)</f>
        <v>0</v>
      </c>
      <c r="Q390" s="36">
        <f>_xll.DBRW($E$12,$F$16,$F$17,$F$18,$E390,$F$20,Q$22,$H390,$F$19)</f>
        <v>0</v>
      </c>
      <c r="R390" s="36">
        <f>_xll.DBRW($E$12,$F$16,$F$17,$F$18,$E390,$F$20,R$22,$H390,$F$19)</f>
        <v>0</v>
      </c>
      <c r="S390" s="36">
        <f>_xll.DBRW($E$12,$F$16,$F$17,$F$18,$E390,$F$20,S$22,$H390,$F$19)</f>
        <v>0</v>
      </c>
      <c r="T390" s="36">
        <f>_xll.DBRW($E$12,$F$16,$F$17,$F$18,$E390,$F$20,T$22,$H390,$F$19)</f>
        <v>0</v>
      </c>
      <c r="U390" s="36">
        <f>_xll.DBRW($E$12,$F$16,$F$17,$F$18,$E390,$F$20,U$22,$H390,$F$19)</f>
        <v>175</v>
      </c>
    </row>
    <row r="391" spans="4:21" s="37" customFormat="1" ht="15" outlineLevel="1" thickBot="1" x14ac:dyDescent="0.35">
      <c r="D391" s="33" t="str">
        <f>IF(_xll.TM1RPTELISCONSOLIDATED($H$34,$H391),IF(_xll.TM1RPTELLEV($H$34,$H391)&lt;=5,_xll.TM1RPTELLEV($H$34,$H391),"Default"),"Leaf")</f>
        <v>Leaf</v>
      </c>
      <c r="E391" s="42" t="s">
        <v>681</v>
      </c>
      <c r="F391" s="34" t="str">
        <f>_xll.DBR($B$18,$H391,"Account_Type")</f>
        <v>NON LABOR</v>
      </c>
      <c r="G391" s="34" t="str">
        <f>_xll.DBR($B$18,$H391,"Description")</f>
        <v>Telecommunications / Internet</v>
      </c>
      <c r="H391" s="43" t="s">
        <v>511</v>
      </c>
      <c r="I391" s="36">
        <f>_xll.DBRW($E$12,$F$16,$F$17,$F$18,$E391,$F$20,I$22,$H391,$F$19)</f>
        <v>228.41</v>
      </c>
      <c r="J391" s="36">
        <f>_xll.DBRW($E$12,$F$16,$F$17,$F$18,$E391,$F$20,J$22,$H391,$F$19)</f>
        <v>31.96</v>
      </c>
      <c r="K391" s="36">
        <f>_xll.DBRW($E$12,$F$16,$F$17,$F$18,$E391,$F$20,K$22,$H391,$F$19)</f>
        <v>2875.36</v>
      </c>
      <c r="L391" s="36">
        <f>_xll.DBRW($E$12,$F$16,$F$17,$F$18,$E391,$F$20,L$22,$H391,$F$19)</f>
        <v>965.67</v>
      </c>
      <c r="M391" s="36">
        <f>_xll.DBRW($E$12,$F$16,$F$17,$F$18,$E391,$F$20,M$22,$H391,$F$19)</f>
        <v>1927.38</v>
      </c>
      <c r="N391" s="36">
        <f>_xll.DBRW($E$12,$F$16,$F$17,$F$18,$E391,$F$20,N$22,$H391,$F$19)</f>
        <v>980.07</v>
      </c>
      <c r="O391" s="36">
        <f>_xll.DBRW($E$12,$F$16,$F$17,$F$18,$E391,$F$20,O$22,$H391,$F$19)</f>
        <v>-947.94</v>
      </c>
      <c r="P391" s="36">
        <f>_xll.DBRW($E$12,$F$16,$F$17,$F$18,$E391,$F$20,P$22,$H391,$F$19)</f>
        <v>0</v>
      </c>
      <c r="Q391" s="36">
        <f>_xll.DBRW($E$12,$F$16,$F$17,$F$18,$E391,$F$20,Q$22,$H391,$F$19)</f>
        <v>0</v>
      </c>
      <c r="R391" s="36">
        <f>_xll.DBRW($E$12,$F$16,$F$17,$F$18,$E391,$F$20,R$22,$H391,$F$19)</f>
        <v>0</v>
      </c>
      <c r="S391" s="36">
        <f>_xll.DBRW($E$12,$F$16,$F$17,$F$18,$E391,$F$20,S$22,$H391,$F$19)</f>
        <v>0</v>
      </c>
      <c r="T391" s="36">
        <f>_xll.DBRW($E$12,$F$16,$F$17,$F$18,$E391,$F$20,T$22,$H391,$F$19)</f>
        <v>0</v>
      </c>
      <c r="U391" s="36">
        <f>_xll.DBRW($E$12,$F$16,$F$17,$F$18,$E391,$F$20,U$22,$H391,$F$19)</f>
        <v>6060.91</v>
      </c>
    </row>
    <row r="392" spans="4:21" s="37" customFormat="1" ht="15" outlineLevel="1" thickBot="1" x14ac:dyDescent="0.35">
      <c r="D392" s="33" t="str">
        <f>IF(_xll.TM1RPTELISCONSOLIDATED($H$34,$H392),IF(_xll.TM1RPTELLEV($H$34,$H392)&lt;=5,_xll.TM1RPTELLEV($H$34,$H392),"Default"),"Leaf")</f>
        <v>Leaf</v>
      </c>
      <c r="E392" s="42" t="s">
        <v>681</v>
      </c>
      <c r="F392" s="34" t="str">
        <f>_xll.DBR($B$18,$H392,"Account_Type")</f>
        <v>NON LABOR</v>
      </c>
      <c r="G392" s="34" t="str">
        <f>_xll.DBR($B$18,$H392,"Description")</f>
        <v>Office/Computer Supplies &amp; Eqpt</v>
      </c>
      <c r="H392" s="43" t="s">
        <v>526</v>
      </c>
      <c r="I392" s="36">
        <f>_xll.DBRW($E$12,$F$16,$F$17,$F$18,$E392,$F$20,I$22,$H392,$F$19)</f>
        <v>714.15</v>
      </c>
      <c r="J392" s="36">
        <f>_xll.DBRW($E$12,$F$16,$F$17,$F$18,$E392,$F$20,J$22,$H392,$F$19)</f>
        <v>1246.6400000000001</v>
      </c>
      <c r="K392" s="36">
        <f>_xll.DBRW($E$12,$F$16,$F$17,$F$18,$E392,$F$20,K$22,$H392,$F$19)</f>
        <v>1246.6400000000001</v>
      </c>
      <c r="L392" s="36">
        <f>_xll.DBRW($E$12,$F$16,$F$17,$F$18,$E392,$F$20,L$22,$H392,$F$19)</f>
        <v>1232.6400000000001</v>
      </c>
      <c r="M392" s="36">
        <f>_xll.DBRW($E$12,$F$16,$F$17,$F$18,$E392,$F$20,M$22,$H392,$F$19)</f>
        <v>1232.6400000000001</v>
      </c>
      <c r="N392" s="36">
        <f>_xll.DBRW($E$12,$F$16,$F$17,$F$18,$E392,$F$20,N$22,$H392,$F$19)</f>
        <v>883.33</v>
      </c>
      <c r="O392" s="36">
        <f>_xll.DBRW($E$12,$F$16,$F$17,$F$18,$E392,$F$20,O$22,$H392,$F$19)</f>
        <v>0</v>
      </c>
      <c r="P392" s="36">
        <f>_xll.DBRW($E$12,$F$16,$F$17,$F$18,$E392,$F$20,P$22,$H392,$F$19)</f>
        <v>0</v>
      </c>
      <c r="Q392" s="36">
        <f>_xll.DBRW($E$12,$F$16,$F$17,$F$18,$E392,$F$20,Q$22,$H392,$F$19)</f>
        <v>0</v>
      </c>
      <c r="R392" s="36">
        <f>_xll.DBRW($E$12,$F$16,$F$17,$F$18,$E392,$F$20,R$22,$H392,$F$19)</f>
        <v>0</v>
      </c>
      <c r="S392" s="36">
        <f>_xll.DBRW($E$12,$F$16,$F$17,$F$18,$E392,$F$20,S$22,$H392,$F$19)</f>
        <v>0</v>
      </c>
      <c r="T392" s="36">
        <f>_xll.DBRW($E$12,$F$16,$F$17,$F$18,$E392,$F$20,T$22,$H392,$F$19)</f>
        <v>0</v>
      </c>
      <c r="U392" s="36">
        <f>_xll.DBRW($E$12,$F$16,$F$17,$F$18,$E392,$F$20,U$22,$H392,$F$19)</f>
        <v>6556.0400000000009</v>
      </c>
    </row>
    <row r="393" spans="4:21" s="37" customFormat="1" ht="15" outlineLevel="1" thickBot="1" x14ac:dyDescent="0.35">
      <c r="D393" s="33" t="str">
        <f>IF(_xll.TM1RPTELISCONSOLIDATED($H$34,$H393),IF(_xll.TM1RPTELLEV($H$34,$H393)&lt;=5,_xll.TM1RPTELLEV($H$34,$H393),"Default"),"Leaf")</f>
        <v>Leaf</v>
      </c>
      <c r="E393" s="42" t="s">
        <v>681</v>
      </c>
      <c r="F393" s="34" t="str">
        <f>_xll.DBR($B$18,$H393,"Account_Type")</f>
        <v>NON LABOR</v>
      </c>
      <c r="G393" s="34" t="str">
        <f>_xll.DBR($B$18,$H393,"Description")</f>
        <v>Office/Computer Supplies &amp; Eqpt</v>
      </c>
      <c r="H393" s="43" t="s">
        <v>539</v>
      </c>
      <c r="I393" s="36">
        <f>_xll.DBRW($E$12,$F$16,$F$17,$F$18,$E393,$F$20,I$22,$H393,$F$19)</f>
        <v>0</v>
      </c>
      <c r="J393" s="36">
        <f>_xll.DBRW($E$12,$F$16,$F$17,$F$18,$E393,$F$20,J$22,$H393,$F$19)</f>
        <v>402.13</v>
      </c>
      <c r="K393" s="36">
        <f>_xll.DBRW($E$12,$F$16,$F$17,$F$18,$E393,$F$20,K$22,$H393,$F$19)</f>
        <v>0</v>
      </c>
      <c r="L393" s="36">
        <f>_xll.DBRW($E$12,$F$16,$F$17,$F$18,$E393,$F$20,L$22,$H393,$F$19)</f>
        <v>0</v>
      </c>
      <c r="M393" s="36">
        <f>_xll.DBRW($E$12,$F$16,$F$17,$F$18,$E393,$F$20,M$22,$H393,$F$19)</f>
        <v>0</v>
      </c>
      <c r="N393" s="36">
        <f>_xll.DBRW($E$12,$F$16,$F$17,$F$18,$E393,$F$20,N$22,$H393,$F$19)</f>
        <v>0</v>
      </c>
      <c r="O393" s="36">
        <f>_xll.DBRW($E$12,$F$16,$F$17,$F$18,$E393,$F$20,O$22,$H393,$F$19)</f>
        <v>0</v>
      </c>
      <c r="P393" s="36">
        <f>_xll.DBRW($E$12,$F$16,$F$17,$F$18,$E393,$F$20,P$22,$H393,$F$19)</f>
        <v>0</v>
      </c>
      <c r="Q393" s="36">
        <f>_xll.DBRW($E$12,$F$16,$F$17,$F$18,$E393,$F$20,Q$22,$H393,$F$19)</f>
        <v>0</v>
      </c>
      <c r="R393" s="36">
        <f>_xll.DBRW($E$12,$F$16,$F$17,$F$18,$E393,$F$20,R$22,$H393,$F$19)</f>
        <v>0</v>
      </c>
      <c r="S393" s="36">
        <f>_xll.DBRW($E$12,$F$16,$F$17,$F$18,$E393,$F$20,S$22,$H393,$F$19)</f>
        <v>0</v>
      </c>
      <c r="T393" s="36">
        <f>_xll.DBRW($E$12,$F$16,$F$17,$F$18,$E393,$F$20,T$22,$H393,$F$19)</f>
        <v>0</v>
      </c>
      <c r="U393" s="36">
        <f>_xll.DBRW($E$12,$F$16,$F$17,$F$18,$E393,$F$20,U$22,$H393,$F$19)</f>
        <v>402.13</v>
      </c>
    </row>
    <row r="394" spans="4:21" s="37" customFormat="1" ht="15" outlineLevel="1" thickBot="1" x14ac:dyDescent="0.35">
      <c r="D394" s="33" t="str">
        <f>IF(_xll.TM1RPTELISCONSOLIDATED($H$34,$H394),IF(_xll.TM1RPTELLEV($H$34,$H394)&lt;=5,_xll.TM1RPTELLEV($H$34,$H394),"Default"),"Leaf")</f>
        <v>Leaf</v>
      </c>
      <c r="E394" s="42" t="s">
        <v>681</v>
      </c>
      <c r="F394" s="34" t="str">
        <f>_xll.DBR($B$18,$H394,"Account_Type")</f>
        <v>NON LABOR</v>
      </c>
      <c r="G394" s="34" t="str">
        <f>_xll.DBR($B$18,$H394,"Description")</f>
        <v>Postage &amp; Courier Fees</v>
      </c>
      <c r="H394" s="43" t="s">
        <v>546</v>
      </c>
      <c r="I394" s="36">
        <f>_xll.DBRW($E$12,$F$16,$F$17,$F$18,$E394,$F$20,I$22,$H394,$F$19)</f>
        <v>0</v>
      </c>
      <c r="J394" s="36">
        <f>_xll.DBRW($E$12,$F$16,$F$17,$F$18,$E394,$F$20,J$22,$H394,$F$19)</f>
        <v>0</v>
      </c>
      <c r="K394" s="36">
        <f>_xll.DBRW($E$12,$F$16,$F$17,$F$18,$E394,$F$20,K$22,$H394,$F$19)</f>
        <v>18.41</v>
      </c>
      <c r="L394" s="36">
        <f>_xll.DBRW($E$12,$F$16,$F$17,$F$18,$E394,$F$20,L$22,$H394,$F$19)</f>
        <v>18.350000000000001</v>
      </c>
      <c r="M394" s="36">
        <f>_xll.DBRW($E$12,$F$16,$F$17,$F$18,$E394,$F$20,M$22,$H394,$F$19)</f>
        <v>0</v>
      </c>
      <c r="N394" s="36">
        <f>_xll.DBRW($E$12,$F$16,$F$17,$F$18,$E394,$F$20,N$22,$H394,$F$19)</f>
        <v>0</v>
      </c>
      <c r="O394" s="36">
        <f>_xll.DBRW($E$12,$F$16,$F$17,$F$18,$E394,$F$20,O$22,$H394,$F$19)</f>
        <v>0</v>
      </c>
      <c r="P394" s="36">
        <f>_xll.DBRW($E$12,$F$16,$F$17,$F$18,$E394,$F$20,P$22,$H394,$F$19)</f>
        <v>0</v>
      </c>
      <c r="Q394" s="36">
        <f>_xll.DBRW($E$12,$F$16,$F$17,$F$18,$E394,$F$20,Q$22,$H394,$F$19)</f>
        <v>0</v>
      </c>
      <c r="R394" s="36">
        <f>_xll.DBRW($E$12,$F$16,$F$17,$F$18,$E394,$F$20,R$22,$H394,$F$19)</f>
        <v>0</v>
      </c>
      <c r="S394" s="36">
        <f>_xll.DBRW($E$12,$F$16,$F$17,$F$18,$E394,$F$20,S$22,$H394,$F$19)</f>
        <v>0</v>
      </c>
      <c r="T394" s="36">
        <f>_xll.DBRW($E$12,$F$16,$F$17,$F$18,$E394,$F$20,T$22,$H394,$F$19)</f>
        <v>0</v>
      </c>
      <c r="U394" s="36">
        <f>_xll.DBRW($E$12,$F$16,$F$17,$F$18,$E394,$F$20,U$22,$H394,$F$19)</f>
        <v>36.760000000000005</v>
      </c>
    </row>
    <row r="395" spans="4:21" s="37" customFormat="1" ht="15" outlineLevel="1" thickBot="1" x14ac:dyDescent="0.35">
      <c r="D395" s="33" t="str">
        <f>IF(_xll.TM1RPTELISCONSOLIDATED($H$34,$H395),IF(_xll.TM1RPTELLEV($H$34,$H395)&lt;=5,_xll.TM1RPTELLEV($H$34,$H395),"Default"),"Leaf")</f>
        <v>Leaf</v>
      </c>
      <c r="E395" s="42" t="s">
        <v>681</v>
      </c>
      <c r="F395" s="34" t="str">
        <f>_xll.DBR($B$18,$H395,"Account_Type")</f>
        <v>NON LABOR</v>
      </c>
      <c r="G395" s="34" t="str">
        <f>_xll.DBR($B$18,$H395,"Description")</f>
        <v>Printing &amp; Reproduction</v>
      </c>
      <c r="H395" s="43" t="s">
        <v>558</v>
      </c>
      <c r="I395" s="36">
        <f>_xll.DBRW($E$12,$F$16,$F$17,$F$18,$E395,$F$20,I$22,$H395,$F$19)</f>
        <v>550.83000000000004</v>
      </c>
      <c r="J395" s="36">
        <f>_xll.DBRW($E$12,$F$16,$F$17,$F$18,$E395,$F$20,J$22,$H395,$F$19)</f>
        <v>550.83000000000004</v>
      </c>
      <c r="K395" s="36">
        <f>_xll.DBRW($E$12,$F$16,$F$17,$F$18,$E395,$F$20,K$22,$H395,$F$19)</f>
        <v>550.83000000000004</v>
      </c>
      <c r="L395" s="36">
        <f>_xll.DBRW($E$12,$F$16,$F$17,$F$18,$E395,$F$20,L$22,$H395,$F$19)</f>
        <v>550.83000000000004</v>
      </c>
      <c r="M395" s="36">
        <f>_xll.DBRW($E$12,$F$16,$F$17,$F$18,$E395,$F$20,M$22,$H395,$F$19)</f>
        <v>550.83000000000004</v>
      </c>
      <c r="N395" s="36">
        <f>_xll.DBRW($E$12,$F$16,$F$17,$F$18,$E395,$F$20,N$22,$H395,$F$19)</f>
        <v>550.83000000000004</v>
      </c>
      <c r="O395" s="36">
        <f>_xll.DBRW($E$12,$F$16,$F$17,$F$18,$E395,$F$20,O$22,$H395,$F$19)</f>
        <v>0</v>
      </c>
      <c r="P395" s="36">
        <f>_xll.DBRW($E$12,$F$16,$F$17,$F$18,$E395,$F$20,P$22,$H395,$F$19)</f>
        <v>0</v>
      </c>
      <c r="Q395" s="36">
        <f>_xll.DBRW($E$12,$F$16,$F$17,$F$18,$E395,$F$20,Q$22,$H395,$F$19)</f>
        <v>0</v>
      </c>
      <c r="R395" s="36">
        <f>_xll.DBRW($E$12,$F$16,$F$17,$F$18,$E395,$F$20,R$22,$H395,$F$19)</f>
        <v>0</v>
      </c>
      <c r="S395" s="36">
        <f>_xll.DBRW($E$12,$F$16,$F$17,$F$18,$E395,$F$20,S$22,$H395,$F$19)</f>
        <v>0</v>
      </c>
      <c r="T395" s="36">
        <f>_xll.DBRW($E$12,$F$16,$F$17,$F$18,$E395,$F$20,T$22,$H395,$F$19)</f>
        <v>0</v>
      </c>
      <c r="U395" s="36">
        <f>_xll.DBRW($E$12,$F$16,$F$17,$F$18,$E395,$F$20,U$22,$H395,$F$19)</f>
        <v>3304.98</v>
      </c>
    </row>
    <row r="396" spans="4:21" s="37" customFormat="1" ht="15" outlineLevel="1" thickBot="1" x14ac:dyDescent="0.35">
      <c r="D396" s="33" t="str">
        <f>IF(_xll.TM1RPTELISCONSOLIDATED($H$34,$H396),IF(_xll.TM1RPTELLEV($H$34,$H396)&lt;=5,_xll.TM1RPTELLEV($H$34,$H396),"Default"),"Leaf")</f>
        <v>Leaf</v>
      </c>
      <c r="E396" s="42" t="s">
        <v>681</v>
      </c>
      <c r="F396" s="34" t="str">
        <f>_xll.DBR($B$18,$H396,"Account_Type")</f>
        <v>NON LABOR</v>
      </c>
      <c r="G396" s="34" t="str">
        <f>_xll.DBR($B$18,$H396,"Description")</f>
        <v>Printing &amp; Reproduction</v>
      </c>
      <c r="H396" s="43" t="s">
        <v>562</v>
      </c>
      <c r="I396" s="36">
        <f>_xll.DBRW($E$12,$F$16,$F$17,$F$18,$E396,$F$20,I$22,$H396,$F$19)</f>
        <v>265.20999999999998</v>
      </c>
      <c r="J396" s="36">
        <f>_xll.DBRW($E$12,$F$16,$F$17,$F$18,$E396,$F$20,J$22,$H396,$F$19)</f>
        <v>265.20999999999998</v>
      </c>
      <c r="K396" s="36">
        <f>_xll.DBRW($E$12,$F$16,$F$17,$F$18,$E396,$F$20,K$22,$H396,$F$19)</f>
        <v>276.97000000000003</v>
      </c>
      <c r="L396" s="36">
        <f>_xll.DBRW($E$12,$F$16,$F$17,$F$18,$E396,$F$20,L$22,$H396,$F$19)</f>
        <v>265.20999999999998</v>
      </c>
      <c r="M396" s="36">
        <f>_xll.DBRW($E$12,$F$16,$F$17,$F$18,$E396,$F$20,M$22,$H396,$F$19)</f>
        <v>261.54000000000002</v>
      </c>
      <c r="N396" s="36">
        <f>_xll.DBRW($E$12,$F$16,$F$17,$F$18,$E396,$F$20,N$22,$H396,$F$19)</f>
        <v>265.20999999999998</v>
      </c>
      <c r="O396" s="36">
        <f>_xll.DBRW($E$12,$F$16,$F$17,$F$18,$E396,$F$20,O$22,$H396,$F$19)</f>
        <v>0</v>
      </c>
      <c r="P396" s="36">
        <f>_xll.DBRW($E$12,$F$16,$F$17,$F$18,$E396,$F$20,P$22,$H396,$F$19)</f>
        <v>0</v>
      </c>
      <c r="Q396" s="36">
        <f>_xll.DBRW($E$12,$F$16,$F$17,$F$18,$E396,$F$20,Q$22,$H396,$F$19)</f>
        <v>0</v>
      </c>
      <c r="R396" s="36">
        <f>_xll.DBRW($E$12,$F$16,$F$17,$F$18,$E396,$F$20,R$22,$H396,$F$19)</f>
        <v>0</v>
      </c>
      <c r="S396" s="36">
        <f>_xll.DBRW($E$12,$F$16,$F$17,$F$18,$E396,$F$20,S$22,$H396,$F$19)</f>
        <v>0</v>
      </c>
      <c r="T396" s="36">
        <f>_xll.DBRW($E$12,$F$16,$F$17,$F$18,$E396,$F$20,T$22,$H396,$F$19)</f>
        <v>0</v>
      </c>
      <c r="U396" s="36">
        <f>_xll.DBRW($E$12,$F$16,$F$17,$F$18,$E396,$F$20,U$22,$H396,$F$19)</f>
        <v>1599.35</v>
      </c>
    </row>
    <row r="397" spans="4:21" s="37" customFormat="1" ht="15" outlineLevel="1" thickBot="1" x14ac:dyDescent="0.35">
      <c r="D397" s="33" t="str">
        <f>IF(_xll.TM1RPTELISCONSOLIDATED($H$34,$H397),IF(_xll.TM1RPTELLEV($H$34,$H397)&lt;=5,_xll.TM1RPTELLEV($H$34,$H397),"Default"),"Leaf")</f>
        <v>Leaf</v>
      </c>
      <c r="E397" s="42" t="s">
        <v>681</v>
      </c>
      <c r="F397" s="34" t="str">
        <f>_xll.DBR($B$18,$H397,"Account_Type")</f>
        <v>NON LABOR</v>
      </c>
      <c r="G397" s="34" t="str">
        <f>_xll.DBR($B$18,$H397,"Description")</f>
        <v>Education/Training/Dues/Subscriptions</v>
      </c>
      <c r="H397" s="43" t="s">
        <v>565</v>
      </c>
      <c r="I397" s="36">
        <f>_xll.DBRW($E$12,$F$16,$F$17,$F$18,$E397,$F$20,I$22,$H397,$F$19)</f>
        <v>0</v>
      </c>
      <c r="J397" s="36">
        <f>_xll.DBRW($E$12,$F$16,$F$17,$F$18,$E397,$F$20,J$22,$H397,$F$19)</f>
        <v>19.78</v>
      </c>
      <c r="K397" s="36">
        <f>_xll.DBRW($E$12,$F$16,$F$17,$F$18,$E397,$F$20,K$22,$H397,$F$19)</f>
        <v>19.78</v>
      </c>
      <c r="L397" s="36">
        <f>_xll.DBRW($E$12,$F$16,$F$17,$F$18,$E397,$F$20,L$22,$H397,$F$19)</f>
        <v>0</v>
      </c>
      <c r="M397" s="36">
        <f>_xll.DBRW($E$12,$F$16,$F$17,$F$18,$E397,$F$20,M$22,$H397,$F$19)</f>
        <v>0</v>
      </c>
      <c r="N397" s="36">
        <f>_xll.DBRW($E$12,$F$16,$F$17,$F$18,$E397,$F$20,N$22,$H397,$F$19)</f>
        <v>0</v>
      </c>
      <c r="O397" s="36">
        <f>_xll.DBRW($E$12,$F$16,$F$17,$F$18,$E397,$F$20,O$22,$H397,$F$19)</f>
        <v>0</v>
      </c>
      <c r="P397" s="36">
        <f>_xll.DBRW($E$12,$F$16,$F$17,$F$18,$E397,$F$20,P$22,$H397,$F$19)</f>
        <v>0</v>
      </c>
      <c r="Q397" s="36">
        <f>_xll.DBRW($E$12,$F$16,$F$17,$F$18,$E397,$F$20,Q$22,$H397,$F$19)</f>
        <v>0</v>
      </c>
      <c r="R397" s="36">
        <f>_xll.DBRW($E$12,$F$16,$F$17,$F$18,$E397,$F$20,R$22,$H397,$F$19)</f>
        <v>0</v>
      </c>
      <c r="S397" s="36">
        <f>_xll.DBRW($E$12,$F$16,$F$17,$F$18,$E397,$F$20,S$22,$H397,$F$19)</f>
        <v>0</v>
      </c>
      <c r="T397" s="36">
        <f>_xll.DBRW($E$12,$F$16,$F$17,$F$18,$E397,$F$20,T$22,$H397,$F$19)</f>
        <v>0</v>
      </c>
      <c r="U397" s="36">
        <f>_xll.DBRW($E$12,$F$16,$F$17,$F$18,$E397,$F$20,U$22,$H397,$F$19)</f>
        <v>39.56</v>
      </c>
    </row>
    <row r="398" spans="4:21" s="37" customFormat="1" ht="15" outlineLevel="1" thickBot="1" x14ac:dyDescent="0.35">
      <c r="D398" s="33" t="str">
        <f>IF(_xll.TM1RPTELISCONSOLIDATED($H$34,$H398),IF(_xll.TM1RPTELLEV($H$34,$H398)&lt;=5,_xll.TM1RPTELLEV($H$34,$H398),"Default"),"Leaf")</f>
        <v>Leaf</v>
      </c>
      <c r="E398" s="42" t="s">
        <v>681</v>
      </c>
      <c r="F398" s="34" t="str">
        <f>_xll.DBR($B$18,$H398,"Account_Type")</f>
        <v>NON LABOR</v>
      </c>
      <c r="G398" s="34" t="str">
        <f>_xll.DBR($B$18,$H398,"Description")</f>
        <v>Employee Morale &amp; Welfare</v>
      </c>
      <c r="H398" s="43" t="s">
        <v>611</v>
      </c>
      <c r="I398" s="36">
        <f>_xll.DBRW($E$12,$F$16,$F$17,$F$18,$E398,$F$20,I$22,$H398,$F$19)</f>
        <v>14</v>
      </c>
      <c r="J398" s="36">
        <f>_xll.DBRW($E$12,$F$16,$F$17,$F$18,$E398,$F$20,J$22,$H398,$F$19)</f>
        <v>0</v>
      </c>
      <c r="K398" s="36">
        <f>_xll.DBRW($E$12,$F$16,$F$17,$F$18,$E398,$F$20,K$22,$H398,$F$19)</f>
        <v>0</v>
      </c>
      <c r="L398" s="36">
        <f>_xll.DBRW($E$12,$F$16,$F$17,$F$18,$E398,$F$20,L$22,$H398,$F$19)</f>
        <v>0</v>
      </c>
      <c r="M398" s="36">
        <f>_xll.DBRW($E$12,$F$16,$F$17,$F$18,$E398,$F$20,M$22,$H398,$F$19)</f>
        <v>0</v>
      </c>
      <c r="N398" s="36">
        <f>_xll.DBRW($E$12,$F$16,$F$17,$F$18,$E398,$F$20,N$22,$H398,$F$19)</f>
        <v>0</v>
      </c>
      <c r="O398" s="36">
        <f>_xll.DBRW($E$12,$F$16,$F$17,$F$18,$E398,$F$20,O$22,$H398,$F$19)</f>
        <v>0</v>
      </c>
      <c r="P398" s="36">
        <f>_xll.DBRW($E$12,$F$16,$F$17,$F$18,$E398,$F$20,P$22,$H398,$F$19)</f>
        <v>0</v>
      </c>
      <c r="Q398" s="36">
        <f>_xll.DBRW($E$12,$F$16,$F$17,$F$18,$E398,$F$20,Q$22,$H398,$F$19)</f>
        <v>0</v>
      </c>
      <c r="R398" s="36">
        <f>_xll.DBRW($E$12,$F$16,$F$17,$F$18,$E398,$F$20,R$22,$H398,$F$19)</f>
        <v>0</v>
      </c>
      <c r="S398" s="36">
        <f>_xll.DBRW($E$12,$F$16,$F$17,$F$18,$E398,$F$20,S$22,$H398,$F$19)</f>
        <v>0</v>
      </c>
      <c r="T398" s="36">
        <f>_xll.DBRW($E$12,$F$16,$F$17,$F$18,$E398,$F$20,T$22,$H398,$F$19)</f>
        <v>0</v>
      </c>
      <c r="U398" s="36">
        <f>_xll.DBRW($E$12,$F$16,$F$17,$F$18,$E398,$F$20,U$22,$H398,$F$19)</f>
        <v>14</v>
      </c>
    </row>
    <row r="399" spans="4:21" s="37" customFormat="1" ht="15" outlineLevel="1" thickBot="1" x14ac:dyDescent="0.35">
      <c r="D399" s="33" t="str">
        <f>IF(_xll.TM1RPTELISCONSOLIDATED($H$34,$H399),IF(_xll.TM1RPTELLEV($H$34,$H399)&lt;=5,_xll.TM1RPTELLEV($H$34,$H399),"Default"),"Leaf")</f>
        <v>Leaf</v>
      </c>
      <c r="E399" s="42" t="s">
        <v>681</v>
      </c>
      <c r="F399" s="34" t="str">
        <f>_xll.DBR($B$18,$H399,"Account_Type")</f>
        <v>NON LABOR</v>
      </c>
      <c r="G399" s="34" t="str">
        <f>_xll.DBR($B$18,$H399,"Description")</f>
        <v>Employee Leased Vehicles</v>
      </c>
      <c r="H399" s="43" t="s">
        <v>628</v>
      </c>
      <c r="I399" s="36">
        <f>_xll.DBRW($E$12,$F$16,$F$17,$F$18,$E399,$F$20,I$22,$H399,$F$19)</f>
        <v>5300</v>
      </c>
      <c r="J399" s="36">
        <f>_xll.DBRW($E$12,$F$16,$F$17,$F$18,$E399,$F$20,J$22,$H399,$F$19)</f>
        <v>6377.42</v>
      </c>
      <c r="K399" s="36">
        <f>_xll.DBRW($E$12,$F$16,$F$17,$F$18,$E399,$F$20,K$22,$H399,$F$19)</f>
        <v>5300</v>
      </c>
      <c r="L399" s="36">
        <f>_xll.DBRW($E$12,$F$16,$F$17,$F$18,$E399,$F$20,L$22,$H399,$F$19)</f>
        <v>4603.33</v>
      </c>
      <c r="M399" s="36">
        <f>_xll.DBRW($E$12,$F$16,$F$17,$F$18,$E399,$F$20,M$22,$H399,$F$19)</f>
        <v>3350</v>
      </c>
      <c r="N399" s="36">
        <f>_xll.DBRW($E$12,$F$16,$F$17,$F$18,$E399,$F$20,N$22,$H399,$F$19)</f>
        <v>3350</v>
      </c>
      <c r="O399" s="36">
        <f>_xll.DBRW($E$12,$F$16,$F$17,$F$18,$E399,$F$20,O$22,$H399,$F$19)</f>
        <v>3350</v>
      </c>
      <c r="P399" s="36">
        <f>_xll.DBRW($E$12,$F$16,$F$17,$F$18,$E399,$F$20,P$22,$H399,$F$19)</f>
        <v>0</v>
      </c>
      <c r="Q399" s="36">
        <f>_xll.DBRW($E$12,$F$16,$F$17,$F$18,$E399,$F$20,Q$22,$H399,$F$19)</f>
        <v>0</v>
      </c>
      <c r="R399" s="36">
        <f>_xll.DBRW($E$12,$F$16,$F$17,$F$18,$E399,$F$20,R$22,$H399,$F$19)</f>
        <v>0</v>
      </c>
      <c r="S399" s="36">
        <f>_xll.DBRW($E$12,$F$16,$F$17,$F$18,$E399,$F$20,S$22,$H399,$F$19)</f>
        <v>0</v>
      </c>
      <c r="T399" s="36">
        <f>_xll.DBRW($E$12,$F$16,$F$17,$F$18,$E399,$F$20,T$22,$H399,$F$19)</f>
        <v>0</v>
      </c>
      <c r="U399" s="36">
        <f>_xll.DBRW($E$12,$F$16,$F$17,$F$18,$E399,$F$20,U$22,$H399,$F$19)</f>
        <v>31630.75</v>
      </c>
    </row>
    <row r="400" spans="4:21" s="37" customFormat="1" ht="15" outlineLevel="1" thickBot="1" x14ac:dyDescent="0.35">
      <c r="D400" s="33" t="str">
        <f>IF(_xll.TM1RPTELISCONSOLIDATED($H$34,$H400),IF(_xll.TM1RPTELLEV($H$34,$H400)&lt;=5,_xll.TM1RPTELLEV($H$34,$H400),"Default"),"Leaf")</f>
        <v>Leaf</v>
      </c>
      <c r="E400" s="42" t="s">
        <v>681</v>
      </c>
      <c r="F400" s="34" t="str">
        <f>_xll.DBR($B$18,$H400,"Account_Type")</f>
        <v>NON LABOR</v>
      </c>
      <c r="G400" s="34" t="str">
        <f>_xll.DBR($B$18,$H400,"Description")</f>
        <v>Employee Leased Vehicles</v>
      </c>
      <c r="H400" s="43" t="s">
        <v>637</v>
      </c>
      <c r="I400" s="36">
        <f>_xll.DBRW($E$12,$F$16,$F$17,$F$18,$E400,$F$20,I$22,$H400,$F$19)</f>
        <v>800</v>
      </c>
      <c r="J400" s="36">
        <f>_xll.DBRW($E$12,$F$16,$F$17,$F$18,$E400,$F$20,J$22,$H400,$F$19)</f>
        <v>800</v>
      </c>
      <c r="K400" s="36">
        <f>_xll.DBRW($E$12,$F$16,$F$17,$F$18,$E400,$F$20,K$22,$H400,$F$19)</f>
        <v>800</v>
      </c>
      <c r="L400" s="36">
        <f>_xll.DBRW($E$12,$F$16,$F$17,$F$18,$E400,$F$20,L$22,$H400,$F$19)</f>
        <v>800</v>
      </c>
      <c r="M400" s="36">
        <f>_xll.DBRW($E$12,$F$16,$F$17,$F$18,$E400,$F$20,M$22,$H400,$F$19)</f>
        <v>800</v>
      </c>
      <c r="N400" s="36">
        <f>_xll.DBRW($E$12,$F$16,$F$17,$F$18,$E400,$F$20,N$22,$H400,$F$19)</f>
        <v>800</v>
      </c>
      <c r="O400" s="36">
        <f>_xll.DBRW($E$12,$F$16,$F$17,$F$18,$E400,$F$20,O$22,$H400,$F$19)</f>
        <v>800</v>
      </c>
      <c r="P400" s="36">
        <f>_xll.DBRW($E$12,$F$16,$F$17,$F$18,$E400,$F$20,P$22,$H400,$F$19)</f>
        <v>0</v>
      </c>
      <c r="Q400" s="36">
        <f>_xll.DBRW($E$12,$F$16,$F$17,$F$18,$E400,$F$20,Q$22,$H400,$F$19)</f>
        <v>0</v>
      </c>
      <c r="R400" s="36">
        <f>_xll.DBRW($E$12,$F$16,$F$17,$F$18,$E400,$F$20,R$22,$H400,$F$19)</f>
        <v>0</v>
      </c>
      <c r="S400" s="36">
        <f>_xll.DBRW($E$12,$F$16,$F$17,$F$18,$E400,$F$20,S$22,$H400,$F$19)</f>
        <v>0</v>
      </c>
      <c r="T400" s="36">
        <f>_xll.DBRW($E$12,$F$16,$F$17,$F$18,$E400,$F$20,T$22,$H400,$F$19)</f>
        <v>0</v>
      </c>
      <c r="U400" s="36">
        <f>_xll.DBRW($E$12,$F$16,$F$17,$F$18,$E400,$F$20,U$22,$H400,$F$19)</f>
        <v>5600</v>
      </c>
    </row>
    <row r="401" spans="4:21" s="37" customFormat="1" ht="15" outlineLevel="1" thickBot="1" x14ac:dyDescent="0.35">
      <c r="D401" s="33" t="str">
        <f>IF(_xll.TM1RPTELISCONSOLIDATED($H$34,$H401),IF(_xll.TM1RPTELLEV($H$34,$H401)&lt;=5,_xll.TM1RPTELLEV($H$34,$H401),"Default"),"Leaf")</f>
        <v>Leaf</v>
      </c>
      <c r="E401" s="42" t="s">
        <v>681</v>
      </c>
      <c r="F401" s="34" t="str">
        <f>_xll.DBR($B$18,$H401,"Account_Type")</f>
        <v>NON LABOR</v>
      </c>
      <c r="G401" s="34" t="str">
        <f>_xll.DBR($B$18,$H401,"Description")</f>
        <v>Fuel to Leased Vehicles</v>
      </c>
      <c r="H401" s="43" t="s">
        <v>640</v>
      </c>
      <c r="I401" s="36">
        <f>_xll.DBRW($E$12,$F$16,$F$17,$F$18,$E401,$F$20,I$22,$H401,$F$19)</f>
        <v>0</v>
      </c>
      <c r="J401" s="36">
        <f>_xll.DBRW($E$12,$F$16,$F$17,$F$18,$E401,$F$20,J$22,$H401,$F$19)</f>
        <v>95.4</v>
      </c>
      <c r="K401" s="36">
        <f>_xll.DBRW($E$12,$F$16,$F$17,$F$18,$E401,$F$20,K$22,$H401,$F$19)</f>
        <v>0</v>
      </c>
      <c r="L401" s="36">
        <f>_xll.DBRW($E$12,$F$16,$F$17,$F$18,$E401,$F$20,L$22,$H401,$F$19)</f>
        <v>0</v>
      </c>
      <c r="M401" s="36">
        <f>_xll.DBRW($E$12,$F$16,$F$17,$F$18,$E401,$F$20,M$22,$H401,$F$19)</f>
        <v>172.41</v>
      </c>
      <c r="N401" s="36">
        <f>_xll.DBRW($E$12,$F$16,$F$17,$F$18,$E401,$F$20,N$22,$H401,$F$19)</f>
        <v>0</v>
      </c>
      <c r="O401" s="36">
        <f>_xll.DBRW($E$12,$F$16,$F$17,$F$18,$E401,$F$20,O$22,$H401,$F$19)</f>
        <v>0</v>
      </c>
      <c r="P401" s="36">
        <f>_xll.DBRW($E$12,$F$16,$F$17,$F$18,$E401,$F$20,P$22,$H401,$F$19)</f>
        <v>0</v>
      </c>
      <c r="Q401" s="36">
        <f>_xll.DBRW($E$12,$F$16,$F$17,$F$18,$E401,$F$20,Q$22,$H401,$F$19)</f>
        <v>0</v>
      </c>
      <c r="R401" s="36">
        <f>_xll.DBRW($E$12,$F$16,$F$17,$F$18,$E401,$F$20,R$22,$H401,$F$19)</f>
        <v>0</v>
      </c>
      <c r="S401" s="36">
        <f>_xll.DBRW($E$12,$F$16,$F$17,$F$18,$E401,$F$20,S$22,$H401,$F$19)</f>
        <v>0</v>
      </c>
      <c r="T401" s="36">
        <f>_xll.DBRW($E$12,$F$16,$F$17,$F$18,$E401,$F$20,T$22,$H401,$F$19)</f>
        <v>0</v>
      </c>
      <c r="U401" s="36">
        <f>_xll.DBRW($E$12,$F$16,$F$17,$F$18,$E401,$F$20,U$22,$H401,$F$19)</f>
        <v>267.81</v>
      </c>
    </row>
    <row r="402" spans="4:21" s="37" customFormat="1" ht="15" outlineLevel="1" thickBot="1" x14ac:dyDescent="0.35">
      <c r="D402" s="33" t="str">
        <f>IF(_xll.TM1RPTELISCONSOLIDATED($H$34,$H402),IF(_xll.TM1RPTELLEV($H$34,$H402)&lt;=5,_xll.TM1RPTELLEV($H$34,$H402),"Default"),"Leaf")</f>
        <v>Leaf</v>
      </c>
      <c r="E402" s="42" t="s">
        <v>681</v>
      </c>
      <c r="F402" s="34" t="str">
        <f>_xll.DBR($B$18,$H402,"Account_Type")</f>
        <v>NON LABOR</v>
      </c>
      <c r="G402" s="34" t="str">
        <f>_xll.DBR($B$18,$H402,"Description")</f>
        <v>Miscellaneous Expense</v>
      </c>
      <c r="H402" s="43" t="s">
        <v>665</v>
      </c>
      <c r="I402" s="36">
        <f>_xll.DBRW($E$12,$F$16,$F$17,$F$18,$E402,$F$20,I$22,$H402,$F$19)</f>
        <v>105.52</v>
      </c>
      <c r="J402" s="36">
        <f>_xll.DBRW($E$12,$F$16,$F$17,$F$18,$E402,$F$20,J$22,$H402,$F$19)</f>
        <v>107.01</v>
      </c>
      <c r="K402" s="36">
        <f>_xll.DBRW($E$12,$F$16,$F$17,$F$18,$E402,$F$20,K$22,$H402,$F$19)</f>
        <v>0</v>
      </c>
      <c r="L402" s="36">
        <f>_xll.DBRW($E$12,$F$16,$F$17,$F$18,$E402,$F$20,L$22,$H402,$F$19)</f>
        <v>0</v>
      </c>
      <c r="M402" s="36">
        <f>_xll.DBRW($E$12,$F$16,$F$17,$F$18,$E402,$F$20,M$22,$H402,$F$19)</f>
        <v>105.52</v>
      </c>
      <c r="N402" s="36">
        <f>_xll.DBRW($E$12,$F$16,$F$17,$F$18,$E402,$F$20,N$22,$H402,$F$19)</f>
        <v>0</v>
      </c>
      <c r="O402" s="36">
        <f>_xll.DBRW($E$12,$F$16,$F$17,$F$18,$E402,$F$20,O$22,$H402,$F$19)</f>
        <v>0</v>
      </c>
      <c r="P402" s="36">
        <f>_xll.DBRW($E$12,$F$16,$F$17,$F$18,$E402,$F$20,P$22,$H402,$F$19)</f>
        <v>0</v>
      </c>
      <c r="Q402" s="36">
        <f>_xll.DBRW($E$12,$F$16,$F$17,$F$18,$E402,$F$20,Q$22,$H402,$F$19)</f>
        <v>0</v>
      </c>
      <c r="R402" s="36">
        <f>_xll.DBRW($E$12,$F$16,$F$17,$F$18,$E402,$F$20,R$22,$H402,$F$19)</f>
        <v>0</v>
      </c>
      <c r="S402" s="36">
        <f>_xll.DBRW($E$12,$F$16,$F$17,$F$18,$E402,$F$20,S$22,$H402,$F$19)</f>
        <v>0</v>
      </c>
      <c r="T402" s="36">
        <f>_xll.DBRW($E$12,$F$16,$F$17,$F$18,$E402,$F$20,T$22,$H402,$F$19)</f>
        <v>0</v>
      </c>
      <c r="U402" s="36">
        <f>_xll.DBRW($E$12,$F$16,$F$17,$F$18,$E402,$F$20,U$22,$H402,$F$19)</f>
        <v>318.05</v>
      </c>
    </row>
    <row r="403" spans="4:21" s="37" customFormat="1" ht="15" outlineLevel="1" thickBot="1" x14ac:dyDescent="0.35">
      <c r="D403" s="33" t="str">
        <f>IF(_xll.TM1RPTELISCONSOLIDATED($H$34,$H403),IF(_xll.TM1RPTELLEV($H$34,$H403)&lt;=5,_xll.TM1RPTELLEV($H$34,$H403),"Default"),"Leaf")</f>
        <v>Leaf</v>
      </c>
      <c r="E403" s="42" t="s">
        <v>682</v>
      </c>
      <c r="F403" s="34" t="str">
        <f>_xll.DBR($B$18,$H403,"Account_Type")</f>
        <v>NON LABOR</v>
      </c>
      <c r="G403" s="34" t="str">
        <f>_xll.DBR($B$18,$H403,"Description")</f>
        <v>Telecommunications / Internet</v>
      </c>
      <c r="H403" s="43" t="s">
        <v>119</v>
      </c>
      <c r="I403" s="36">
        <f>_xll.DBRW($E$12,$F$16,$F$17,$F$18,$E403,$F$20,I$22,$H403,$F$19)</f>
        <v>25</v>
      </c>
      <c r="J403" s="36">
        <f>_xll.DBRW($E$12,$F$16,$F$17,$F$18,$E403,$F$20,J$22,$H403,$F$19)</f>
        <v>25</v>
      </c>
      <c r="K403" s="36">
        <f>_xll.DBRW($E$12,$F$16,$F$17,$F$18,$E403,$F$20,K$22,$H403,$F$19)</f>
        <v>25</v>
      </c>
      <c r="L403" s="36">
        <f>_xll.DBRW($E$12,$F$16,$F$17,$F$18,$E403,$F$20,L$22,$H403,$F$19)</f>
        <v>25</v>
      </c>
      <c r="M403" s="36">
        <f>_xll.DBRW($E$12,$F$16,$F$17,$F$18,$E403,$F$20,M$22,$H403,$F$19)</f>
        <v>0</v>
      </c>
      <c r="N403" s="36">
        <f>_xll.DBRW($E$12,$F$16,$F$17,$F$18,$E403,$F$20,N$22,$H403,$F$19)</f>
        <v>0</v>
      </c>
      <c r="O403" s="36">
        <f>_xll.DBRW($E$12,$F$16,$F$17,$F$18,$E403,$F$20,O$22,$H403,$F$19)</f>
        <v>0</v>
      </c>
      <c r="P403" s="36">
        <f>_xll.DBRW($E$12,$F$16,$F$17,$F$18,$E403,$F$20,P$22,$H403,$F$19)</f>
        <v>0</v>
      </c>
      <c r="Q403" s="36">
        <f>_xll.DBRW($E$12,$F$16,$F$17,$F$18,$E403,$F$20,Q$22,$H403,$F$19)</f>
        <v>0</v>
      </c>
      <c r="R403" s="36">
        <f>_xll.DBRW($E$12,$F$16,$F$17,$F$18,$E403,$F$20,R$22,$H403,$F$19)</f>
        <v>0</v>
      </c>
      <c r="S403" s="36">
        <f>_xll.DBRW($E$12,$F$16,$F$17,$F$18,$E403,$F$20,S$22,$H403,$F$19)</f>
        <v>0</v>
      </c>
      <c r="T403" s="36">
        <f>_xll.DBRW($E$12,$F$16,$F$17,$F$18,$E403,$F$20,T$22,$H403,$F$19)</f>
        <v>0</v>
      </c>
      <c r="U403" s="36">
        <f>_xll.DBRW($E$12,$F$16,$F$17,$F$18,$E403,$F$20,U$22,$H403,$F$19)</f>
        <v>100</v>
      </c>
    </row>
    <row r="404" spans="4:21" s="37" customFormat="1" ht="15" outlineLevel="1" thickBot="1" x14ac:dyDescent="0.35">
      <c r="D404" s="33" t="str">
        <f>IF(_xll.TM1RPTELISCONSOLIDATED($H$34,$H404),IF(_xll.TM1RPTELLEV($H$34,$H404)&lt;=5,_xll.TM1RPTELLEV($H$34,$H404),"Default"),"Leaf")</f>
        <v>Leaf</v>
      </c>
      <c r="E404" s="42" t="s">
        <v>682</v>
      </c>
      <c r="F404" s="34" t="str">
        <f>_xll.DBR($B$18,$H404,"Account_Type")</f>
        <v>NON LABOR</v>
      </c>
      <c r="G404" s="34" t="str">
        <f>_xll.DBR($B$18,$H404,"Description")</f>
        <v>Company Owned Equipment</v>
      </c>
      <c r="H404" s="43" t="s">
        <v>418</v>
      </c>
      <c r="I404" s="36">
        <f>_xll.DBRW($E$12,$F$16,$F$17,$F$18,$E404,$F$20,I$22,$H404,$F$19)</f>
        <v>0</v>
      </c>
      <c r="J404" s="36">
        <f>_xll.DBRW($E$12,$F$16,$F$17,$F$18,$E404,$F$20,J$22,$H404,$F$19)</f>
        <v>0</v>
      </c>
      <c r="K404" s="36">
        <f>_xll.DBRW($E$12,$F$16,$F$17,$F$18,$E404,$F$20,K$22,$H404,$F$19)</f>
        <v>0</v>
      </c>
      <c r="L404" s="36">
        <f>_xll.DBRW($E$12,$F$16,$F$17,$F$18,$E404,$F$20,L$22,$H404,$F$19)</f>
        <v>0</v>
      </c>
      <c r="M404" s="36">
        <f>_xll.DBRW($E$12,$F$16,$F$17,$F$18,$E404,$F$20,M$22,$H404,$F$19)</f>
        <v>0</v>
      </c>
      <c r="N404" s="36">
        <f>_xll.DBRW($E$12,$F$16,$F$17,$F$18,$E404,$F$20,N$22,$H404,$F$19)</f>
        <v>795</v>
      </c>
      <c r="O404" s="36">
        <f>_xll.DBRW($E$12,$F$16,$F$17,$F$18,$E404,$F$20,O$22,$H404,$F$19)</f>
        <v>0</v>
      </c>
      <c r="P404" s="36">
        <f>_xll.DBRW($E$12,$F$16,$F$17,$F$18,$E404,$F$20,P$22,$H404,$F$19)</f>
        <v>0</v>
      </c>
      <c r="Q404" s="36">
        <f>_xll.DBRW($E$12,$F$16,$F$17,$F$18,$E404,$F$20,Q$22,$H404,$F$19)</f>
        <v>0</v>
      </c>
      <c r="R404" s="36">
        <f>_xll.DBRW($E$12,$F$16,$F$17,$F$18,$E404,$F$20,R$22,$H404,$F$19)</f>
        <v>0</v>
      </c>
      <c r="S404" s="36">
        <f>_xll.DBRW($E$12,$F$16,$F$17,$F$18,$E404,$F$20,S$22,$H404,$F$19)</f>
        <v>0</v>
      </c>
      <c r="T404" s="36">
        <f>_xll.DBRW($E$12,$F$16,$F$17,$F$18,$E404,$F$20,T$22,$H404,$F$19)</f>
        <v>0</v>
      </c>
      <c r="U404" s="36">
        <f>_xll.DBRW($E$12,$F$16,$F$17,$F$18,$E404,$F$20,U$22,$H404,$F$19)</f>
        <v>795</v>
      </c>
    </row>
    <row r="405" spans="4:21" s="37" customFormat="1" ht="15" outlineLevel="1" thickBot="1" x14ac:dyDescent="0.35">
      <c r="D405" s="33" t="str">
        <f>IF(_xll.TM1RPTELISCONSOLIDATED($H$34,$H405),IF(_xll.TM1RPTELLEV($H$34,$H405)&lt;=5,_xll.TM1RPTELLEV($H$34,$H405),"Default"),"Leaf")</f>
        <v>Leaf</v>
      </c>
      <c r="E405" s="42" t="s">
        <v>683</v>
      </c>
      <c r="F405" s="34" t="str">
        <f>_xll.DBR($B$18,$H405,"Account_Type")</f>
        <v>NON LABOR</v>
      </c>
      <c r="G405" s="34" t="str">
        <f>_xll.DBR($B$18,$H405,"Description")</f>
        <v>Office/Computer Supplies &amp; Eqpt</v>
      </c>
      <c r="H405" s="43" t="s">
        <v>538</v>
      </c>
      <c r="I405" s="36">
        <f>_xll.DBRW($E$12,$F$16,$F$17,$F$18,$E405,$F$20,I$22,$H405,$F$19)</f>
        <v>0</v>
      </c>
      <c r="J405" s="36">
        <f>_xll.DBRW($E$12,$F$16,$F$17,$F$18,$E405,$F$20,J$22,$H405,$F$19)</f>
        <v>142</v>
      </c>
      <c r="K405" s="36">
        <f>_xll.DBRW($E$12,$F$16,$F$17,$F$18,$E405,$F$20,K$22,$H405,$F$19)</f>
        <v>240</v>
      </c>
      <c r="L405" s="36">
        <f>_xll.DBRW($E$12,$F$16,$F$17,$F$18,$E405,$F$20,L$22,$H405,$F$19)</f>
        <v>0</v>
      </c>
      <c r="M405" s="36">
        <f>_xll.DBRW($E$12,$F$16,$F$17,$F$18,$E405,$F$20,M$22,$H405,$F$19)</f>
        <v>739.92</v>
      </c>
      <c r="N405" s="36">
        <f>_xll.DBRW($E$12,$F$16,$F$17,$F$18,$E405,$F$20,N$22,$H405,$F$19)</f>
        <v>181</v>
      </c>
      <c r="O405" s="36">
        <f>_xll.DBRW($E$12,$F$16,$F$17,$F$18,$E405,$F$20,O$22,$H405,$F$19)</f>
        <v>0</v>
      </c>
      <c r="P405" s="36">
        <f>_xll.DBRW($E$12,$F$16,$F$17,$F$18,$E405,$F$20,P$22,$H405,$F$19)</f>
        <v>0</v>
      </c>
      <c r="Q405" s="36">
        <f>_xll.DBRW($E$12,$F$16,$F$17,$F$18,$E405,$F$20,Q$22,$H405,$F$19)</f>
        <v>0</v>
      </c>
      <c r="R405" s="36">
        <f>_xll.DBRW($E$12,$F$16,$F$17,$F$18,$E405,$F$20,R$22,$H405,$F$19)</f>
        <v>0</v>
      </c>
      <c r="S405" s="36">
        <f>_xll.DBRW($E$12,$F$16,$F$17,$F$18,$E405,$F$20,S$22,$H405,$F$19)</f>
        <v>0</v>
      </c>
      <c r="T405" s="36">
        <f>_xll.DBRW($E$12,$F$16,$F$17,$F$18,$E405,$F$20,T$22,$H405,$F$19)</f>
        <v>0</v>
      </c>
      <c r="U405" s="36">
        <f>_xll.DBRW($E$12,$F$16,$F$17,$F$18,$E405,$F$20,U$22,$H405,$F$19)</f>
        <v>1302.92</v>
      </c>
    </row>
    <row r="406" spans="4:21" s="37" customFormat="1" ht="15" outlineLevel="1" thickBot="1" x14ac:dyDescent="0.35">
      <c r="D406" s="33" t="str">
        <f>IF(_xll.TM1RPTELISCONSOLIDATED($H$34,$H406),IF(_xll.TM1RPTELLEV($H$34,$H406)&lt;=5,_xll.TM1RPTELLEV($H$34,$H406),"Default"),"Leaf")</f>
        <v>Leaf</v>
      </c>
      <c r="E406" s="42" t="s">
        <v>683</v>
      </c>
      <c r="F406" s="34" t="str">
        <f>_xll.DBR($B$18,$H406,"Account_Type")</f>
        <v>NON LABOR</v>
      </c>
      <c r="G406" s="34" t="str">
        <f>_xll.DBR($B$18,$H406,"Description")</f>
        <v>Employee Leased Vehicles</v>
      </c>
      <c r="H406" s="43" t="s">
        <v>636</v>
      </c>
      <c r="I406" s="36">
        <f>_xll.DBRW($E$12,$F$16,$F$17,$F$18,$E406,$F$20,I$22,$H406,$F$19)</f>
        <v>0</v>
      </c>
      <c r="J406" s="36">
        <f>_xll.DBRW($E$12,$F$16,$F$17,$F$18,$E406,$F$20,J$22,$H406,$F$19)</f>
        <v>0</v>
      </c>
      <c r="K406" s="36">
        <f>_xll.DBRW($E$12,$F$16,$F$17,$F$18,$E406,$F$20,K$22,$H406,$F$19)</f>
        <v>0</v>
      </c>
      <c r="L406" s="36">
        <f>_xll.DBRW($E$12,$F$16,$F$17,$F$18,$E406,$F$20,L$22,$H406,$F$19)</f>
        <v>0</v>
      </c>
      <c r="M406" s="36">
        <f>_xll.DBRW($E$12,$F$16,$F$17,$F$18,$E406,$F$20,M$22,$H406,$F$19)</f>
        <v>0</v>
      </c>
      <c r="N406" s="36">
        <f>_xll.DBRW($E$12,$F$16,$F$17,$F$18,$E406,$F$20,N$22,$H406,$F$19)</f>
        <v>0</v>
      </c>
      <c r="O406" s="36">
        <f>_xll.DBRW($E$12,$F$16,$F$17,$F$18,$E406,$F$20,O$22,$H406,$F$19)</f>
        <v>1150</v>
      </c>
      <c r="P406" s="36">
        <f>_xll.DBRW($E$12,$F$16,$F$17,$F$18,$E406,$F$20,P$22,$H406,$F$19)</f>
        <v>0</v>
      </c>
      <c r="Q406" s="36">
        <f>_xll.DBRW($E$12,$F$16,$F$17,$F$18,$E406,$F$20,Q$22,$H406,$F$19)</f>
        <v>0</v>
      </c>
      <c r="R406" s="36">
        <f>_xll.DBRW($E$12,$F$16,$F$17,$F$18,$E406,$F$20,R$22,$H406,$F$19)</f>
        <v>0</v>
      </c>
      <c r="S406" s="36">
        <f>_xll.DBRW($E$12,$F$16,$F$17,$F$18,$E406,$F$20,S$22,$H406,$F$19)</f>
        <v>0</v>
      </c>
      <c r="T406" s="36">
        <f>_xll.DBRW($E$12,$F$16,$F$17,$F$18,$E406,$F$20,T$22,$H406,$F$19)</f>
        <v>0</v>
      </c>
      <c r="U406" s="36">
        <f>_xll.DBRW($E$12,$F$16,$F$17,$F$18,$E406,$F$20,U$22,$H406,$F$19)</f>
        <v>1150</v>
      </c>
    </row>
    <row r="407" spans="4:21" s="37" customFormat="1" ht="15" outlineLevel="1" thickBot="1" x14ac:dyDescent="0.35">
      <c r="D407" s="33" t="str">
        <f>IF(_xll.TM1RPTELISCONSOLIDATED($H$34,$H407),IF(_xll.TM1RPTELLEV($H$34,$H407)&lt;=5,_xll.TM1RPTELLEV($H$34,$H407),"Default"),"Leaf")</f>
        <v>Leaf</v>
      </c>
      <c r="E407" s="42" t="s">
        <v>684</v>
      </c>
      <c r="F407" s="34" t="str">
        <f>_xll.DBR($B$18,$H407,"Account_Type")</f>
        <v>NON LABOR</v>
      </c>
      <c r="G407" s="34" t="str">
        <f>_xll.DBR($B$18,$H407,"Description")</f>
        <v>Business Meals &amp; Entertainment</v>
      </c>
      <c r="H407" s="43" t="s">
        <v>488</v>
      </c>
      <c r="I407" s="36">
        <f>_xll.DBRW($E$12,$F$16,$F$17,$F$18,$E407,$F$20,I$22,$H407,$F$19)</f>
        <v>0</v>
      </c>
      <c r="J407" s="36">
        <f>_xll.DBRW($E$12,$F$16,$F$17,$F$18,$E407,$F$20,J$22,$H407,$F$19)</f>
        <v>0</v>
      </c>
      <c r="K407" s="36">
        <f>_xll.DBRW($E$12,$F$16,$F$17,$F$18,$E407,$F$20,K$22,$H407,$F$19)</f>
        <v>45.6</v>
      </c>
      <c r="L407" s="36">
        <f>_xll.DBRW($E$12,$F$16,$F$17,$F$18,$E407,$F$20,L$22,$H407,$F$19)</f>
        <v>0</v>
      </c>
      <c r="M407" s="36">
        <f>_xll.DBRW($E$12,$F$16,$F$17,$F$18,$E407,$F$20,M$22,$H407,$F$19)</f>
        <v>0</v>
      </c>
      <c r="N407" s="36">
        <f>_xll.DBRW($E$12,$F$16,$F$17,$F$18,$E407,$F$20,N$22,$H407,$F$19)</f>
        <v>0</v>
      </c>
      <c r="O407" s="36">
        <f>_xll.DBRW($E$12,$F$16,$F$17,$F$18,$E407,$F$20,O$22,$H407,$F$19)</f>
        <v>0</v>
      </c>
      <c r="P407" s="36">
        <f>_xll.DBRW($E$12,$F$16,$F$17,$F$18,$E407,$F$20,P$22,$H407,$F$19)</f>
        <v>0</v>
      </c>
      <c r="Q407" s="36">
        <f>_xll.DBRW($E$12,$F$16,$F$17,$F$18,$E407,$F$20,Q$22,$H407,$F$19)</f>
        <v>0</v>
      </c>
      <c r="R407" s="36">
        <f>_xll.DBRW($E$12,$F$16,$F$17,$F$18,$E407,$F$20,R$22,$H407,$F$19)</f>
        <v>0</v>
      </c>
      <c r="S407" s="36">
        <f>_xll.DBRW($E$12,$F$16,$F$17,$F$18,$E407,$F$20,S$22,$H407,$F$19)</f>
        <v>0</v>
      </c>
      <c r="T407" s="36">
        <f>_xll.DBRW($E$12,$F$16,$F$17,$F$18,$E407,$F$20,T$22,$H407,$F$19)</f>
        <v>0</v>
      </c>
      <c r="U407" s="36">
        <f>_xll.DBRW($E$12,$F$16,$F$17,$F$18,$E407,$F$20,U$22,$H407,$F$19)</f>
        <v>45.6</v>
      </c>
    </row>
    <row r="408" spans="4:21" s="37" customFormat="1" ht="15" outlineLevel="1" thickBot="1" x14ac:dyDescent="0.35">
      <c r="D408" s="33" t="str">
        <f>IF(_xll.TM1RPTELISCONSOLIDATED($H$34,$H408),IF(_xll.TM1RPTELLEV($H$34,$H408)&lt;=5,_xll.TM1RPTELLEV($H$34,$H408),"Default"),"Leaf")</f>
        <v>Leaf</v>
      </c>
      <c r="E408" s="42" t="s">
        <v>684</v>
      </c>
      <c r="F408" s="34" t="str">
        <f>_xll.DBR($B$18,$H408,"Account_Type")</f>
        <v>NON LABOR</v>
      </c>
      <c r="G408" s="34" t="str">
        <f>_xll.DBR($B$18,$H408,"Description")</f>
        <v>Telecommunications / Internet</v>
      </c>
      <c r="H408" s="43" t="s">
        <v>508</v>
      </c>
      <c r="I408" s="36">
        <f>_xll.DBRW($E$12,$F$16,$F$17,$F$18,$E408,$F$20,I$22,$H408,$F$19)</f>
        <v>63.9</v>
      </c>
      <c r="J408" s="36">
        <f>_xll.DBRW($E$12,$F$16,$F$17,$F$18,$E408,$F$20,J$22,$H408,$F$19)</f>
        <v>63.88</v>
      </c>
      <c r="K408" s="36">
        <f>_xll.DBRW($E$12,$F$16,$F$17,$F$18,$E408,$F$20,K$22,$H408,$F$19)</f>
        <v>63.88</v>
      </c>
      <c r="L408" s="36">
        <f>_xll.DBRW($E$12,$F$16,$F$17,$F$18,$E408,$F$20,L$22,$H408,$F$19)</f>
        <v>63.88</v>
      </c>
      <c r="M408" s="36">
        <f>_xll.DBRW($E$12,$F$16,$F$17,$F$18,$E408,$F$20,M$22,$H408,$F$19)</f>
        <v>63.84</v>
      </c>
      <c r="N408" s="36">
        <f>_xll.DBRW($E$12,$F$16,$F$17,$F$18,$E408,$F$20,N$22,$H408,$F$19)</f>
        <v>63.84</v>
      </c>
      <c r="O408" s="36">
        <f>_xll.DBRW($E$12,$F$16,$F$17,$F$18,$E408,$F$20,O$22,$H408,$F$19)</f>
        <v>0</v>
      </c>
      <c r="P408" s="36">
        <f>_xll.DBRW($E$12,$F$16,$F$17,$F$18,$E408,$F$20,P$22,$H408,$F$19)</f>
        <v>0</v>
      </c>
      <c r="Q408" s="36">
        <f>_xll.DBRW($E$12,$F$16,$F$17,$F$18,$E408,$F$20,Q$22,$H408,$F$19)</f>
        <v>0</v>
      </c>
      <c r="R408" s="36">
        <f>_xll.DBRW($E$12,$F$16,$F$17,$F$18,$E408,$F$20,R$22,$H408,$F$19)</f>
        <v>0</v>
      </c>
      <c r="S408" s="36">
        <f>_xll.DBRW($E$12,$F$16,$F$17,$F$18,$E408,$F$20,S$22,$H408,$F$19)</f>
        <v>0</v>
      </c>
      <c r="T408" s="36">
        <f>_xll.DBRW($E$12,$F$16,$F$17,$F$18,$E408,$F$20,T$22,$H408,$F$19)</f>
        <v>0</v>
      </c>
      <c r="U408" s="36">
        <f>_xll.DBRW($E$12,$F$16,$F$17,$F$18,$E408,$F$20,U$22,$H408,$F$19)</f>
        <v>383.22</v>
      </c>
    </row>
    <row r="409" spans="4:21" s="37" customFormat="1" ht="15" outlineLevel="1" thickBot="1" x14ac:dyDescent="0.35">
      <c r="D409" s="33" t="str">
        <f>IF(_xll.TM1RPTELISCONSOLIDATED($H$34,$H409),IF(_xll.TM1RPTELLEV($H$34,$H409)&lt;=5,_xll.TM1RPTELLEV($H$34,$H409),"Default"),"Leaf")</f>
        <v>Leaf</v>
      </c>
      <c r="E409" s="42" t="s">
        <v>684</v>
      </c>
      <c r="F409" s="34" t="str">
        <f>_xll.DBR($B$18,$H409,"Account_Type")</f>
        <v>NON LABOR</v>
      </c>
      <c r="G409" s="34" t="str">
        <f>_xll.DBR($B$18,$H409,"Description")</f>
        <v>Office/Computer Supplies &amp; Eqpt</v>
      </c>
      <c r="H409" s="43" t="s">
        <v>535</v>
      </c>
      <c r="I409" s="36">
        <f>_xll.DBRW($E$12,$F$16,$F$17,$F$18,$E409,$F$20,I$22,$H409,$F$19)</f>
        <v>355.46</v>
      </c>
      <c r="J409" s="36">
        <f>_xll.DBRW($E$12,$F$16,$F$17,$F$18,$E409,$F$20,J$22,$H409,$F$19)</f>
        <v>355.46</v>
      </c>
      <c r="K409" s="36">
        <f>_xll.DBRW($E$12,$F$16,$F$17,$F$18,$E409,$F$20,K$22,$H409,$F$19)</f>
        <v>355.46</v>
      </c>
      <c r="L409" s="36">
        <f>_xll.DBRW($E$12,$F$16,$F$17,$F$18,$E409,$F$20,L$22,$H409,$F$19)</f>
        <v>355.46</v>
      </c>
      <c r="M409" s="36">
        <f>_xll.DBRW($E$12,$F$16,$F$17,$F$18,$E409,$F$20,M$22,$H409,$F$19)</f>
        <v>616.23</v>
      </c>
      <c r="N409" s="36">
        <f>_xll.DBRW($E$12,$F$16,$F$17,$F$18,$E409,$F$20,N$22,$H409,$F$19)</f>
        <v>811.8</v>
      </c>
      <c r="O409" s="36">
        <f>_xll.DBRW($E$12,$F$16,$F$17,$F$18,$E409,$F$20,O$22,$H409,$F$19)</f>
        <v>0</v>
      </c>
      <c r="P409" s="36">
        <f>_xll.DBRW($E$12,$F$16,$F$17,$F$18,$E409,$F$20,P$22,$H409,$F$19)</f>
        <v>0</v>
      </c>
      <c r="Q409" s="36">
        <f>_xll.DBRW($E$12,$F$16,$F$17,$F$18,$E409,$F$20,Q$22,$H409,$F$19)</f>
        <v>0</v>
      </c>
      <c r="R409" s="36">
        <f>_xll.DBRW($E$12,$F$16,$F$17,$F$18,$E409,$F$20,R$22,$H409,$F$19)</f>
        <v>0</v>
      </c>
      <c r="S409" s="36">
        <f>_xll.DBRW($E$12,$F$16,$F$17,$F$18,$E409,$F$20,S$22,$H409,$F$19)</f>
        <v>0</v>
      </c>
      <c r="T409" s="36">
        <f>_xll.DBRW($E$12,$F$16,$F$17,$F$18,$E409,$F$20,T$22,$H409,$F$19)</f>
        <v>0</v>
      </c>
      <c r="U409" s="36">
        <f>_xll.DBRW($E$12,$F$16,$F$17,$F$18,$E409,$F$20,U$22,$H409,$F$19)</f>
        <v>2849.87</v>
      </c>
    </row>
    <row r="410" spans="4:21" s="37" customFormat="1" ht="15" outlineLevel="1" thickBot="1" x14ac:dyDescent="0.35">
      <c r="D410" s="33" t="str">
        <f>IF(_xll.TM1RPTELISCONSOLIDATED($H$34,$H410),IF(_xll.TM1RPTELLEV($H$34,$H410)&lt;=5,_xll.TM1RPTELLEV($H$34,$H410),"Default"),"Leaf")</f>
        <v>Leaf</v>
      </c>
      <c r="E410" s="42" t="s">
        <v>684</v>
      </c>
      <c r="F410" s="34" t="str">
        <f>_xll.DBR($B$18,$H410,"Account_Type")</f>
        <v>NON LABOR</v>
      </c>
      <c r="G410" s="34" t="str">
        <f>_xll.DBR($B$18,$H410,"Description")</f>
        <v>Office/Computer Supplies &amp; Eqpt</v>
      </c>
      <c r="H410" s="43" t="s">
        <v>536</v>
      </c>
      <c r="I410" s="36">
        <f>_xll.DBRW($E$12,$F$16,$F$17,$F$18,$E410,$F$20,I$22,$H410,$F$19)</f>
        <v>260.77</v>
      </c>
      <c r="J410" s="36">
        <f>_xll.DBRW($E$12,$F$16,$F$17,$F$18,$E410,$F$20,J$22,$H410,$F$19)</f>
        <v>260.77</v>
      </c>
      <c r="K410" s="36">
        <f>_xll.DBRW($E$12,$F$16,$F$17,$F$18,$E410,$F$20,K$22,$H410,$F$19)</f>
        <v>260.77</v>
      </c>
      <c r="L410" s="36">
        <f>_xll.DBRW($E$12,$F$16,$F$17,$F$18,$E410,$F$20,L$22,$H410,$F$19)</f>
        <v>260.77</v>
      </c>
      <c r="M410" s="36">
        <f>_xll.DBRW($E$12,$F$16,$F$17,$F$18,$E410,$F$20,M$22,$H410,$F$19)</f>
        <v>0</v>
      </c>
      <c r="N410" s="36">
        <f>_xll.DBRW($E$12,$F$16,$F$17,$F$18,$E410,$F$20,N$22,$H410,$F$19)</f>
        <v>260.77</v>
      </c>
      <c r="O410" s="36">
        <f>_xll.DBRW($E$12,$F$16,$F$17,$F$18,$E410,$F$20,O$22,$H410,$F$19)</f>
        <v>0</v>
      </c>
      <c r="P410" s="36">
        <f>_xll.DBRW($E$12,$F$16,$F$17,$F$18,$E410,$F$20,P$22,$H410,$F$19)</f>
        <v>0</v>
      </c>
      <c r="Q410" s="36">
        <f>_xll.DBRW($E$12,$F$16,$F$17,$F$18,$E410,$F$20,Q$22,$H410,$F$19)</f>
        <v>0</v>
      </c>
      <c r="R410" s="36">
        <f>_xll.DBRW($E$12,$F$16,$F$17,$F$18,$E410,$F$20,R$22,$H410,$F$19)</f>
        <v>0</v>
      </c>
      <c r="S410" s="36">
        <f>_xll.DBRW($E$12,$F$16,$F$17,$F$18,$E410,$F$20,S$22,$H410,$F$19)</f>
        <v>0</v>
      </c>
      <c r="T410" s="36">
        <f>_xll.DBRW($E$12,$F$16,$F$17,$F$18,$E410,$F$20,T$22,$H410,$F$19)</f>
        <v>0</v>
      </c>
      <c r="U410" s="36">
        <f>_xll.DBRW($E$12,$F$16,$F$17,$F$18,$E410,$F$20,U$22,$H410,$F$19)</f>
        <v>1303.8499999999999</v>
      </c>
    </row>
    <row r="411" spans="4:21" s="37" customFormat="1" ht="15" outlineLevel="1" thickBot="1" x14ac:dyDescent="0.35">
      <c r="D411" s="33" t="str">
        <f>IF(_xll.TM1RPTELISCONSOLIDATED($H$34,$H411),IF(_xll.TM1RPTELLEV($H$34,$H411)&lt;=5,_xll.TM1RPTELLEV($H$34,$H411),"Default"),"Leaf")</f>
        <v>Leaf</v>
      </c>
      <c r="E411" s="42" t="s">
        <v>684</v>
      </c>
      <c r="F411" s="34" t="str">
        <f>_xll.DBR($B$18,$H411,"Account_Type")</f>
        <v>NON LABOR</v>
      </c>
      <c r="G411" s="34" t="str">
        <f>_xll.DBR($B$18,$H411,"Description")</f>
        <v>Postage &amp; Courier Fees</v>
      </c>
      <c r="H411" s="43" t="s">
        <v>553</v>
      </c>
      <c r="I411" s="36">
        <f>_xll.DBRW($E$12,$F$16,$F$17,$F$18,$E411,$F$20,I$22,$H411,$F$19)</f>
        <v>58.43</v>
      </c>
      <c r="J411" s="36">
        <f>_xll.DBRW($E$12,$F$16,$F$17,$F$18,$E411,$F$20,J$22,$H411,$F$19)</f>
        <v>0</v>
      </c>
      <c r="K411" s="36">
        <f>_xll.DBRW($E$12,$F$16,$F$17,$F$18,$E411,$F$20,K$22,$H411,$F$19)</f>
        <v>0</v>
      </c>
      <c r="L411" s="36">
        <f>_xll.DBRW($E$12,$F$16,$F$17,$F$18,$E411,$F$20,L$22,$H411,$F$19)</f>
        <v>0</v>
      </c>
      <c r="M411" s="36">
        <f>_xll.DBRW($E$12,$F$16,$F$17,$F$18,$E411,$F$20,M$22,$H411,$F$19)</f>
        <v>0</v>
      </c>
      <c r="N411" s="36">
        <f>_xll.DBRW($E$12,$F$16,$F$17,$F$18,$E411,$F$20,N$22,$H411,$F$19)</f>
        <v>0</v>
      </c>
      <c r="O411" s="36">
        <f>_xll.DBRW($E$12,$F$16,$F$17,$F$18,$E411,$F$20,O$22,$H411,$F$19)</f>
        <v>0</v>
      </c>
      <c r="P411" s="36">
        <f>_xll.DBRW($E$12,$F$16,$F$17,$F$18,$E411,$F$20,P$22,$H411,$F$19)</f>
        <v>0</v>
      </c>
      <c r="Q411" s="36">
        <f>_xll.DBRW($E$12,$F$16,$F$17,$F$18,$E411,$F$20,Q$22,$H411,$F$19)</f>
        <v>0</v>
      </c>
      <c r="R411" s="36">
        <f>_xll.DBRW($E$12,$F$16,$F$17,$F$18,$E411,$F$20,R$22,$H411,$F$19)</f>
        <v>0</v>
      </c>
      <c r="S411" s="36">
        <f>_xll.DBRW($E$12,$F$16,$F$17,$F$18,$E411,$F$20,S$22,$H411,$F$19)</f>
        <v>0</v>
      </c>
      <c r="T411" s="36">
        <f>_xll.DBRW($E$12,$F$16,$F$17,$F$18,$E411,$F$20,T$22,$H411,$F$19)</f>
        <v>0</v>
      </c>
      <c r="U411" s="36">
        <f>_xll.DBRW($E$12,$F$16,$F$17,$F$18,$E411,$F$20,U$22,$H411,$F$19)</f>
        <v>58.43</v>
      </c>
    </row>
    <row r="412" spans="4:21" s="37" customFormat="1" ht="15" outlineLevel="1" thickBot="1" x14ac:dyDescent="0.35">
      <c r="D412" s="33" t="str">
        <f>IF(_xll.TM1RPTELISCONSOLIDATED($H$34,$H412),IF(_xll.TM1RPTELLEV($H$34,$H412)&lt;=5,_xll.TM1RPTELLEV($H$34,$H412),"Default"),"Leaf")</f>
        <v>Leaf</v>
      </c>
      <c r="E412" s="42" t="s">
        <v>684</v>
      </c>
      <c r="F412" s="34" t="str">
        <f>_xll.DBR($B$18,$H412,"Account_Type")</f>
        <v>NON LABOR</v>
      </c>
      <c r="G412" s="34" t="str">
        <f>_xll.DBR($B$18,$H412,"Description")</f>
        <v>Printing &amp; Reproduction</v>
      </c>
      <c r="H412" s="43" t="s">
        <v>561</v>
      </c>
      <c r="I412" s="36">
        <f>_xll.DBRW($E$12,$F$16,$F$17,$F$18,$E412,$F$20,I$22,$H412,$F$19)</f>
        <v>0</v>
      </c>
      <c r="J412" s="36">
        <f>_xll.DBRW($E$12,$F$16,$F$17,$F$18,$E412,$F$20,J$22,$H412,$F$19)</f>
        <v>0</v>
      </c>
      <c r="K412" s="36">
        <f>_xll.DBRW($E$12,$F$16,$F$17,$F$18,$E412,$F$20,K$22,$H412,$F$19)</f>
        <v>0</v>
      </c>
      <c r="L412" s="36">
        <f>_xll.DBRW($E$12,$F$16,$F$17,$F$18,$E412,$F$20,L$22,$H412,$F$19)</f>
        <v>0</v>
      </c>
      <c r="M412" s="36">
        <f>_xll.DBRW($E$12,$F$16,$F$17,$F$18,$E412,$F$20,M$22,$H412,$F$19)</f>
        <v>0</v>
      </c>
      <c r="N412" s="36">
        <f>_xll.DBRW($E$12,$F$16,$F$17,$F$18,$E412,$F$20,N$22,$H412,$F$19)</f>
        <v>84.34</v>
      </c>
      <c r="O412" s="36">
        <f>_xll.DBRW($E$12,$F$16,$F$17,$F$18,$E412,$F$20,O$22,$H412,$F$19)</f>
        <v>0</v>
      </c>
      <c r="P412" s="36">
        <f>_xll.DBRW($E$12,$F$16,$F$17,$F$18,$E412,$F$20,P$22,$H412,$F$19)</f>
        <v>0</v>
      </c>
      <c r="Q412" s="36">
        <f>_xll.DBRW($E$12,$F$16,$F$17,$F$18,$E412,$F$20,Q$22,$H412,$F$19)</f>
        <v>0</v>
      </c>
      <c r="R412" s="36">
        <f>_xll.DBRW($E$12,$F$16,$F$17,$F$18,$E412,$F$20,R$22,$H412,$F$19)</f>
        <v>0</v>
      </c>
      <c r="S412" s="36">
        <f>_xll.DBRW($E$12,$F$16,$F$17,$F$18,$E412,$F$20,S$22,$H412,$F$19)</f>
        <v>0</v>
      </c>
      <c r="T412" s="36">
        <f>_xll.DBRW($E$12,$F$16,$F$17,$F$18,$E412,$F$20,T$22,$H412,$F$19)</f>
        <v>0</v>
      </c>
      <c r="U412" s="36">
        <f>_xll.DBRW($E$12,$F$16,$F$17,$F$18,$E412,$F$20,U$22,$H412,$F$19)</f>
        <v>84.34</v>
      </c>
    </row>
    <row r="413" spans="4:21" s="37" customFormat="1" ht="15" outlineLevel="1" thickBot="1" x14ac:dyDescent="0.35">
      <c r="D413" s="33" t="str">
        <f>IF(_xll.TM1RPTELISCONSOLIDATED($H$34,$H413),IF(_xll.TM1RPTELLEV($H$34,$H413)&lt;=5,_xll.TM1RPTELLEV($H$34,$H413),"Default"),"Leaf")</f>
        <v>Leaf</v>
      </c>
      <c r="E413" s="42" t="s">
        <v>684</v>
      </c>
      <c r="F413" s="34" t="str">
        <f>_xll.DBR($B$18,$H413,"Account_Type")</f>
        <v>NON LABOR</v>
      </c>
      <c r="G413" s="34" t="str">
        <f>_xll.DBR($B$18,$H413,"Description")</f>
        <v>Education/Training/Dues/Subscriptions</v>
      </c>
      <c r="H413" s="43" t="s">
        <v>572</v>
      </c>
      <c r="I413" s="36">
        <f>_xll.DBRW($E$12,$F$16,$F$17,$F$18,$E413,$F$20,I$22,$H413,$F$19)</f>
        <v>0</v>
      </c>
      <c r="J413" s="36">
        <f>_xll.DBRW($E$12,$F$16,$F$17,$F$18,$E413,$F$20,J$22,$H413,$F$19)</f>
        <v>0</v>
      </c>
      <c r="K413" s="36">
        <f>_xll.DBRW($E$12,$F$16,$F$17,$F$18,$E413,$F$20,K$22,$H413,$F$19)</f>
        <v>0</v>
      </c>
      <c r="L413" s="36">
        <f>_xll.DBRW($E$12,$F$16,$F$17,$F$18,$E413,$F$20,L$22,$H413,$F$19)</f>
        <v>308.77</v>
      </c>
      <c r="M413" s="36">
        <f>_xll.DBRW($E$12,$F$16,$F$17,$F$18,$E413,$F$20,M$22,$H413,$F$19)</f>
        <v>124.49</v>
      </c>
      <c r="N413" s="36">
        <f>_xll.DBRW($E$12,$F$16,$F$17,$F$18,$E413,$F$20,N$22,$H413,$F$19)</f>
        <v>0</v>
      </c>
      <c r="O413" s="36">
        <f>_xll.DBRW($E$12,$F$16,$F$17,$F$18,$E413,$F$20,O$22,$H413,$F$19)</f>
        <v>0</v>
      </c>
      <c r="P413" s="36">
        <f>_xll.DBRW($E$12,$F$16,$F$17,$F$18,$E413,$F$20,P$22,$H413,$F$19)</f>
        <v>0</v>
      </c>
      <c r="Q413" s="36">
        <f>_xll.DBRW($E$12,$F$16,$F$17,$F$18,$E413,$F$20,Q$22,$H413,$F$19)</f>
        <v>0</v>
      </c>
      <c r="R413" s="36">
        <f>_xll.DBRW($E$12,$F$16,$F$17,$F$18,$E413,$F$20,R$22,$H413,$F$19)</f>
        <v>0</v>
      </c>
      <c r="S413" s="36">
        <f>_xll.DBRW($E$12,$F$16,$F$17,$F$18,$E413,$F$20,S$22,$H413,$F$19)</f>
        <v>0</v>
      </c>
      <c r="T413" s="36">
        <f>_xll.DBRW($E$12,$F$16,$F$17,$F$18,$E413,$F$20,T$22,$H413,$F$19)</f>
        <v>0</v>
      </c>
      <c r="U413" s="36">
        <f>_xll.DBRW($E$12,$F$16,$F$17,$F$18,$E413,$F$20,U$22,$H413,$F$19)</f>
        <v>433.26</v>
      </c>
    </row>
    <row r="414" spans="4:21" s="37" customFormat="1" ht="15" outlineLevel="1" thickBot="1" x14ac:dyDescent="0.35">
      <c r="D414" s="33" t="str">
        <f>IF(_xll.TM1RPTELISCONSOLIDATED($H$34,$H414),IF(_xll.TM1RPTELLEV($H$34,$H414)&lt;=5,_xll.TM1RPTELLEV($H$34,$H414),"Default"),"Leaf")</f>
        <v>Leaf</v>
      </c>
      <c r="E414" s="42" t="s">
        <v>684</v>
      </c>
      <c r="F414" s="34" t="str">
        <f>_xll.DBR($B$18,$H414,"Account_Type")</f>
        <v>NON LABOR</v>
      </c>
      <c r="G414" s="34" t="str">
        <f>_xll.DBR($B$18,$H414,"Description")</f>
        <v>Employee Morale &amp; Welfare</v>
      </c>
      <c r="H414" s="43" t="s">
        <v>615</v>
      </c>
      <c r="I414" s="36">
        <f>_xll.DBRW($E$12,$F$16,$F$17,$F$18,$E414,$F$20,I$22,$H414,$F$19)</f>
        <v>0</v>
      </c>
      <c r="J414" s="36">
        <f>_xll.DBRW($E$12,$F$16,$F$17,$F$18,$E414,$F$20,J$22,$H414,$F$19)</f>
        <v>0</v>
      </c>
      <c r="K414" s="36">
        <f>_xll.DBRW($E$12,$F$16,$F$17,$F$18,$E414,$F$20,K$22,$H414,$F$19)</f>
        <v>0</v>
      </c>
      <c r="L414" s="36">
        <f>_xll.DBRW($E$12,$F$16,$F$17,$F$18,$E414,$F$20,L$22,$H414,$F$19)</f>
        <v>0</v>
      </c>
      <c r="M414" s="36">
        <f>_xll.DBRW($E$12,$F$16,$F$17,$F$18,$E414,$F$20,M$22,$H414,$F$19)</f>
        <v>0</v>
      </c>
      <c r="N414" s="36">
        <f>_xll.DBRW($E$12,$F$16,$F$17,$F$18,$E414,$F$20,N$22,$H414,$F$19)</f>
        <v>111.59</v>
      </c>
      <c r="O414" s="36">
        <f>_xll.DBRW($E$12,$F$16,$F$17,$F$18,$E414,$F$20,O$22,$H414,$F$19)</f>
        <v>0</v>
      </c>
      <c r="P414" s="36">
        <f>_xll.DBRW($E$12,$F$16,$F$17,$F$18,$E414,$F$20,P$22,$H414,$F$19)</f>
        <v>0</v>
      </c>
      <c r="Q414" s="36">
        <f>_xll.DBRW($E$12,$F$16,$F$17,$F$18,$E414,$F$20,Q$22,$H414,$F$19)</f>
        <v>0</v>
      </c>
      <c r="R414" s="36">
        <f>_xll.DBRW($E$12,$F$16,$F$17,$F$18,$E414,$F$20,R$22,$H414,$F$19)</f>
        <v>0</v>
      </c>
      <c r="S414" s="36">
        <f>_xll.DBRW($E$12,$F$16,$F$17,$F$18,$E414,$F$20,S$22,$H414,$F$19)</f>
        <v>0</v>
      </c>
      <c r="T414" s="36">
        <f>_xll.DBRW($E$12,$F$16,$F$17,$F$18,$E414,$F$20,T$22,$H414,$F$19)</f>
        <v>0</v>
      </c>
      <c r="U414" s="36">
        <f>_xll.DBRW($E$12,$F$16,$F$17,$F$18,$E414,$F$20,U$22,$H414,$F$19)</f>
        <v>111.59</v>
      </c>
    </row>
    <row r="415" spans="4:21" s="37" customFormat="1" ht="15" outlineLevel="1" thickBot="1" x14ac:dyDescent="0.35">
      <c r="D415" s="33" t="str">
        <f>IF(_xll.TM1RPTELISCONSOLIDATED($H$34,$H415),IF(_xll.TM1RPTELLEV($H$34,$H415)&lt;=5,_xll.TM1RPTELLEV($H$34,$H415),"Default"),"Leaf")</f>
        <v>Leaf</v>
      </c>
      <c r="E415" s="42" t="s">
        <v>684</v>
      </c>
      <c r="F415" s="34" t="str">
        <f>_xll.DBR($B$18,$H415,"Account_Type")</f>
        <v>NON LABOR</v>
      </c>
      <c r="G415" s="34" t="str">
        <f>_xll.DBR($B$18,$H415,"Description")</f>
        <v>Fuel to Leased Vehicles</v>
      </c>
      <c r="H415" s="43" t="s">
        <v>645</v>
      </c>
      <c r="I415" s="36">
        <f>_xll.DBRW($E$12,$F$16,$F$17,$F$18,$E415,$F$20,I$22,$H415,$F$19)</f>
        <v>187.84</v>
      </c>
      <c r="J415" s="36">
        <f>_xll.DBRW($E$12,$F$16,$F$17,$F$18,$E415,$F$20,J$22,$H415,$F$19)</f>
        <v>287.45</v>
      </c>
      <c r="K415" s="36">
        <f>_xll.DBRW($E$12,$F$16,$F$17,$F$18,$E415,$F$20,K$22,$H415,$F$19)</f>
        <v>216.14</v>
      </c>
      <c r="L415" s="36">
        <f>_xll.DBRW($E$12,$F$16,$F$17,$F$18,$E415,$F$20,L$22,$H415,$F$19)</f>
        <v>402.13</v>
      </c>
      <c r="M415" s="36">
        <f>_xll.DBRW($E$12,$F$16,$F$17,$F$18,$E415,$F$20,M$22,$H415,$F$19)</f>
        <v>549.63</v>
      </c>
      <c r="N415" s="36">
        <f>_xll.DBRW($E$12,$F$16,$F$17,$F$18,$E415,$F$20,N$22,$H415,$F$19)</f>
        <v>0</v>
      </c>
      <c r="O415" s="36">
        <f>_xll.DBRW($E$12,$F$16,$F$17,$F$18,$E415,$F$20,O$22,$H415,$F$19)</f>
        <v>0</v>
      </c>
      <c r="P415" s="36">
        <f>_xll.DBRW($E$12,$F$16,$F$17,$F$18,$E415,$F$20,P$22,$H415,$F$19)</f>
        <v>0</v>
      </c>
      <c r="Q415" s="36">
        <f>_xll.DBRW($E$12,$F$16,$F$17,$F$18,$E415,$F$20,Q$22,$H415,$F$19)</f>
        <v>0</v>
      </c>
      <c r="R415" s="36">
        <f>_xll.DBRW($E$12,$F$16,$F$17,$F$18,$E415,$F$20,R$22,$H415,$F$19)</f>
        <v>0</v>
      </c>
      <c r="S415" s="36">
        <f>_xll.DBRW($E$12,$F$16,$F$17,$F$18,$E415,$F$20,S$22,$H415,$F$19)</f>
        <v>0</v>
      </c>
      <c r="T415" s="36">
        <f>_xll.DBRW($E$12,$F$16,$F$17,$F$18,$E415,$F$20,T$22,$H415,$F$19)</f>
        <v>0</v>
      </c>
      <c r="U415" s="36">
        <f>_xll.DBRW($E$12,$F$16,$F$17,$F$18,$E415,$F$20,U$22,$H415,$F$19)</f>
        <v>1643.19</v>
      </c>
    </row>
    <row r="416" spans="4:21" s="37" customFormat="1" ht="15" outlineLevel="1" thickBot="1" x14ac:dyDescent="0.35">
      <c r="D416" s="33" t="str">
        <f>IF(_xll.TM1RPTELISCONSOLIDATED($H$34,$H416),IF(_xll.TM1RPTELLEV($H$34,$H416)&lt;=5,_xll.TM1RPTELLEV($H$34,$H416),"Default"),"Leaf")</f>
        <v>Leaf</v>
      </c>
      <c r="E416" s="42" t="s">
        <v>685</v>
      </c>
      <c r="F416" s="34" t="str">
        <f>_xll.DBR($B$18,$H416,"Account_Type")</f>
        <v>NON LABOR</v>
      </c>
      <c r="G416" s="34" t="str">
        <f>_xll.DBR($B$18,$H416,"Description")</f>
        <v>Travel &amp; Lodging</v>
      </c>
      <c r="H416" s="43" t="s">
        <v>78</v>
      </c>
      <c r="I416" s="36">
        <f>_xll.DBRW($E$12,$F$16,$F$17,$F$18,$E416,$F$20,I$22,$H416,$F$19)</f>
        <v>268.29000000000002</v>
      </c>
      <c r="J416" s="36">
        <f>_xll.DBRW($E$12,$F$16,$F$17,$F$18,$E416,$F$20,J$22,$H416,$F$19)</f>
        <v>211.37</v>
      </c>
      <c r="K416" s="36">
        <f>_xll.DBRW($E$12,$F$16,$F$17,$F$18,$E416,$F$20,K$22,$H416,$F$19)</f>
        <v>0</v>
      </c>
      <c r="L416" s="36">
        <f>_xll.DBRW($E$12,$F$16,$F$17,$F$18,$E416,$F$20,L$22,$H416,$F$19)</f>
        <v>382.74</v>
      </c>
      <c r="M416" s="36">
        <f>_xll.DBRW($E$12,$F$16,$F$17,$F$18,$E416,$F$20,M$22,$H416,$F$19)</f>
        <v>320</v>
      </c>
      <c r="N416" s="36">
        <f>_xll.DBRW($E$12,$F$16,$F$17,$F$18,$E416,$F$20,N$22,$H416,$F$19)</f>
        <v>1375.45</v>
      </c>
      <c r="O416" s="36">
        <f>_xll.DBRW($E$12,$F$16,$F$17,$F$18,$E416,$F$20,O$22,$H416,$F$19)</f>
        <v>-1287.97</v>
      </c>
      <c r="P416" s="36">
        <f>_xll.DBRW($E$12,$F$16,$F$17,$F$18,$E416,$F$20,P$22,$H416,$F$19)</f>
        <v>0</v>
      </c>
      <c r="Q416" s="36">
        <f>_xll.DBRW($E$12,$F$16,$F$17,$F$18,$E416,$F$20,Q$22,$H416,$F$19)</f>
        <v>0</v>
      </c>
      <c r="R416" s="36">
        <f>_xll.DBRW($E$12,$F$16,$F$17,$F$18,$E416,$F$20,R$22,$H416,$F$19)</f>
        <v>0</v>
      </c>
      <c r="S416" s="36">
        <f>_xll.DBRW($E$12,$F$16,$F$17,$F$18,$E416,$F$20,S$22,$H416,$F$19)</f>
        <v>0</v>
      </c>
      <c r="T416" s="36">
        <f>_xll.DBRW($E$12,$F$16,$F$17,$F$18,$E416,$F$20,T$22,$H416,$F$19)</f>
        <v>0</v>
      </c>
      <c r="U416" s="36">
        <f>_xll.DBRW($E$12,$F$16,$F$17,$F$18,$E416,$F$20,U$22,$H416,$F$19)</f>
        <v>1269.8800000000003</v>
      </c>
    </row>
    <row r="417" spans="4:21" s="37" customFormat="1" ht="15" outlineLevel="1" thickBot="1" x14ac:dyDescent="0.35">
      <c r="D417" s="33" t="str">
        <f>IF(_xll.TM1RPTELISCONSOLIDATED($H$34,$H417),IF(_xll.TM1RPTELLEV($H$34,$H417)&lt;=5,_xll.TM1RPTELLEV($H$34,$H417),"Default"),"Leaf")</f>
        <v>Leaf</v>
      </c>
      <c r="E417" s="42" t="s">
        <v>685</v>
      </c>
      <c r="F417" s="34" t="str">
        <f>_xll.DBR($B$18,$H417,"Account_Type")</f>
        <v>NON LABOR</v>
      </c>
      <c r="G417" s="34" t="str">
        <f>_xll.DBR($B$18,$H417,"Description")</f>
        <v>Client Development</v>
      </c>
      <c r="H417" s="43" t="s">
        <v>90</v>
      </c>
      <c r="I417" s="36">
        <f>_xll.DBRW($E$12,$F$16,$F$17,$F$18,$E417,$F$20,I$22,$H417,$F$19)</f>
        <v>137.72</v>
      </c>
      <c r="J417" s="36">
        <f>_xll.DBRW($E$12,$F$16,$F$17,$F$18,$E417,$F$20,J$22,$H417,$F$19)</f>
        <v>1400</v>
      </c>
      <c r="K417" s="36">
        <f>_xll.DBRW($E$12,$F$16,$F$17,$F$18,$E417,$F$20,K$22,$H417,$F$19)</f>
        <v>158.99</v>
      </c>
      <c r="L417" s="36">
        <f>_xll.DBRW($E$12,$F$16,$F$17,$F$18,$E417,$F$20,L$22,$H417,$F$19)</f>
        <v>0</v>
      </c>
      <c r="M417" s="36">
        <f>_xll.DBRW($E$12,$F$16,$F$17,$F$18,$E417,$F$20,M$22,$H417,$F$19)</f>
        <v>0</v>
      </c>
      <c r="N417" s="36">
        <f>_xll.DBRW($E$12,$F$16,$F$17,$F$18,$E417,$F$20,N$22,$H417,$F$19)</f>
        <v>236.8</v>
      </c>
      <c r="O417" s="36">
        <f>_xll.DBRW($E$12,$F$16,$F$17,$F$18,$E417,$F$20,O$22,$H417,$F$19)</f>
        <v>0</v>
      </c>
      <c r="P417" s="36">
        <f>_xll.DBRW($E$12,$F$16,$F$17,$F$18,$E417,$F$20,P$22,$H417,$F$19)</f>
        <v>0</v>
      </c>
      <c r="Q417" s="36">
        <f>_xll.DBRW($E$12,$F$16,$F$17,$F$18,$E417,$F$20,Q$22,$H417,$F$19)</f>
        <v>0</v>
      </c>
      <c r="R417" s="36">
        <f>_xll.DBRW($E$12,$F$16,$F$17,$F$18,$E417,$F$20,R$22,$H417,$F$19)</f>
        <v>0</v>
      </c>
      <c r="S417" s="36">
        <f>_xll.DBRW($E$12,$F$16,$F$17,$F$18,$E417,$F$20,S$22,$H417,$F$19)</f>
        <v>0</v>
      </c>
      <c r="T417" s="36">
        <f>_xll.DBRW($E$12,$F$16,$F$17,$F$18,$E417,$F$20,T$22,$H417,$F$19)</f>
        <v>0</v>
      </c>
      <c r="U417" s="36">
        <f>_xll.DBRW($E$12,$F$16,$F$17,$F$18,$E417,$F$20,U$22,$H417,$F$19)</f>
        <v>1933.51</v>
      </c>
    </row>
    <row r="418" spans="4:21" s="37" customFormat="1" ht="15" outlineLevel="1" thickBot="1" x14ac:dyDescent="0.35">
      <c r="D418" s="33" t="str">
        <f>IF(_xll.TM1RPTELISCONSOLIDATED($H$34,$H418),IF(_xll.TM1RPTELLEV($H$34,$H418)&lt;=5,_xll.TM1RPTELLEV($H$34,$H418),"Default"),"Leaf")</f>
        <v>Leaf</v>
      </c>
      <c r="E418" s="42" t="s">
        <v>685</v>
      </c>
      <c r="F418" s="34" t="str">
        <f>_xll.DBR($B$18,$H418,"Account_Type")</f>
        <v>NON LABOR</v>
      </c>
      <c r="G418" s="34" t="str">
        <f>_xll.DBR($B$18,$H418,"Description")</f>
        <v>Business Meals &amp; Entertainment</v>
      </c>
      <c r="H418" s="43" t="s">
        <v>113</v>
      </c>
      <c r="I418" s="36">
        <f>_xll.DBRW($E$12,$F$16,$F$17,$F$18,$E418,$F$20,I$22,$H418,$F$19)</f>
        <v>61.58</v>
      </c>
      <c r="J418" s="36">
        <f>_xll.DBRW($E$12,$F$16,$F$17,$F$18,$E418,$F$20,J$22,$H418,$F$19)</f>
        <v>55.04</v>
      </c>
      <c r="K418" s="36">
        <f>_xll.DBRW($E$12,$F$16,$F$17,$F$18,$E418,$F$20,K$22,$H418,$F$19)</f>
        <v>64.56</v>
      </c>
      <c r="L418" s="36">
        <f>_xll.DBRW($E$12,$F$16,$F$17,$F$18,$E418,$F$20,L$22,$H418,$F$19)</f>
        <v>150.49</v>
      </c>
      <c r="M418" s="36">
        <f>_xll.DBRW($E$12,$F$16,$F$17,$F$18,$E418,$F$20,M$22,$H418,$F$19)</f>
        <v>0</v>
      </c>
      <c r="N418" s="36">
        <f>_xll.DBRW($E$12,$F$16,$F$17,$F$18,$E418,$F$20,N$22,$H418,$F$19)</f>
        <v>0</v>
      </c>
      <c r="O418" s="36">
        <f>_xll.DBRW($E$12,$F$16,$F$17,$F$18,$E418,$F$20,O$22,$H418,$F$19)</f>
        <v>0</v>
      </c>
      <c r="P418" s="36">
        <f>_xll.DBRW($E$12,$F$16,$F$17,$F$18,$E418,$F$20,P$22,$H418,$F$19)</f>
        <v>0</v>
      </c>
      <c r="Q418" s="36">
        <f>_xll.DBRW($E$12,$F$16,$F$17,$F$18,$E418,$F$20,Q$22,$H418,$F$19)</f>
        <v>0</v>
      </c>
      <c r="R418" s="36">
        <f>_xll.DBRW($E$12,$F$16,$F$17,$F$18,$E418,$F$20,R$22,$H418,$F$19)</f>
        <v>0</v>
      </c>
      <c r="S418" s="36">
        <f>_xll.DBRW($E$12,$F$16,$F$17,$F$18,$E418,$F$20,S$22,$H418,$F$19)</f>
        <v>0</v>
      </c>
      <c r="T418" s="36">
        <f>_xll.DBRW($E$12,$F$16,$F$17,$F$18,$E418,$F$20,T$22,$H418,$F$19)</f>
        <v>0</v>
      </c>
      <c r="U418" s="36">
        <f>_xll.DBRW($E$12,$F$16,$F$17,$F$18,$E418,$F$20,U$22,$H418,$F$19)</f>
        <v>331.67</v>
      </c>
    </row>
    <row r="419" spans="4:21" s="37" customFormat="1" ht="15" outlineLevel="1" thickBot="1" x14ac:dyDescent="0.35">
      <c r="D419" s="33" t="str">
        <f>IF(_xll.TM1RPTELISCONSOLIDATED($H$34,$H419),IF(_xll.TM1RPTELLEV($H$34,$H419)&lt;=5,_xll.TM1RPTELLEV($H$34,$H419),"Default"),"Leaf")</f>
        <v>Leaf</v>
      </c>
      <c r="E419" s="42" t="s">
        <v>685</v>
      </c>
      <c r="F419" s="34" t="str">
        <f>_xll.DBR($B$18,$H419,"Account_Type")</f>
        <v>NON LABOR</v>
      </c>
      <c r="G419" s="34" t="str">
        <f>_xll.DBR($B$18,$H419,"Description")</f>
        <v>Business Meals &amp; Entertainment</v>
      </c>
      <c r="H419" s="43" t="s">
        <v>114</v>
      </c>
      <c r="I419" s="36">
        <f>_xll.DBRW($E$12,$F$16,$F$17,$F$18,$E419,$F$20,I$22,$H419,$F$19)</f>
        <v>39.46</v>
      </c>
      <c r="J419" s="36">
        <f>_xll.DBRW($E$12,$F$16,$F$17,$F$18,$E419,$F$20,J$22,$H419,$F$19)</f>
        <v>55.03</v>
      </c>
      <c r="K419" s="36">
        <f>_xll.DBRW($E$12,$F$16,$F$17,$F$18,$E419,$F$20,K$22,$H419,$F$19)</f>
        <v>64.55</v>
      </c>
      <c r="L419" s="36">
        <f>_xll.DBRW($E$12,$F$16,$F$17,$F$18,$E419,$F$20,L$22,$H419,$F$19)</f>
        <v>150.49</v>
      </c>
      <c r="M419" s="36">
        <f>_xll.DBRW($E$12,$F$16,$F$17,$F$18,$E419,$F$20,M$22,$H419,$F$19)</f>
        <v>76.09</v>
      </c>
      <c r="N419" s="36">
        <f>_xll.DBRW($E$12,$F$16,$F$17,$F$18,$E419,$F$20,N$22,$H419,$F$19)</f>
        <v>103.03</v>
      </c>
      <c r="O419" s="36">
        <f>_xll.DBRW($E$12,$F$16,$F$17,$F$18,$E419,$F$20,O$22,$H419,$F$19)</f>
        <v>0</v>
      </c>
      <c r="P419" s="36">
        <f>_xll.DBRW($E$12,$F$16,$F$17,$F$18,$E419,$F$20,P$22,$H419,$F$19)</f>
        <v>0</v>
      </c>
      <c r="Q419" s="36">
        <f>_xll.DBRW($E$12,$F$16,$F$17,$F$18,$E419,$F$20,Q$22,$H419,$F$19)</f>
        <v>0</v>
      </c>
      <c r="R419" s="36">
        <f>_xll.DBRW($E$12,$F$16,$F$17,$F$18,$E419,$F$20,R$22,$H419,$F$19)</f>
        <v>0</v>
      </c>
      <c r="S419" s="36">
        <f>_xll.DBRW($E$12,$F$16,$F$17,$F$18,$E419,$F$20,S$22,$H419,$F$19)</f>
        <v>0</v>
      </c>
      <c r="T419" s="36">
        <f>_xll.DBRW($E$12,$F$16,$F$17,$F$18,$E419,$F$20,T$22,$H419,$F$19)</f>
        <v>0</v>
      </c>
      <c r="U419" s="36">
        <f>_xll.DBRW($E$12,$F$16,$F$17,$F$18,$E419,$F$20,U$22,$H419,$F$19)</f>
        <v>488.65</v>
      </c>
    </row>
    <row r="420" spans="4:21" s="37" customFormat="1" ht="15" outlineLevel="1" thickBot="1" x14ac:dyDescent="0.35">
      <c r="D420" s="33" t="str">
        <f>IF(_xll.TM1RPTELISCONSOLIDATED($H$34,$H420),IF(_xll.TM1RPTELLEV($H$34,$H420)&lt;=5,_xll.TM1RPTELLEV($H$34,$H420),"Default"),"Leaf")</f>
        <v>Leaf</v>
      </c>
      <c r="E420" s="42" t="s">
        <v>685</v>
      </c>
      <c r="F420" s="34" t="str">
        <f>_xll.DBR($B$18,$H420,"Account_Type")</f>
        <v>NON LABOR</v>
      </c>
      <c r="G420" s="34" t="str">
        <f>_xll.DBR($B$18,$H420,"Description")</f>
        <v>Telecommunications / Internet</v>
      </c>
      <c r="H420" s="43" t="s">
        <v>131</v>
      </c>
      <c r="I420" s="36">
        <f>_xll.DBRW($E$12,$F$16,$F$17,$F$18,$E420,$F$20,I$22,$H420,$F$19)</f>
        <v>502.16</v>
      </c>
      <c r="J420" s="36">
        <f>_xll.DBRW($E$12,$F$16,$F$17,$F$18,$E420,$F$20,J$22,$H420,$F$19)</f>
        <v>504.61</v>
      </c>
      <c r="K420" s="36">
        <f>_xll.DBRW($E$12,$F$16,$F$17,$F$18,$E420,$F$20,K$22,$H420,$F$19)</f>
        <v>509.6</v>
      </c>
      <c r="L420" s="36">
        <f>_xll.DBRW($E$12,$F$16,$F$17,$F$18,$E420,$F$20,L$22,$H420,$F$19)</f>
        <v>502.05</v>
      </c>
      <c r="M420" s="36">
        <f>_xll.DBRW($E$12,$F$16,$F$17,$F$18,$E420,$F$20,M$22,$H420,$F$19)</f>
        <v>502.04</v>
      </c>
      <c r="N420" s="36">
        <f>_xll.DBRW($E$12,$F$16,$F$17,$F$18,$E420,$F$20,N$22,$H420,$F$19)</f>
        <v>539.44000000000005</v>
      </c>
      <c r="O420" s="36">
        <f>_xll.DBRW($E$12,$F$16,$F$17,$F$18,$E420,$F$20,O$22,$H420,$F$19)</f>
        <v>0</v>
      </c>
      <c r="P420" s="36">
        <f>_xll.DBRW($E$12,$F$16,$F$17,$F$18,$E420,$F$20,P$22,$H420,$F$19)</f>
        <v>0</v>
      </c>
      <c r="Q420" s="36">
        <f>_xll.DBRW($E$12,$F$16,$F$17,$F$18,$E420,$F$20,Q$22,$H420,$F$19)</f>
        <v>0</v>
      </c>
      <c r="R420" s="36">
        <f>_xll.DBRW($E$12,$F$16,$F$17,$F$18,$E420,$F$20,R$22,$H420,$F$19)</f>
        <v>0</v>
      </c>
      <c r="S420" s="36">
        <f>_xll.DBRW($E$12,$F$16,$F$17,$F$18,$E420,$F$20,S$22,$H420,$F$19)</f>
        <v>0</v>
      </c>
      <c r="T420" s="36">
        <f>_xll.DBRW($E$12,$F$16,$F$17,$F$18,$E420,$F$20,T$22,$H420,$F$19)</f>
        <v>0</v>
      </c>
      <c r="U420" s="36">
        <f>_xll.DBRW($E$12,$F$16,$F$17,$F$18,$E420,$F$20,U$22,$H420,$F$19)</f>
        <v>3059.9</v>
      </c>
    </row>
    <row r="421" spans="4:21" s="37" customFormat="1" ht="15" outlineLevel="1" thickBot="1" x14ac:dyDescent="0.35">
      <c r="D421" s="33" t="str">
        <f>IF(_xll.TM1RPTELISCONSOLIDATED($H$34,$H421),IF(_xll.TM1RPTELLEV($H$34,$H421)&lt;=5,_xll.TM1RPTELLEV($H$34,$H421),"Default"),"Leaf")</f>
        <v>Leaf</v>
      </c>
      <c r="E421" s="42" t="s">
        <v>685</v>
      </c>
      <c r="F421" s="34" t="str">
        <f>_xll.DBR($B$18,$H421,"Account_Type")</f>
        <v>NON LABOR</v>
      </c>
      <c r="G421" s="34" t="str">
        <f>_xll.DBR($B$18,$H421,"Description")</f>
        <v>Office/Computer Supplies &amp; Eqpt</v>
      </c>
      <c r="H421" s="43" t="s">
        <v>150</v>
      </c>
      <c r="I421" s="36">
        <f>_xll.DBRW($E$12,$F$16,$F$17,$F$18,$E421,$F$20,I$22,$H421,$F$19)</f>
        <v>0</v>
      </c>
      <c r="J421" s="36">
        <f>_xll.DBRW($E$12,$F$16,$F$17,$F$18,$E421,$F$20,J$22,$H421,$F$19)</f>
        <v>14.6</v>
      </c>
      <c r="K421" s="36">
        <f>_xll.DBRW($E$12,$F$16,$F$17,$F$18,$E421,$F$20,K$22,$H421,$F$19)</f>
        <v>0</v>
      </c>
      <c r="L421" s="36">
        <f>_xll.DBRW($E$12,$F$16,$F$17,$F$18,$E421,$F$20,L$22,$H421,$F$19)</f>
        <v>0</v>
      </c>
      <c r="M421" s="36">
        <f>_xll.DBRW($E$12,$F$16,$F$17,$F$18,$E421,$F$20,M$22,$H421,$F$19)</f>
        <v>0</v>
      </c>
      <c r="N421" s="36">
        <f>_xll.DBRW($E$12,$F$16,$F$17,$F$18,$E421,$F$20,N$22,$H421,$F$19)</f>
        <v>0</v>
      </c>
      <c r="O421" s="36">
        <f>_xll.DBRW($E$12,$F$16,$F$17,$F$18,$E421,$F$20,O$22,$H421,$F$19)</f>
        <v>0</v>
      </c>
      <c r="P421" s="36">
        <f>_xll.DBRW($E$12,$F$16,$F$17,$F$18,$E421,$F$20,P$22,$H421,$F$19)</f>
        <v>0</v>
      </c>
      <c r="Q421" s="36">
        <f>_xll.DBRW($E$12,$F$16,$F$17,$F$18,$E421,$F$20,Q$22,$H421,$F$19)</f>
        <v>0</v>
      </c>
      <c r="R421" s="36">
        <f>_xll.DBRW($E$12,$F$16,$F$17,$F$18,$E421,$F$20,R$22,$H421,$F$19)</f>
        <v>0</v>
      </c>
      <c r="S421" s="36">
        <f>_xll.DBRW($E$12,$F$16,$F$17,$F$18,$E421,$F$20,S$22,$H421,$F$19)</f>
        <v>0</v>
      </c>
      <c r="T421" s="36">
        <f>_xll.DBRW($E$12,$F$16,$F$17,$F$18,$E421,$F$20,T$22,$H421,$F$19)</f>
        <v>0</v>
      </c>
      <c r="U421" s="36">
        <f>_xll.DBRW($E$12,$F$16,$F$17,$F$18,$E421,$F$20,U$22,$H421,$F$19)</f>
        <v>14.6</v>
      </c>
    </row>
    <row r="422" spans="4:21" s="37" customFormat="1" ht="15" outlineLevel="1" thickBot="1" x14ac:dyDescent="0.35">
      <c r="D422" s="33" t="str">
        <f>IF(_xll.TM1RPTELISCONSOLIDATED($H$34,$H422),IF(_xll.TM1RPTELLEV($H$34,$H422)&lt;=5,_xll.TM1RPTELLEV($H$34,$H422),"Default"),"Leaf")</f>
        <v>Leaf</v>
      </c>
      <c r="E422" s="42" t="s">
        <v>685</v>
      </c>
      <c r="F422" s="34" t="str">
        <f>_xll.DBR($B$18,$H422,"Account_Type")</f>
        <v>NON LABOR</v>
      </c>
      <c r="G422" s="34" t="str">
        <f>_xll.DBR($B$18,$H422,"Description")</f>
        <v>Postage &amp; Courier Fees</v>
      </c>
      <c r="H422" s="43" t="s">
        <v>165</v>
      </c>
      <c r="I422" s="36">
        <f>_xll.DBRW($E$12,$F$16,$F$17,$F$18,$E422,$F$20,I$22,$H422,$F$19)</f>
        <v>0</v>
      </c>
      <c r="J422" s="36">
        <f>_xll.DBRW($E$12,$F$16,$F$17,$F$18,$E422,$F$20,J$22,$H422,$F$19)</f>
        <v>0</v>
      </c>
      <c r="K422" s="36">
        <f>_xll.DBRW($E$12,$F$16,$F$17,$F$18,$E422,$F$20,K$22,$H422,$F$19)</f>
        <v>24.64</v>
      </c>
      <c r="L422" s="36">
        <f>_xll.DBRW($E$12,$F$16,$F$17,$F$18,$E422,$F$20,L$22,$H422,$F$19)</f>
        <v>14.83</v>
      </c>
      <c r="M422" s="36">
        <f>_xll.DBRW($E$12,$F$16,$F$17,$F$18,$E422,$F$20,M$22,$H422,$F$19)</f>
        <v>0</v>
      </c>
      <c r="N422" s="36">
        <f>_xll.DBRW($E$12,$F$16,$F$17,$F$18,$E422,$F$20,N$22,$H422,$F$19)</f>
        <v>0</v>
      </c>
      <c r="O422" s="36">
        <f>_xll.DBRW($E$12,$F$16,$F$17,$F$18,$E422,$F$20,O$22,$H422,$F$19)</f>
        <v>0</v>
      </c>
      <c r="P422" s="36">
        <f>_xll.DBRW($E$12,$F$16,$F$17,$F$18,$E422,$F$20,P$22,$H422,$F$19)</f>
        <v>0</v>
      </c>
      <c r="Q422" s="36">
        <f>_xll.DBRW($E$12,$F$16,$F$17,$F$18,$E422,$F$20,Q$22,$H422,$F$19)</f>
        <v>0</v>
      </c>
      <c r="R422" s="36">
        <f>_xll.DBRW($E$12,$F$16,$F$17,$F$18,$E422,$F$20,R$22,$H422,$F$19)</f>
        <v>0</v>
      </c>
      <c r="S422" s="36">
        <f>_xll.DBRW($E$12,$F$16,$F$17,$F$18,$E422,$F$20,S$22,$H422,$F$19)</f>
        <v>0</v>
      </c>
      <c r="T422" s="36">
        <f>_xll.DBRW($E$12,$F$16,$F$17,$F$18,$E422,$F$20,T$22,$H422,$F$19)</f>
        <v>0</v>
      </c>
      <c r="U422" s="36">
        <f>_xll.DBRW($E$12,$F$16,$F$17,$F$18,$E422,$F$20,U$22,$H422,$F$19)</f>
        <v>39.47</v>
      </c>
    </row>
    <row r="423" spans="4:21" s="37" customFormat="1" ht="15" outlineLevel="1" thickBot="1" x14ac:dyDescent="0.35">
      <c r="D423" s="33" t="str">
        <f>IF(_xll.TM1RPTELISCONSOLIDATED($H$34,$H423),IF(_xll.TM1RPTELLEV($H$34,$H423)&lt;=5,_xll.TM1RPTELLEV($H$34,$H423),"Default"),"Leaf")</f>
        <v>Leaf</v>
      </c>
      <c r="E423" s="42" t="s">
        <v>685</v>
      </c>
      <c r="F423" s="34" t="str">
        <f>_xll.DBR($B$18,$H423,"Account_Type")</f>
        <v>NON LABOR</v>
      </c>
      <c r="G423" s="34" t="str">
        <f>_xll.DBR($B$18,$H423,"Description")</f>
        <v>Education/Training/Dues/Subscriptions</v>
      </c>
      <c r="H423" s="43" t="s">
        <v>186</v>
      </c>
      <c r="I423" s="36">
        <f>_xll.DBRW($E$12,$F$16,$F$17,$F$18,$E423,$F$20,I$22,$H423,$F$19)</f>
        <v>0</v>
      </c>
      <c r="J423" s="36">
        <f>_xll.DBRW($E$12,$F$16,$F$17,$F$18,$E423,$F$20,J$22,$H423,$F$19)</f>
        <v>0</v>
      </c>
      <c r="K423" s="36">
        <f>_xll.DBRW($E$12,$F$16,$F$17,$F$18,$E423,$F$20,K$22,$H423,$F$19)</f>
        <v>0</v>
      </c>
      <c r="L423" s="36">
        <f>_xll.DBRW($E$12,$F$16,$F$17,$F$18,$E423,$F$20,L$22,$H423,$F$19)</f>
        <v>0</v>
      </c>
      <c r="M423" s="36">
        <f>_xll.DBRW($E$12,$F$16,$F$17,$F$18,$E423,$F$20,M$22,$H423,$F$19)</f>
        <v>-24.17</v>
      </c>
      <c r="N423" s="36">
        <f>_xll.DBRW($E$12,$F$16,$F$17,$F$18,$E423,$F$20,N$22,$H423,$F$19)</f>
        <v>0</v>
      </c>
      <c r="O423" s="36">
        <f>_xll.DBRW($E$12,$F$16,$F$17,$F$18,$E423,$F$20,O$22,$H423,$F$19)</f>
        <v>0</v>
      </c>
      <c r="P423" s="36">
        <f>_xll.DBRW($E$12,$F$16,$F$17,$F$18,$E423,$F$20,P$22,$H423,$F$19)</f>
        <v>0</v>
      </c>
      <c r="Q423" s="36">
        <f>_xll.DBRW($E$12,$F$16,$F$17,$F$18,$E423,$F$20,Q$22,$H423,$F$19)</f>
        <v>0</v>
      </c>
      <c r="R423" s="36">
        <f>_xll.DBRW($E$12,$F$16,$F$17,$F$18,$E423,$F$20,R$22,$H423,$F$19)</f>
        <v>0</v>
      </c>
      <c r="S423" s="36">
        <f>_xll.DBRW($E$12,$F$16,$F$17,$F$18,$E423,$F$20,S$22,$H423,$F$19)</f>
        <v>0</v>
      </c>
      <c r="T423" s="36">
        <f>_xll.DBRW($E$12,$F$16,$F$17,$F$18,$E423,$F$20,T$22,$H423,$F$19)</f>
        <v>0</v>
      </c>
      <c r="U423" s="36">
        <f>_xll.DBRW($E$12,$F$16,$F$17,$F$18,$E423,$F$20,U$22,$H423,$F$19)</f>
        <v>-24.17</v>
      </c>
    </row>
    <row r="424" spans="4:21" s="37" customFormat="1" ht="15" outlineLevel="1" thickBot="1" x14ac:dyDescent="0.35">
      <c r="D424" s="33" t="str">
        <f>IF(_xll.TM1RPTELISCONSOLIDATED($H$34,$H424),IF(_xll.TM1RPTELLEV($H$34,$H424)&lt;=5,_xll.TM1RPTELLEV($H$34,$H424),"Default"),"Leaf")</f>
        <v>Leaf</v>
      </c>
      <c r="E424" s="42" t="s">
        <v>685</v>
      </c>
      <c r="F424" s="34" t="str">
        <f>_xll.DBR($B$18,$H424,"Account_Type")</f>
        <v>NON LABOR</v>
      </c>
      <c r="G424" s="34" t="str">
        <f>_xll.DBR($B$18,$H424,"Description")</f>
        <v>Certificates/Licenses/Permits</v>
      </c>
      <c r="H424" s="43" t="s">
        <v>195</v>
      </c>
      <c r="I424" s="36">
        <f>_xll.DBRW($E$12,$F$16,$F$17,$F$18,$E424,$F$20,I$22,$H424,$F$19)</f>
        <v>100</v>
      </c>
      <c r="J424" s="36">
        <f>_xll.DBRW($E$12,$F$16,$F$17,$F$18,$E424,$F$20,J$22,$H424,$F$19)</f>
        <v>245.47</v>
      </c>
      <c r="K424" s="36">
        <f>_xll.DBRW($E$12,$F$16,$F$17,$F$18,$E424,$F$20,K$22,$H424,$F$19)</f>
        <v>0</v>
      </c>
      <c r="L424" s="36">
        <f>_xll.DBRW($E$12,$F$16,$F$17,$F$18,$E424,$F$20,L$22,$H424,$F$19)</f>
        <v>0</v>
      </c>
      <c r="M424" s="36">
        <f>_xll.DBRW($E$12,$F$16,$F$17,$F$18,$E424,$F$20,M$22,$H424,$F$19)</f>
        <v>100</v>
      </c>
      <c r="N424" s="36">
        <f>_xll.DBRW($E$12,$F$16,$F$17,$F$18,$E424,$F$20,N$22,$H424,$F$19)</f>
        <v>100</v>
      </c>
      <c r="O424" s="36">
        <f>_xll.DBRW($E$12,$F$16,$F$17,$F$18,$E424,$F$20,O$22,$H424,$F$19)</f>
        <v>0</v>
      </c>
      <c r="P424" s="36">
        <f>_xll.DBRW($E$12,$F$16,$F$17,$F$18,$E424,$F$20,P$22,$H424,$F$19)</f>
        <v>0</v>
      </c>
      <c r="Q424" s="36">
        <f>_xll.DBRW($E$12,$F$16,$F$17,$F$18,$E424,$F$20,Q$22,$H424,$F$19)</f>
        <v>0</v>
      </c>
      <c r="R424" s="36">
        <f>_xll.DBRW($E$12,$F$16,$F$17,$F$18,$E424,$F$20,R$22,$H424,$F$19)</f>
        <v>0</v>
      </c>
      <c r="S424" s="36">
        <f>_xll.DBRW($E$12,$F$16,$F$17,$F$18,$E424,$F$20,S$22,$H424,$F$19)</f>
        <v>0</v>
      </c>
      <c r="T424" s="36">
        <f>_xll.DBRW($E$12,$F$16,$F$17,$F$18,$E424,$F$20,T$22,$H424,$F$19)</f>
        <v>0</v>
      </c>
      <c r="U424" s="36">
        <f>_xll.DBRW($E$12,$F$16,$F$17,$F$18,$E424,$F$20,U$22,$H424,$F$19)</f>
        <v>545.47</v>
      </c>
    </row>
    <row r="425" spans="4:21" s="37" customFormat="1" ht="15" outlineLevel="1" thickBot="1" x14ac:dyDescent="0.35">
      <c r="D425" s="33" t="str">
        <f>IF(_xll.TM1RPTELISCONSOLIDATED($H$34,$H425),IF(_xll.TM1RPTELLEV($H$34,$H425)&lt;=5,_xll.TM1RPTELLEV($H$34,$H425),"Default"),"Leaf")</f>
        <v>Leaf</v>
      </c>
      <c r="E425" s="42" t="s">
        <v>685</v>
      </c>
      <c r="F425" s="34" t="str">
        <f>_xll.DBR($B$18,$H425,"Account_Type")</f>
        <v>NON LABOR</v>
      </c>
      <c r="G425" s="34" t="str">
        <f>_xll.DBR($B$18,$H425,"Description")</f>
        <v>Office Rent</v>
      </c>
      <c r="H425" s="43" t="s">
        <v>211</v>
      </c>
      <c r="I425" s="36">
        <f>_xll.DBRW($E$12,$F$16,$F$17,$F$18,$E425,$F$20,I$22,$H425,$F$19)</f>
        <v>425.68</v>
      </c>
      <c r="J425" s="36">
        <f>_xll.DBRW($E$12,$F$16,$F$17,$F$18,$E425,$F$20,J$22,$H425,$F$19)</f>
        <v>425.68</v>
      </c>
      <c r="K425" s="36">
        <f>_xll.DBRW($E$12,$F$16,$F$17,$F$18,$E425,$F$20,K$22,$H425,$F$19)</f>
        <v>425.68</v>
      </c>
      <c r="L425" s="36">
        <f>_xll.DBRW($E$12,$F$16,$F$17,$F$18,$E425,$F$20,L$22,$H425,$F$19)</f>
        <v>425.68</v>
      </c>
      <c r="M425" s="36">
        <f>_xll.DBRW($E$12,$F$16,$F$17,$F$18,$E425,$F$20,M$22,$H425,$F$19)</f>
        <v>425.68</v>
      </c>
      <c r="N425" s="36">
        <f>_xll.DBRW($E$12,$F$16,$F$17,$F$18,$E425,$F$20,N$22,$H425,$F$19)</f>
        <v>425.68</v>
      </c>
      <c r="O425" s="36">
        <f>_xll.DBRW($E$12,$F$16,$F$17,$F$18,$E425,$F$20,O$22,$H425,$F$19)</f>
        <v>0</v>
      </c>
      <c r="P425" s="36">
        <f>_xll.DBRW($E$12,$F$16,$F$17,$F$18,$E425,$F$20,P$22,$H425,$F$19)</f>
        <v>0</v>
      </c>
      <c r="Q425" s="36">
        <f>_xll.DBRW($E$12,$F$16,$F$17,$F$18,$E425,$F$20,Q$22,$H425,$F$19)</f>
        <v>0</v>
      </c>
      <c r="R425" s="36">
        <f>_xll.DBRW($E$12,$F$16,$F$17,$F$18,$E425,$F$20,R$22,$H425,$F$19)</f>
        <v>0</v>
      </c>
      <c r="S425" s="36">
        <f>_xll.DBRW($E$12,$F$16,$F$17,$F$18,$E425,$F$20,S$22,$H425,$F$19)</f>
        <v>0</v>
      </c>
      <c r="T425" s="36">
        <f>_xll.DBRW($E$12,$F$16,$F$17,$F$18,$E425,$F$20,T$22,$H425,$F$19)</f>
        <v>0</v>
      </c>
      <c r="U425" s="36">
        <f>_xll.DBRW($E$12,$F$16,$F$17,$F$18,$E425,$F$20,U$22,$H425,$F$19)</f>
        <v>2554.08</v>
      </c>
    </row>
    <row r="426" spans="4:21" s="37" customFormat="1" ht="15" outlineLevel="1" thickBot="1" x14ac:dyDescent="0.35">
      <c r="D426" s="33" t="str">
        <f>IF(_xll.TM1RPTELISCONSOLIDATED($H$34,$H426),IF(_xll.TM1RPTELLEV($H$34,$H426)&lt;=5,_xll.TM1RPTELLEV($H$34,$H426),"Default"),"Leaf")</f>
        <v>Leaf</v>
      </c>
      <c r="E426" s="42" t="s">
        <v>685</v>
      </c>
      <c r="F426" s="34" t="str">
        <f>_xll.DBR($B$18,$H426,"Account_Type")</f>
        <v>NON LABOR</v>
      </c>
      <c r="G426" s="34" t="str">
        <f>_xll.DBR($B$18,$H426,"Description")</f>
        <v>Facility Maintenance</v>
      </c>
      <c r="H426" s="43" t="s">
        <v>240</v>
      </c>
      <c r="I426" s="36">
        <f>_xll.DBRW($E$12,$F$16,$F$17,$F$18,$E426,$F$20,I$22,$H426,$F$19)</f>
        <v>98.51</v>
      </c>
      <c r="J426" s="36">
        <f>_xll.DBRW($E$12,$F$16,$F$17,$F$18,$E426,$F$20,J$22,$H426,$F$19)</f>
        <v>0</v>
      </c>
      <c r="K426" s="36">
        <f>_xll.DBRW($E$12,$F$16,$F$17,$F$18,$E426,$F$20,K$22,$H426,$F$19)</f>
        <v>33.82</v>
      </c>
      <c r="L426" s="36">
        <f>_xll.DBRW($E$12,$F$16,$F$17,$F$18,$E426,$F$20,L$22,$H426,$F$19)</f>
        <v>0</v>
      </c>
      <c r="M426" s="36">
        <f>_xll.DBRW($E$12,$F$16,$F$17,$F$18,$E426,$F$20,M$22,$H426,$F$19)</f>
        <v>0</v>
      </c>
      <c r="N426" s="36">
        <f>_xll.DBRW($E$12,$F$16,$F$17,$F$18,$E426,$F$20,N$22,$H426,$F$19)</f>
        <v>0</v>
      </c>
      <c r="O426" s="36">
        <f>_xll.DBRW($E$12,$F$16,$F$17,$F$18,$E426,$F$20,O$22,$H426,$F$19)</f>
        <v>0</v>
      </c>
      <c r="P426" s="36">
        <f>_xll.DBRW($E$12,$F$16,$F$17,$F$18,$E426,$F$20,P$22,$H426,$F$19)</f>
        <v>0</v>
      </c>
      <c r="Q426" s="36">
        <f>_xll.DBRW($E$12,$F$16,$F$17,$F$18,$E426,$F$20,Q$22,$H426,$F$19)</f>
        <v>0</v>
      </c>
      <c r="R426" s="36">
        <f>_xll.DBRW($E$12,$F$16,$F$17,$F$18,$E426,$F$20,R$22,$H426,$F$19)</f>
        <v>0</v>
      </c>
      <c r="S426" s="36">
        <f>_xll.DBRW($E$12,$F$16,$F$17,$F$18,$E426,$F$20,S$22,$H426,$F$19)</f>
        <v>0</v>
      </c>
      <c r="T426" s="36">
        <f>_xll.DBRW($E$12,$F$16,$F$17,$F$18,$E426,$F$20,T$22,$H426,$F$19)</f>
        <v>0</v>
      </c>
      <c r="U426" s="36">
        <f>_xll.DBRW($E$12,$F$16,$F$17,$F$18,$E426,$F$20,U$22,$H426,$F$19)</f>
        <v>132.33000000000001</v>
      </c>
    </row>
    <row r="427" spans="4:21" s="37" customFormat="1" ht="15" outlineLevel="1" thickBot="1" x14ac:dyDescent="0.35">
      <c r="D427" s="33" t="str">
        <f>IF(_xll.TM1RPTELISCONSOLIDATED($H$34,$H427),IF(_xll.TM1RPTELLEV($H$34,$H427)&lt;=5,_xll.TM1RPTELLEV($H$34,$H427),"Default"),"Leaf")</f>
        <v>Leaf</v>
      </c>
      <c r="E427" s="42" t="s">
        <v>685</v>
      </c>
      <c r="F427" s="34" t="str">
        <f>_xll.DBR($B$18,$H427,"Account_Type")</f>
        <v>NON LABOR</v>
      </c>
      <c r="G427" s="34" t="str">
        <f>_xll.DBR($B$18,$H427,"Description")</f>
        <v>Fines &amp; Penalties</v>
      </c>
      <c r="H427" s="43" t="s">
        <v>264</v>
      </c>
      <c r="I427" s="36">
        <f>_xll.DBRW($E$12,$F$16,$F$17,$F$18,$E427,$F$20,I$22,$H427,$F$19)</f>
        <v>0</v>
      </c>
      <c r="J427" s="36">
        <f>_xll.DBRW($E$12,$F$16,$F$17,$F$18,$E427,$F$20,J$22,$H427,$F$19)</f>
        <v>0</v>
      </c>
      <c r="K427" s="36">
        <f>_xll.DBRW($E$12,$F$16,$F$17,$F$18,$E427,$F$20,K$22,$H427,$F$19)</f>
        <v>160</v>
      </c>
      <c r="L427" s="36">
        <f>_xll.DBRW($E$12,$F$16,$F$17,$F$18,$E427,$F$20,L$22,$H427,$F$19)</f>
        <v>0</v>
      </c>
      <c r="M427" s="36">
        <f>_xll.DBRW($E$12,$F$16,$F$17,$F$18,$E427,$F$20,M$22,$H427,$F$19)</f>
        <v>0</v>
      </c>
      <c r="N427" s="36">
        <f>_xll.DBRW($E$12,$F$16,$F$17,$F$18,$E427,$F$20,N$22,$H427,$F$19)</f>
        <v>0</v>
      </c>
      <c r="O427" s="36">
        <f>_xll.DBRW($E$12,$F$16,$F$17,$F$18,$E427,$F$20,O$22,$H427,$F$19)</f>
        <v>0</v>
      </c>
      <c r="P427" s="36">
        <f>_xll.DBRW($E$12,$F$16,$F$17,$F$18,$E427,$F$20,P$22,$H427,$F$19)</f>
        <v>0</v>
      </c>
      <c r="Q427" s="36">
        <f>_xll.DBRW($E$12,$F$16,$F$17,$F$18,$E427,$F$20,Q$22,$H427,$F$19)</f>
        <v>0</v>
      </c>
      <c r="R427" s="36">
        <f>_xll.DBRW($E$12,$F$16,$F$17,$F$18,$E427,$F$20,R$22,$H427,$F$19)</f>
        <v>0</v>
      </c>
      <c r="S427" s="36">
        <f>_xll.DBRW($E$12,$F$16,$F$17,$F$18,$E427,$F$20,S$22,$H427,$F$19)</f>
        <v>0</v>
      </c>
      <c r="T427" s="36">
        <f>_xll.DBRW($E$12,$F$16,$F$17,$F$18,$E427,$F$20,T$22,$H427,$F$19)</f>
        <v>0</v>
      </c>
      <c r="U427" s="36">
        <f>_xll.DBRW($E$12,$F$16,$F$17,$F$18,$E427,$F$20,U$22,$H427,$F$19)</f>
        <v>160</v>
      </c>
    </row>
    <row r="428" spans="4:21" s="37" customFormat="1" ht="15" outlineLevel="1" thickBot="1" x14ac:dyDescent="0.35">
      <c r="D428" s="33" t="str">
        <f>IF(_xll.TM1RPTELISCONSOLIDATED($H$34,$H428),IF(_xll.TM1RPTELLEV($H$34,$H428)&lt;=5,_xll.TM1RPTELLEV($H$34,$H428),"Default"),"Leaf")</f>
        <v>Leaf</v>
      </c>
      <c r="E428" s="42" t="s">
        <v>685</v>
      </c>
      <c r="F428" s="34" t="str">
        <f>_xll.DBR($B$18,$H428,"Account_Type")</f>
        <v>NON LABOR</v>
      </c>
      <c r="G428" s="34" t="str">
        <f>_xll.DBR($B$18,$H428,"Description")</f>
        <v>Employee Morale &amp; Welfare</v>
      </c>
      <c r="H428" s="43" t="s">
        <v>307</v>
      </c>
      <c r="I428" s="36">
        <f>_xll.DBRW($E$12,$F$16,$F$17,$F$18,$E428,$F$20,I$22,$H428,$F$19)</f>
        <v>96</v>
      </c>
      <c r="J428" s="36">
        <f>_xll.DBRW($E$12,$F$16,$F$17,$F$18,$E428,$F$20,J$22,$H428,$F$19)</f>
        <v>0</v>
      </c>
      <c r="K428" s="36">
        <f>_xll.DBRW($E$12,$F$16,$F$17,$F$18,$E428,$F$20,K$22,$H428,$F$19)</f>
        <v>0</v>
      </c>
      <c r="L428" s="36">
        <f>_xll.DBRW($E$12,$F$16,$F$17,$F$18,$E428,$F$20,L$22,$H428,$F$19)</f>
        <v>0</v>
      </c>
      <c r="M428" s="36">
        <f>_xll.DBRW($E$12,$F$16,$F$17,$F$18,$E428,$F$20,M$22,$H428,$F$19)</f>
        <v>0</v>
      </c>
      <c r="N428" s="36">
        <f>_xll.DBRW($E$12,$F$16,$F$17,$F$18,$E428,$F$20,N$22,$H428,$F$19)</f>
        <v>0</v>
      </c>
      <c r="O428" s="36">
        <f>_xll.DBRW($E$12,$F$16,$F$17,$F$18,$E428,$F$20,O$22,$H428,$F$19)</f>
        <v>0</v>
      </c>
      <c r="P428" s="36">
        <f>_xll.DBRW($E$12,$F$16,$F$17,$F$18,$E428,$F$20,P$22,$H428,$F$19)</f>
        <v>0</v>
      </c>
      <c r="Q428" s="36">
        <f>_xll.DBRW($E$12,$F$16,$F$17,$F$18,$E428,$F$20,Q$22,$H428,$F$19)</f>
        <v>0</v>
      </c>
      <c r="R428" s="36">
        <f>_xll.DBRW($E$12,$F$16,$F$17,$F$18,$E428,$F$20,R$22,$H428,$F$19)</f>
        <v>0</v>
      </c>
      <c r="S428" s="36">
        <f>_xll.DBRW($E$12,$F$16,$F$17,$F$18,$E428,$F$20,S$22,$H428,$F$19)</f>
        <v>0</v>
      </c>
      <c r="T428" s="36">
        <f>_xll.DBRW($E$12,$F$16,$F$17,$F$18,$E428,$F$20,T$22,$H428,$F$19)</f>
        <v>0</v>
      </c>
      <c r="U428" s="36">
        <f>_xll.DBRW($E$12,$F$16,$F$17,$F$18,$E428,$F$20,U$22,$H428,$F$19)</f>
        <v>96</v>
      </c>
    </row>
    <row r="429" spans="4:21" s="37" customFormat="1" ht="15" outlineLevel="1" thickBot="1" x14ac:dyDescent="0.35">
      <c r="D429" s="33" t="str">
        <f>IF(_xll.TM1RPTELISCONSOLIDATED($H$34,$H429),IF(_xll.TM1RPTELLEV($H$34,$H429)&lt;=5,_xll.TM1RPTELLEV($H$34,$H429),"Default"),"Leaf")</f>
        <v>Leaf</v>
      </c>
      <c r="E429" s="42" t="s">
        <v>685</v>
      </c>
      <c r="F429" s="34" t="str">
        <f>_xll.DBR($B$18,$H429,"Account_Type")</f>
        <v>NON LABOR</v>
      </c>
      <c r="G429" s="34" t="str">
        <f>_xll.DBR($B$18,$H429,"Description")</f>
        <v>Consumable Purchases</v>
      </c>
      <c r="H429" s="43" t="s">
        <v>331</v>
      </c>
      <c r="I429" s="36">
        <f>_xll.DBRW($E$12,$F$16,$F$17,$F$18,$E429,$F$20,I$22,$H429,$F$19)</f>
        <v>0</v>
      </c>
      <c r="J429" s="36">
        <f>_xll.DBRW($E$12,$F$16,$F$17,$F$18,$E429,$F$20,J$22,$H429,$F$19)</f>
        <v>0</v>
      </c>
      <c r="K429" s="36">
        <f>_xll.DBRW($E$12,$F$16,$F$17,$F$18,$E429,$F$20,K$22,$H429,$F$19)</f>
        <v>298.74</v>
      </c>
      <c r="L429" s="36">
        <f>_xll.DBRW($E$12,$F$16,$F$17,$F$18,$E429,$F$20,L$22,$H429,$F$19)</f>
        <v>0</v>
      </c>
      <c r="M429" s="36">
        <f>_xll.DBRW($E$12,$F$16,$F$17,$F$18,$E429,$F$20,M$22,$H429,$F$19)</f>
        <v>0</v>
      </c>
      <c r="N429" s="36">
        <f>_xll.DBRW($E$12,$F$16,$F$17,$F$18,$E429,$F$20,N$22,$H429,$F$19)</f>
        <v>0</v>
      </c>
      <c r="O429" s="36">
        <f>_xll.DBRW($E$12,$F$16,$F$17,$F$18,$E429,$F$20,O$22,$H429,$F$19)</f>
        <v>0</v>
      </c>
      <c r="P429" s="36">
        <f>_xll.DBRW($E$12,$F$16,$F$17,$F$18,$E429,$F$20,P$22,$H429,$F$19)</f>
        <v>0</v>
      </c>
      <c r="Q429" s="36">
        <f>_xll.DBRW($E$12,$F$16,$F$17,$F$18,$E429,$F$20,Q$22,$H429,$F$19)</f>
        <v>0</v>
      </c>
      <c r="R429" s="36">
        <f>_xll.DBRW($E$12,$F$16,$F$17,$F$18,$E429,$F$20,R$22,$H429,$F$19)</f>
        <v>0</v>
      </c>
      <c r="S429" s="36">
        <f>_xll.DBRW($E$12,$F$16,$F$17,$F$18,$E429,$F$20,S$22,$H429,$F$19)</f>
        <v>0</v>
      </c>
      <c r="T429" s="36">
        <f>_xll.DBRW($E$12,$F$16,$F$17,$F$18,$E429,$F$20,T$22,$H429,$F$19)</f>
        <v>0</v>
      </c>
      <c r="U429" s="36">
        <f>_xll.DBRW($E$12,$F$16,$F$17,$F$18,$E429,$F$20,U$22,$H429,$F$19)</f>
        <v>298.74</v>
      </c>
    </row>
    <row r="430" spans="4:21" s="37" customFormat="1" ht="15" outlineLevel="1" thickBot="1" x14ac:dyDescent="0.35">
      <c r="D430" s="33" t="str">
        <f>IF(_xll.TM1RPTELISCONSOLIDATED($H$34,$H430),IF(_xll.TM1RPTELLEV($H$34,$H430)&lt;=5,_xll.TM1RPTELLEV($H$34,$H430),"Default"),"Leaf")</f>
        <v>Leaf</v>
      </c>
      <c r="E430" s="42" t="s">
        <v>685</v>
      </c>
      <c r="F430" s="34" t="str">
        <f>_xll.DBR($B$18,$H430,"Account_Type")</f>
        <v>NON LABOR</v>
      </c>
      <c r="G430" s="34" t="str">
        <f>_xll.DBR($B$18,$H430,"Description")</f>
        <v>Toolroom Consumables Applied</v>
      </c>
      <c r="H430" s="43" t="s">
        <v>342</v>
      </c>
      <c r="I430" s="36">
        <f>_xll.DBRW($E$12,$F$16,$F$17,$F$18,$E430,$F$20,I$22,$H430,$F$19)</f>
        <v>0</v>
      </c>
      <c r="J430" s="36">
        <f>_xll.DBRW($E$12,$F$16,$F$17,$F$18,$E430,$F$20,J$22,$H430,$F$19)</f>
        <v>0</v>
      </c>
      <c r="K430" s="36">
        <f>_xll.DBRW($E$12,$F$16,$F$17,$F$18,$E430,$F$20,K$22,$H430,$F$19)</f>
        <v>0</v>
      </c>
      <c r="L430" s="36">
        <f>_xll.DBRW($E$12,$F$16,$F$17,$F$18,$E430,$F$20,L$22,$H430,$F$19)</f>
        <v>0</v>
      </c>
      <c r="M430" s="36">
        <f>_xll.DBRW($E$12,$F$16,$F$17,$F$18,$E430,$F$20,M$22,$H430,$F$19)</f>
        <v>31.69</v>
      </c>
      <c r="N430" s="36">
        <f>_xll.DBRW($E$12,$F$16,$F$17,$F$18,$E430,$F$20,N$22,$H430,$F$19)</f>
        <v>0</v>
      </c>
      <c r="O430" s="36">
        <f>_xll.DBRW($E$12,$F$16,$F$17,$F$18,$E430,$F$20,O$22,$H430,$F$19)</f>
        <v>0</v>
      </c>
      <c r="P430" s="36">
        <f>_xll.DBRW($E$12,$F$16,$F$17,$F$18,$E430,$F$20,P$22,$H430,$F$19)</f>
        <v>0</v>
      </c>
      <c r="Q430" s="36">
        <f>_xll.DBRW($E$12,$F$16,$F$17,$F$18,$E430,$F$20,Q$22,$H430,$F$19)</f>
        <v>0</v>
      </c>
      <c r="R430" s="36">
        <f>_xll.DBRW($E$12,$F$16,$F$17,$F$18,$E430,$F$20,R$22,$H430,$F$19)</f>
        <v>0</v>
      </c>
      <c r="S430" s="36">
        <f>_xll.DBRW($E$12,$F$16,$F$17,$F$18,$E430,$F$20,S$22,$H430,$F$19)</f>
        <v>0</v>
      </c>
      <c r="T430" s="36">
        <f>_xll.DBRW($E$12,$F$16,$F$17,$F$18,$E430,$F$20,T$22,$H430,$F$19)</f>
        <v>0</v>
      </c>
      <c r="U430" s="36">
        <f>_xll.DBRW($E$12,$F$16,$F$17,$F$18,$E430,$F$20,U$22,$H430,$F$19)</f>
        <v>31.69</v>
      </c>
    </row>
    <row r="431" spans="4:21" s="37" customFormat="1" ht="15" outlineLevel="1" thickBot="1" x14ac:dyDescent="0.35">
      <c r="D431" s="33" t="str">
        <f>IF(_xll.TM1RPTELISCONSOLIDATED($H$34,$H431),IF(_xll.TM1RPTELLEV($H$34,$H431)&lt;=5,_xll.TM1RPTELLEV($H$34,$H431),"Default"),"Leaf")</f>
        <v>Leaf</v>
      </c>
      <c r="E431" s="42" t="s">
        <v>685</v>
      </c>
      <c r="F431" s="34" t="str">
        <f>_xll.DBR($B$18,$H431,"Account_Type")</f>
        <v>NON LABOR</v>
      </c>
      <c r="G431" s="34" t="str">
        <f>_xll.DBR($B$18,$H431,"Description")</f>
        <v>STC/Eqpt Maintenance &amp; Repair</v>
      </c>
      <c r="H431" s="43" t="s">
        <v>351</v>
      </c>
      <c r="I431" s="36">
        <f>_xll.DBRW($E$12,$F$16,$F$17,$F$18,$E431,$F$20,I$22,$H431,$F$19)</f>
        <v>0</v>
      </c>
      <c r="J431" s="36">
        <f>_xll.DBRW($E$12,$F$16,$F$17,$F$18,$E431,$F$20,J$22,$H431,$F$19)</f>
        <v>555.6</v>
      </c>
      <c r="K431" s="36">
        <f>_xll.DBRW($E$12,$F$16,$F$17,$F$18,$E431,$F$20,K$22,$H431,$F$19)</f>
        <v>0</v>
      </c>
      <c r="L431" s="36">
        <f>_xll.DBRW($E$12,$F$16,$F$17,$F$18,$E431,$F$20,L$22,$H431,$F$19)</f>
        <v>0</v>
      </c>
      <c r="M431" s="36">
        <f>_xll.DBRW($E$12,$F$16,$F$17,$F$18,$E431,$F$20,M$22,$H431,$F$19)</f>
        <v>0</v>
      </c>
      <c r="N431" s="36">
        <f>_xll.DBRW($E$12,$F$16,$F$17,$F$18,$E431,$F$20,N$22,$H431,$F$19)</f>
        <v>0</v>
      </c>
      <c r="O431" s="36">
        <f>_xll.DBRW($E$12,$F$16,$F$17,$F$18,$E431,$F$20,O$22,$H431,$F$19)</f>
        <v>0</v>
      </c>
      <c r="P431" s="36">
        <f>_xll.DBRW($E$12,$F$16,$F$17,$F$18,$E431,$F$20,P$22,$H431,$F$19)</f>
        <v>0</v>
      </c>
      <c r="Q431" s="36">
        <f>_xll.DBRW($E$12,$F$16,$F$17,$F$18,$E431,$F$20,Q$22,$H431,$F$19)</f>
        <v>0</v>
      </c>
      <c r="R431" s="36">
        <f>_xll.DBRW($E$12,$F$16,$F$17,$F$18,$E431,$F$20,R$22,$H431,$F$19)</f>
        <v>0</v>
      </c>
      <c r="S431" s="36">
        <f>_xll.DBRW($E$12,$F$16,$F$17,$F$18,$E431,$F$20,S$22,$H431,$F$19)</f>
        <v>0</v>
      </c>
      <c r="T431" s="36">
        <f>_xll.DBRW($E$12,$F$16,$F$17,$F$18,$E431,$F$20,T$22,$H431,$F$19)</f>
        <v>0</v>
      </c>
      <c r="U431" s="36">
        <f>_xll.DBRW($E$12,$F$16,$F$17,$F$18,$E431,$F$20,U$22,$H431,$F$19)</f>
        <v>555.6</v>
      </c>
    </row>
    <row r="432" spans="4:21" s="37" customFormat="1" ht="15" outlineLevel="1" thickBot="1" x14ac:dyDescent="0.35">
      <c r="D432" s="33" t="str">
        <f>IF(_xll.TM1RPTELISCONSOLIDATED($H$34,$H432),IF(_xll.TM1RPTELLEV($H$34,$H432)&lt;=5,_xll.TM1RPTELLEV($H$34,$H432),"Default"),"Leaf")</f>
        <v>Leaf</v>
      </c>
      <c r="E432" s="42" t="s">
        <v>685</v>
      </c>
      <c r="F432" s="34" t="str">
        <f>_xll.DBR($B$18,$H432,"Account_Type")</f>
        <v>NON LABOR</v>
      </c>
      <c r="G432" s="34" t="str">
        <f>_xll.DBR($B$18,$H432,"Description")</f>
        <v>Employee Leased Vehicles</v>
      </c>
      <c r="H432" s="43" t="s">
        <v>369</v>
      </c>
      <c r="I432" s="36">
        <f>_xll.DBRW($E$12,$F$16,$F$17,$F$18,$E432,$F$20,I$22,$H432,$F$19)</f>
        <v>1200</v>
      </c>
      <c r="J432" s="36">
        <f>_xll.DBRW($E$12,$F$16,$F$17,$F$18,$E432,$F$20,J$22,$H432,$F$19)</f>
        <v>1200</v>
      </c>
      <c r="K432" s="36">
        <f>_xll.DBRW($E$12,$F$16,$F$17,$F$18,$E432,$F$20,K$22,$H432,$F$19)</f>
        <v>1200</v>
      </c>
      <c r="L432" s="36">
        <f>_xll.DBRW($E$12,$F$16,$F$17,$F$18,$E432,$F$20,L$22,$H432,$F$19)</f>
        <v>1200</v>
      </c>
      <c r="M432" s="36">
        <f>_xll.DBRW($E$12,$F$16,$F$17,$F$18,$E432,$F$20,M$22,$H432,$F$19)</f>
        <v>1200</v>
      </c>
      <c r="N432" s="36">
        <f>_xll.DBRW($E$12,$F$16,$F$17,$F$18,$E432,$F$20,N$22,$H432,$F$19)</f>
        <v>1520</v>
      </c>
      <c r="O432" s="36">
        <f>_xll.DBRW($E$12,$F$16,$F$17,$F$18,$E432,$F$20,O$22,$H432,$F$19)</f>
        <v>0</v>
      </c>
      <c r="P432" s="36">
        <f>_xll.DBRW($E$12,$F$16,$F$17,$F$18,$E432,$F$20,P$22,$H432,$F$19)</f>
        <v>0</v>
      </c>
      <c r="Q432" s="36">
        <f>_xll.DBRW($E$12,$F$16,$F$17,$F$18,$E432,$F$20,Q$22,$H432,$F$19)</f>
        <v>0</v>
      </c>
      <c r="R432" s="36">
        <f>_xll.DBRW($E$12,$F$16,$F$17,$F$18,$E432,$F$20,R$22,$H432,$F$19)</f>
        <v>0</v>
      </c>
      <c r="S432" s="36">
        <f>_xll.DBRW($E$12,$F$16,$F$17,$F$18,$E432,$F$20,S$22,$H432,$F$19)</f>
        <v>0</v>
      </c>
      <c r="T432" s="36">
        <f>_xll.DBRW($E$12,$F$16,$F$17,$F$18,$E432,$F$20,T$22,$H432,$F$19)</f>
        <v>0</v>
      </c>
      <c r="U432" s="36">
        <f>_xll.DBRW($E$12,$F$16,$F$17,$F$18,$E432,$F$20,U$22,$H432,$F$19)</f>
        <v>7520</v>
      </c>
    </row>
    <row r="433" spans="4:21" s="37" customFormat="1" ht="15" outlineLevel="1" thickBot="1" x14ac:dyDescent="0.35">
      <c r="D433" s="33" t="str">
        <f>IF(_xll.TM1RPTELISCONSOLIDATED($H$34,$H433),IF(_xll.TM1RPTELLEV($H$34,$H433)&lt;=5,_xll.TM1RPTELLEV($H$34,$H433),"Default"),"Leaf")</f>
        <v>Leaf</v>
      </c>
      <c r="E433" s="42" t="s">
        <v>685</v>
      </c>
      <c r="F433" s="34" t="str">
        <f>_xll.DBR($B$18,$H433,"Account_Type")</f>
        <v>NON LABOR</v>
      </c>
      <c r="G433" s="34" t="str">
        <f>_xll.DBR($B$18,$H433,"Description")</f>
        <v>Fleet Leased Vehicle Expense</v>
      </c>
      <c r="H433" s="43" t="s">
        <v>380</v>
      </c>
      <c r="I433" s="36">
        <f>_xll.DBRW($E$12,$F$16,$F$17,$F$18,$E433,$F$20,I$22,$H433,$F$19)</f>
        <v>31</v>
      </c>
      <c r="J433" s="36">
        <f>_xll.DBRW($E$12,$F$16,$F$17,$F$18,$E433,$F$20,J$22,$H433,$F$19)</f>
        <v>31</v>
      </c>
      <c r="K433" s="36">
        <f>_xll.DBRW($E$12,$F$16,$F$17,$F$18,$E433,$F$20,K$22,$H433,$F$19)</f>
        <v>31</v>
      </c>
      <c r="L433" s="36">
        <f>_xll.DBRW($E$12,$F$16,$F$17,$F$18,$E433,$F$20,L$22,$H433,$F$19)</f>
        <v>240.58</v>
      </c>
      <c r="M433" s="36">
        <f>_xll.DBRW($E$12,$F$16,$F$17,$F$18,$E433,$F$20,M$22,$H433,$F$19)</f>
        <v>0</v>
      </c>
      <c r="N433" s="36">
        <f>_xll.DBRW($E$12,$F$16,$F$17,$F$18,$E433,$F$20,N$22,$H433,$F$19)</f>
        <v>123.25</v>
      </c>
      <c r="O433" s="36">
        <f>_xll.DBRW($E$12,$F$16,$F$17,$F$18,$E433,$F$20,O$22,$H433,$F$19)</f>
        <v>0</v>
      </c>
      <c r="P433" s="36">
        <f>_xll.DBRW($E$12,$F$16,$F$17,$F$18,$E433,$F$20,P$22,$H433,$F$19)</f>
        <v>0</v>
      </c>
      <c r="Q433" s="36">
        <f>_xll.DBRW($E$12,$F$16,$F$17,$F$18,$E433,$F$20,Q$22,$H433,$F$19)</f>
        <v>0</v>
      </c>
      <c r="R433" s="36">
        <f>_xll.DBRW($E$12,$F$16,$F$17,$F$18,$E433,$F$20,R$22,$H433,$F$19)</f>
        <v>0</v>
      </c>
      <c r="S433" s="36">
        <f>_xll.DBRW($E$12,$F$16,$F$17,$F$18,$E433,$F$20,S$22,$H433,$F$19)</f>
        <v>0</v>
      </c>
      <c r="T433" s="36">
        <f>_xll.DBRW($E$12,$F$16,$F$17,$F$18,$E433,$F$20,T$22,$H433,$F$19)</f>
        <v>0</v>
      </c>
      <c r="U433" s="36">
        <f>_xll.DBRW($E$12,$F$16,$F$17,$F$18,$E433,$F$20,U$22,$H433,$F$19)</f>
        <v>456.83000000000004</v>
      </c>
    </row>
    <row r="434" spans="4:21" s="37" customFormat="1" ht="15" outlineLevel="1" thickBot="1" x14ac:dyDescent="0.35">
      <c r="D434" s="33" t="str">
        <f>IF(_xll.TM1RPTELISCONSOLIDATED($H$34,$H434),IF(_xll.TM1RPTELLEV($H$34,$H434)&lt;=5,_xll.TM1RPTELLEV($H$34,$H434),"Default"),"Leaf")</f>
        <v>Leaf</v>
      </c>
      <c r="E434" s="42" t="s">
        <v>685</v>
      </c>
      <c r="F434" s="34" t="str">
        <f>_xll.DBR($B$18,$H434,"Account_Type")</f>
        <v>NON LABOR</v>
      </c>
      <c r="G434" s="34" t="str">
        <f>_xll.DBR($B$18,$H434,"Description")</f>
        <v>Fuel to Leased Vehicles</v>
      </c>
      <c r="H434" s="43" t="s">
        <v>405</v>
      </c>
      <c r="I434" s="36">
        <f>_xll.DBRW($E$12,$F$16,$F$17,$F$18,$E434,$F$20,I$22,$H434,$F$19)</f>
        <v>46.58</v>
      </c>
      <c r="J434" s="36">
        <f>_xll.DBRW($E$12,$F$16,$F$17,$F$18,$E434,$F$20,J$22,$H434,$F$19)</f>
        <v>0</v>
      </c>
      <c r="K434" s="36">
        <f>_xll.DBRW($E$12,$F$16,$F$17,$F$18,$E434,$F$20,K$22,$H434,$F$19)</f>
        <v>191.8</v>
      </c>
      <c r="L434" s="36">
        <f>_xll.DBRW($E$12,$F$16,$F$17,$F$18,$E434,$F$20,L$22,$H434,$F$19)</f>
        <v>0</v>
      </c>
      <c r="M434" s="36">
        <f>_xll.DBRW($E$12,$F$16,$F$17,$F$18,$E434,$F$20,M$22,$H434,$F$19)</f>
        <v>0</v>
      </c>
      <c r="N434" s="36">
        <f>_xll.DBRW($E$12,$F$16,$F$17,$F$18,$E434,$F$20,N$22,$H434,$F$19)</f>
        <v>0</v>
      </c>
      <c r="O434" s="36">
        <f>_xll.DBRW($E$12,$F$16,$F$17,$F$18,$E434,$F$20,O$22,$H434,$F$19)</f>
        <v>0</v>
      </c>
      <c r="P434" s="36">
        <f>_xll.DBRW($E$12,$F$16,$F$17,$F$18,$E434,$F$20,P$22,$H434,$F$19)</f>
        <v>0</v>
      </c>
      <c r="Q434" s="36">
        <f>_xll.DBRW($E$12,$F$16,$F$17,$F$18,$E434,$F$20,Q$22,$H434,$F$19)</f>
        <v>0</v>
      </c>
      <c r="R434" s="36">
        <f>_xll.DBRW($E$12,$F$16,$F$17,$F$18,$E434,$F$20,R$22,$H434,$F$19)</f>
        <v>0</v>
      </c>
      <c r="S434" s="36">
        <f>_xll.DBRW($E$12,$F$16,$F$17,$F$18,$E434,$F$20,S$22,$H434,$F$19)</f>
        <v>0</v>
      </c>
      <c r="T434" s="36">
        <f>_xll.DBRW($E$12,$F$16,$F$17,$F$18,$E434,$F$20,T$22,$H434,$F$19)</f>
        <v>0</v>
      </c>
      <c r="U434" s="36">
        <f>_xll.DBRW($E$12,$F$16,$F$17,$F$18,$E434,$F$20,U$22,$H434,$F$19)</f>
        <v>238.38</v>
      </c>
    </row>
    <row r="435" spans="4:21" s="37" customFormat="1" ht="15" outlineLevel="1" thickBot="1" x14ac:dyDescent="0.35">
      <c r="D435" s="33" t="str">
        <f>IF(_xll.TM1RPTELISCONSOLIDATED($H$34,$H435),IF(_xll.TM1RPTELLEV($H$34,$H435)&lt;=5,_xll.TM1RPTELLEV($H$34,$H435),"Default"),"Leaf")</f>
        <v>Leaf</v>
      </c>
      <c r="E435" s="42" t="s">
        <v>685</v>
      </c>
      <c r="F435" s="34" t="str">
        <f>_xll.DBR($B$18,$H435,"Account_Type")</f>
        <v>NON LABOR</v>
      </c>
      <c r="G435" s="34" t="str">
        <f>_xll.DBR($B$18,$H435,"Description")</f>
        <v>Company Owned Equipment</v>
      </c>
      <c r="H435" s="43" t="s">
        <v>426</v>
      </c>
      <c r="I435" s="36">
        <f>_xll.DBRW($E$12,$F$16,$F$17,$F$18,$E435,$F$20,I$22,$H435,$F$19)</f>
        <v>1520</v>
      </c>
      <c r="J435" s="36">
        <f>_xll.DBRW($E$12,$F$16,$F$17,$F$18,$E435,$F$20,J$22,$H435,$F$19)</f>
        <v>1520</v>
      </c>
      <c r="K435" s="36">
        <f>_xll.DBRW($E$12,$F$16,$F$17,$F$18,$E435,$F$20,K$22,$H435,$F$19)</f>
        <v>1140</v>
      </c>
      <c r="L435" s="36">
        <f>_xll.DBRW($E$12,$F$16,$F$17,$F$18,$E435,$F$20,L$22,$H435,$F$19)</f>
        <v>760</v>
      </c>
      <c r="M435" s="36">
        <f>_xll.DBRW($E$12,$F$16,$F$17,$F$18,$E435,$F$20,M$22,$H435,$F$19)</f>
        <v>2360</v>
      </c>
      <c r="N435" s="36">
        <f>_xll.DBRW($E$12,$F$16,$F$17,$F$18,$E435,$F$20,N$22,$H435,$F$19)</f>
        <v>1520</v>
      </c>
      <c r="O435" s="36">
        <f>_xll.DBRW($E$12,$F$16,$F$17,$F$18,$E435,$F$20,O$22,$H435,$F$19)</f>
        <v>380</v>
      </c>
      <c r="P435" s="36">
        <f>_xll.DBRW($E$12,$F$16,$F$17,$F$18,$E435,$F$20,P$22,$H435,$F$19)</f>
        <v>0</v>
      </c>
      <c r="Q435" s="36">
        <f>_xll.DBRW($E$12,$F$16,$F$17,$F$18,$E435,$F$20,Q$22,$H435,$F$19)</f>
        <v>0</v>
      </c>
      <c r="R435" s="36">
        <f>_xll.DBRW($E$12,$F$16,$F$17,$F$18,$E435,$F$20,R$22,$H435,$F$19)</f>
        <v>0</v>
      </c>
      <c r="S435" s="36">
        <f>_xll.DBRW($E$12,$F$16,$F$17,$F$18,$E435,$F$20,S$22,$H435,$F$19)</f>
        <v>0</v>
      </c>
      <c r="T435" s="36">
        <f>_xll.DBRW($E$12,$F$16,$F$17,$F$18,$E435,$F$20,T$22,$H435,$F$19)</f>
        <v>0</v>
      </c>
      <c r="U435" s="36">
        <f>_xll.DBRW($E$12,$F$16,$F$17,$F$18,$E435,$F$20,U$22,$H435,$F$19)</f>
        <v>9200</v>
      </c>
    </row>
    <row r="436" spans="4:21" s="37" customFormat="1" ht="15" outlineLevel="1" thickBot="1" x14ac:dyDescent="0.35">
      <c r="D436" s="33" t="str">
        <f>IF(_xll.TM1RPTELISCONSOLIDATED($H$34,$H436),IF(_xll.TM1RPTELLEV($H$34,$H436)&lt;=5,_xll.TM1RPTELLEV($H$34,$H436),"Default"),"Leaf")</f>
        <v>Leaf</v>
      </c>
      <c r="E436" s="42" t="s">
        <v>685</v>
      </c>
      <c r="F436" s="34" t="str">
        <f>_xll.DBR($B$18,$H436,"Account_Type")</f>
        <v>NON LABOR</v>
      </c>
      <c r="G436" s="34" t="str">
        <f>_xll.DBR($B$18,$H436,"Description")</f>
        <v>Fuel to Company Owned Equipment</v>
      </c>
      <c r="H436" s="43" t="s">
        <v>442</v>
      </c>
      <c r="I436" s="36">
        <f>_xll.DBRW($E$12,$F$16,$F$17,$F$18,$E436,$F$20,I$22,$H436,$F$19)</f>
        <v>0</v>
      </c>
      <c r="J436" s="36">
        <f>_xll.DBRW($E$12,$F$16,$F$17,$F$18,$E436,$F$20,J$22,$H436,$F$19)</f>
        <v>576.02</v>
      </c>
      <c r="K436" s="36">
        <f>_xll.DBRW($E$12,$F$16,$F$17,$F$18,$E436,$F$20,K$22,$H436,$F$19)</f>
        <v>0</v>
      </c>
      <c r="L436" s="36">
        <f>_xll.DBRW($E$12,$F$16,$F$17,$F$18,$E436,$F$20,L$22,$H436,$F$19)</f>
        <v>0</v>
      </c>
      <c r="M436" s="36">
        <f>_xll.DBRW($E$12,$F$16,$F$17,$F$18,$E436,$F$20,M$22,$H436,$F$19)</f>
        <v>0</v>
      </c>
      <c r="N436" s="36">
        <f>_xll.DBRW($E$12,$F$16,$F$17,$F$18,$E436,$F$20,N$22,$H436,$F$19)</f>
        <v>0</v>
      </c>
      <c r="O436" s="36">
        <f>_xll.DBRW($E$12,$F$16,$F$17,$F$18,$E436,$F$20,O$22,$H436,$F$19)</f>
        <v>0</v>
      </c>
      <c r="P436" s="36">
        <f>_xll.DBRW($E$12,$F$16,$F$17,$F$18,$E436,$F$20,P$22,$H436,$F$19)</f>
        <v>0</v>
      </c>
      <c r="Q436" s="36">
        <f>_xll.DBRW($E$12,$F$16,$F$17,$F$18,$E436,$F$20,Q$22,$H436,$F$19)</f>
        <v>0</v>
      </c>
      <c r="R436" s="36">
        <f>_xll.DBRW($E$12,$F$16,$F$17,$F$18,$E436,$F$20,R$22,$H436,$F$19)</f>
        <v>0</v>
      </c>
      <c r="S436" s="36">
        <f>_xll.DBRW($E$12,$F$16,$F$17,$F$18,$E436,$F$20,S$22,$H436,$F$19)</f>
        <v>0</v>
      </c>
      <c r="T436" s="36">
        <f>_xll.DBRW($E$12,$F$16,$F$17,$F$18,$E436,$F$20,T$22,$H436,$F$19)</f>
        <v>0</v>
      </c>
      <c r="U436" s="36">
        <f>_xll.DBRW($E$12,$F$16,$F$17,$F$18,$E436,$F$20,U$22,$H436,$F$19)</f>
        <v>576.02</v>
      </c>
    </row>
    <row r="437" spans="4:21" s="37" customFormat="1" ht="15" outlineLevel="1" thickBot="1" x14ac:dyDescent="0.35">
      <c r="D437" s="33" t="str">
        <f>IF(_xll.TM1RPTELISCONSOLIDATED($H$34,$H437),IF(_xll.TM1RPTELLEV($H$34,$H437)&lt;=5,_xll.TM1RPTELLEV($H$34,$H437),"Default"),"Leaf")</f>
        <v>Leaf</v>
      </c>
      <c r="E437" s="42" t="s">
        <v>685</v>
      </c>
      <c r="F437" s="34" t="str">
        <f>_xll.DBR($B$18,$H437,"Account_Type")</f>
        <v>NON LABOR</v>
      </c>
      <c r="G437" s="34" t="str">
        <f>_xll.DBR($B$18,$H437,"Description")</f>
        <v>Corporate Allocation</v>
      </c>
      <c r="H437" s="43" t="s">
        <v>462</v>
      </c>
      <c r="I437" s="36">
        <f>_xll.DBRW($E$12,$F$16,$F$17,$F$18,$E437,$F$20,I$22,$H437,$F$19)</f>
        <v>10623.83</v>
      </c>
      <c r="J437" s="36">
        <f>_xll.DBRW($E$12,$F$16,$F$17,$F$18,$E437,$F$20,J$22,$H437,$F$19)</f>
        <v>10171.42</v>
      </c>
      <c r="K437" s="36">
        <f>_xll.DBRW($E$12,$F$16,$F$17,$F$18,$E437,$F$20,K$22,$H437,$F$19)</f>
        <v>16271.61</v>
      </c>
      <c r="L437" s="36">
        <f>_xll.DBRW($E$12,$F$16,$F$17,$F$18,$E437,$F$20,L$22,$H437,$F$19)</f>
        <v>18977.09</v>
      </c>
      <c r="M437" s="36">
        <f>_xll.DBRW($E$12,$F$16,$F$17,$F$18,$E437,$F$20,M$22,$H437,$F$19)</f>
        <v>21474.25</v>
      </c>
      <c r="N437" s="36">
        <f>_xll.DBRW($E$12,$F$16,$F$17,$F$18,$E437,$F$20,N$22,$H437,$F$19)</f>
        <v>0</v>
      </c>
      <c r="O437" s="36">
        <f>_xll.DBRW($E$12,$F$16,$F$17,$F$18,$E437,$F$20,O$22,$H437,$F$19)</f>
        <v>0</v>
      </c>
      <c r="P437" s="36">
        <f>_xll.DBRW($E$12,$F$16,$F$17,$F$18,$E437,$F$20,P$22,$H437,$F$19)</f>
        <v>0</v>
      </c>
      <c r="Q437" s="36">
        <f>_xll.DBRW($E$12,$F$16,$F$17,$F$18,$E437,$F$20,Q$22,$H437,$F$19)</f>
        <v>0</v>
      </c>
      <c r="R437" s="36">
        <f>_xll.DBRW($E$12,$F$16,$F$17,$F$18,$E437,$F$20,R$22,$H437,$F$19)</f>
        <v>0</v>
      </c>
      <c r="S437" s="36">
        <f>_xll.DBRW($E$12,$F$16,$F$17,$F$18,$E437,$F$20,S$22,$H437,$F$19)</f>
        <v>0</v>
      </c>
      <c r="T437" s="36">
        <f>_xll.DBRW($E$12,$F$16,$F$17,$F$18,$E437,$F$20,T$22,$H437,$F$19)</f>
        <v>0</v>
      </c>
      <c r="U437" s="36">
        <f>_xll.DBRW($E$12,$F$16,$F$17,$F$18,$E437,$F$20,U$22,$H437,$F$19)</f>
        <v>77518.2</v>
      </c>
    </row>
    <row r="438" spans="4:21" s="37" customFormat="1" ht="15" outlineLevel="1" thickBot="1" x14ac:dyDescent="0.35">
      <c r="D438" s="33" t="str">
        <f>IF(_xll.TM1RPTELISCONSOLIDATED($H$34,$H438),IF(_xll.TM1RPTELLEV($H$34,$H438)&lt;=5,_xll.TM1RPTELLEV($H$34,$H438),"Default"),"Leaf")</f>
        <v>Leaf</v>
      </c>
      <c r="E438" s="42" t="s">
        <v>686</v>
      </c>
      <c r="F438" s="34" t="str">
        <f>_xll.DBR($B$18,$H438,"Account_Type")</f>
        <v>NON LABOR</v>
      </c>
      <c r="G438" s="34" t="str">
        <f>_xll.DBR($B$18,$H438,"Description")</f>
        <v>Travel &amp; Lodging</v>
      </c>
      <c r="H438" s="43" t="s">
        <v>468</v>
      </c>
      <c r="I438" s="36">
        <f>_xll.DBRW($E$12,$F$16,$F$17,$F$18,$E438,$F$20,I$22,$H438,$F$19)</f>
        <v>0</v>
      </c>
      <c r="J438" s="36">
        <f>_xll.DBRW($E$12,$F$16,$F$17,$F$18,$E438,$F$20,J$22,$H438,$F$19)</f>
        <v>6103.44</v>
      </c>
      <c r="K438" s="36">
        <f>_xll.DBRW($E$12,$F$16,$F$17,$F$18,$E438,$F$20,K$22,$H438,$F$19)</f>
        <v>1172.1600000000001</v>
      </c>
      <c r="L438" s="36">
        <f>_xll.DBRW($E$12,$F$16,$F$17,$F$18,$E438,$F$20,L$22,$H438,$F$19)</f>
        <v>1505.12</v>
      </c>
      <c r="M438" s="36">
        <f>_xll.DBRW($E$12,$F$16,$F$17,$F$18,$E438,$F$20,M$22,$H438,$F$19)</f>
        <v>0</v>
      </c>
      <c r="N438" s="36">
        <f>_xll.DBRW($E$12,$F$16,$F$17,$F$18,$E438,$F$20,N$22,$H438,$F$19)</f>
        <v>0</v>
      </c>
      <c r="O438" s="36">
        <f>_xll.DBRW($E$12,$F$16,$F$17,$F$18,$E438,$F$20,O$22,$H438,$F$19)</f>
        <v>30</v>
      </c>
      <c r="P438" s="36">
        <f>_xll.DBRW($E$12,$F$16,$F$17,$F$18,$E438,$F$20,P$22,$H438,$F$19)</f>
        <v>0</v>
      </c>
      <c r="Q438" s="36">
        <f>_xll.DBRW($E$12,$F$16,$F$17,$F$18,$E438,$F$20,Q$22,$H438,$F$19)</f>
        <v>0</v>
      </c>
      <c r="R438" s="36">
        <f>_xll.DBRW($E$12,$F$16,$F$17,$F$18,$E438,$F$20,R$22,$H438,$F$19)</f>
        <v>0</v>
      </c>
      <c r="S438" s="36">
        <f>_xll.DBRW($E$12,$F$16,$F$17,$F$18,$E438,$F$20,S$22,$H438,$F$19)</f>
        <v>0</v>
      </c>
      <c r="T438" s="36">
        <f>_xll.DBRW($E$12,$F$16,$F$17,$F$18,$E438,$F$20,T$22,$H438,$F$19)</f>
        <v>0</v>
      </c>
      <c r="U438" s="36">
        <f>_xll.DBRW($E$12,$F$16,$F$17,$F$18,$E438,$F$20,U$22,$H438,$F$19)</f>
        <v>8810.7199999999993</v>
      </c>
    </row>
    <row r="439" spans="4:21" s="37" customFormat="1" ht="15" outlineLevel="1" thickBot="1" x14ac:dyDescent="0.35">
      <c r="D439" s="33" t="str">
        <f>IF(_xll.TM1RPTELISCONSOLIDATED($H$34,$H439),IF(_xll.TM1RPTELLEV($H$34,$H439)&lt;=5,_xll.TM1RPTELLEV($H$34,$H439),"Default"),"Leaf")</f>
        <v>Leaf</v>
      </c>
      <c r="E439" s="42" t="s">
        <v>686</v>
      </c>
      <c r="F439" s="34" t="str">
        <f>_xll.DBR($B$18,$H439,"Account_Type")</f>
        <v>NON LABOR</v>
      </c>
      <c r="G439" s="34" t="str">
        <f>_xll.DBR($B$18,$H439,"Description")</f>
        <v>Business Meals &amp; Entertainment</v>
      </c>
      <c r="H439" s="43" t="s">
        <v>486</v>
      </c>
      <c r="I439" s="36">
        <f>_xll.DBRW($E$12,$F$16,$F$17,$F$18,$E439,$F$20,I$22,$H439,$F$19)</f>
        <v>77.88</v>
      </c>
      <c r="J439" s="36">
        <f>_xll.DBRW($E$12,$F$16,$F$17,$F$18,$E439,$F$20,J$22,$H439,$F$19)</f>
        <v>919.39</v>
      </c>
      <c r="K439" s="36">
        <f>_xll.DBRW($E$12,$F$16,$F$17,$F$18,$E439,$F$20,K$22,$H439,$F$19)</f>
        <v>661.75</v>
      </c>
      <c r="L439" s="36">
        <f>_xll.DBRW($E$12,$F$16,$F$17,$F$18,$E439,$F$20,L$22,$H439,$F$19)</f>
        <v>12.38</v>
      </c>
      <c r="M439" s="36">
        <f>_xll.DBRW($E$12,$F$16,$F$17,$F$18,$E439,$F$20,M$22,$H439,$F$19)</f>
        <v>0</v>
      </c>
      <c r="N439" s="36">
        <f>_xll.DBRW($E$12,$F$16,$F$17,$F$18,$E439,$F$20,N$22,$H439,$F$19)</f>
        <v>206.79</v>
      </c>
      <c r="O439" s="36">
        <f>_xll.DBRW($E$12,$F$16,$F$17,$F$18,$E439,$F$20,O$22,$H439,$F$19)</f>
        <v>1588.06</v>
      </c>
      <c r="P439" s="36">
        <f>_xll.DBRW($E$12,$F$16,$F$17,$F$18,$E439,$F$20,P$22,$H439,$F$19)</f>
        <v>0</v>
      </c>
      <c r="Q439" s="36">
        <f>_xll.DBRW($E$12,$F$16,$F$17,$F$18,$E439,$F$20,Q$22,$H439,$F$19)</f>
        <v>0</v>
      </c>
      <c r="R439" s="36">
        <f>_xll.DBRW($E$12,$F$16,$F$17,$F$18,$E439,$F$20,R$22,$H439,$F$19)</f>
        <v>0</v>
      </c>
      <c r="S439" s="36">
        <f>_xll.DBRW($E$12,$F$16,$F$17,$F$18,$E439,$F$20,S$22,$H439,$F$19)</f>
        <v>0</v>
      </c>
      <c r="T439" s="36">
        <f>_xll.DBRW($E$12,$F$16,$F$17,$F$18,$E439,$F$20,T$22,$H439,$F$19)</f>
        <v>0</v>
      </c>
      <c r="U439" s="36">
        <f>_xll.DBRW($E$12,$F$16,$F$17,$F$18,$E439,$F$20,U$22,$H439,$F$19)</f>
        <v>3466.25</v>
      </c>
    </row>
    <row r="440" spans="4:21" s="37" customFormat="1" ht="15" outlineLevel="1" thickBot="1" x14ac:dyDescent="0.35">
      <c r="D440" s="33" t="str">
        <f>IF(_xll.TM1RPTELISCONSOLIDATED($H$34,$H440),IF(_xll.TM1RPTELLEV($H$34,$H440)&lt;=5,_xll.TM1RPTELLEV($H$34,$H440),"Default"),"Leaf")</f>
        <v>Leaf</v>
      </c>
      <c r="E440" s="42" t="s">
        <v>686</v>
      </c>
      <c r="F440" s="34" t="str">
        <f>_xll.DBR($B$18,$H440,"Account_Type")</f>
        <v>NON LABOR</v>
      </c>
      <c r="G440" s="34" t="str">
        <f>_xll.DBR($B$18,$H440,"Description")</f>
        <v>Business Meals &amp; Entertainment</v>
      </c>
      <c r="H440" s="43" t="s">
        <v>487</v>
      </c>
      <c r="I440" s="36">
        <f>_xll.DBRW($E$12,$F$16,$F$17,$F$18,$E440,$F$20,I$22,$H440,$F$19)</f>
        <v>0</v>
      </c>
      <c r="J440" s="36">
        <f>_xll.DBRW($E$12,$F$16,$F$17,$F$18,$E440,$F$20,J$22,$H440,$F$19)</f>
        <v>0</v>
      </c>
      <c r="K440" s="36">
        <f>_xll.DBRW($E$12,$F$16,$F$17,$F$18,$E440,$F$20,K$22,$H440,$F$19)</f>
        <v>0</v>
      </c>
      <c r="L440" s="36">
        <f>_xll.DBRW($E$12,$F$16,$F$17,$F$18,$E440,$F$20,L$22,$H440,$F$19)</f>
        <v>0</v>
      </c>
      <c r="M440" s="36">
        <f>_xll.DBRW($E$12,$F$16,$F$17,$F$18,$E440,$F$20,M$22,$H440,$F$19)</f>
        <v>1182.6300000000001</v>
      </c>
      <c r="N440" s="36">
        <f>_xll.DBRW($E$12,$F$16,$F$17,$F$18,$E440,$F$20,N$22,$H440,$F$19)</f>
        <v>0</v>
      </c>
      <c r="O440" s="36">
        <f>_xll.DBRW($E$12,$F$16,$F$17,$F$18,$E440,$F$20,O$22,$H440,$F$19)</f>
        <v>0</v>
      </c>
      <c r="P440" s="36">
        <f>_xll.DBRW($E$12,$F$16,$F$17,$F$18,$E440,$F$20,P$22,$H440,$F$19)</f>
        <v>0</v>
      </c>
      <c r="Q440" s="36">
        <f>_xll.DBRW($E$12,$F$16,$F$17,$F$18,$E440,$F$20,Q$22,$H440,$F$19)</f>
        <v>0</v>
      </c>
      <c r="R440" s="36">
        <f>_xll.DBRW($E$12,$F$16,$F$17,$F$18,$E440,$F$20,R$22,$H440,$F$19)</f>
        <v>0</v>
      </c>
      <c r="S440" s="36">
        <f>_xll.DBRW($E$12,$F$16,$F$17,$F$18,$E440,$F$20,S$22,$H440,$F$19)</f>
        <v>0</v>
      </c>
      <c r="T440" s="36">
        <f>_xll.DBRW($E$12,$F$16,$F$17,$F$18,$E440,$F$20,T$22,$H440,$F$19)</f>
        <v>0</v>
      </c>
      <c r="U440" s="36">
        <f>_xll.DBRW($E$12,$F$16,$F$17,$F$18,$E440,$F$20,U$22,$H440,$F$19)</f>
        <v>1182.6300000000001</v>
      </c>
    </row>
    <row r="441" spans="4:21" s="37" customFormat="1" ht="15" outlineLevel="1" thickBot="1" x14ac:dyDescent="0.35">
      <c r="D441" s="33" t="str">
        <f>IF(_xll.TM1RPTELISCONSOLIDATED($H$34,$H441),IF(_xll.TM1RPTELLEV($H$34,$H441)&lt;=5,_xll.TM1RPTELLEV($H$34,$H441),"Default"),"Leaf")</f>
        <v>Leaf</v>
      </c>
      <c r="E441" s="42" t="s">
        <v>686</v>
      </c>
      <c r="F441" s="34" t="str">
        <f>_xll.DBR($B$18,$H441,"Account_Type")</f>
        <v>NON LABOR</v>
      </c>
      <c r="G441" s="34" t="str">
        <f>_xll.DBR($B$18,$H441,"Description")</f>
        <v>Telecommunications / Internet</v>
      </c>
      <c r="H441" s="43" t="s">
        <v>505</v>
      </c>
      <c r="I441" s="36">
        <f>_xll.DBRW($E$12,$F$16,$F$17,$F$18,$E441,$F$20,I$22,$H441,$F$19)</f>
        <v>31.95</v>
      </c>
      <c r="J441" s="36">
        <f>_xll.DBRW($E$12,$F$16,$F$17,$F$18,$E441,$F$20,J$22,$H441,$F$19)</f>
        <v>31.94</v>
      </c>
      <c r="K441" s="36">
        <f>_xll.DBRW($E$12,$F$16,$F$17,$F$18,$E441,$F$20,K$22,$H441,$F$19)</f>
        <v>31.94</v>
      </c>
      <c r="L441" s="36">
        <f>_xll.DBRW($E$12,$F$16,$F$17,$F$18,$E441,$F$20,L$22,$H441,$F$19)</f>
        <v>31.94</v>
      </c>
      <c r="M441" s="36">
        <f>_xll.DBRW($E$12,$F$16,$F$17,$F$18,$E441,$F$20,M$22,$H441,$F$19)</f>
        <v>31.92</v>
      </c>
      <c r="N441" s="36">
        <f>_xll.DBRW($E$12,$F$16,$F$17,$F$18,$E441,$F$20,N$22,$H441,$F$19)</f>
        <v>31.92</v>
      </c>
      <c r="O441" s="36">
        <f>_xll.DBRW($E$12,$F$16,$F$17,$F$18,$E441,$F$20,O$22,$H441,$F$19)</f>
        <v>0</v>
      </c>
      <c r="P441" s="36">
        <f>_xll.DBRW($E$12,$F$16,$F$17,$F$18,$E441,$F$20,P$22,$H441,$F$19)</f>
        <v>0</v>
      </c>
      <c r="Q441" s="36">
        <f>_xll.DBRW($E$12,$F$16,$F$17,$F$18,$E441,$F$20,Q$22,$H441,$F$19)</f>
        <v>0</v>
      </c>
      <c r="R441" s="36">
        <f>_xll.DBRW($E$12,$F$16,$F$17,$F$18,$E441,$F$20,R$22,$H441,$F$19)</f>
        <v>0</v>
      </c>
      <c r="S441" s="36">
        <f>_xll.DBRW($E$12,$F$16,$F$17,$F$18,$E441,$F$20,S$22,$H441,$F$19)</f>
        <v>0</v>
      </c>
      <c r="T441" s="36">
        <f>_xll.DBRW($E$12,$F$16,$F$17,$F$18,$E441,$F$20,T$22,$H441,$F$19)</f>
        <v>0</v>
      </c>
      <c r="U441" s="36">
        <f>_xll.DBRW($E$12,$F$16,$F$17,$F$18,$E441,$F$20,U$22,$H441,$F$19)</f>
        <v>191.61</v>
      </c>
    </row>
    <row r="442" spans="4:21" s="37" customFormat="1" ht="15" outlineLevel="1" thickBot="1" x14ac:dyDescent="0.35">
      <c r="D442" s="33" t="str">
        <f>IF(_xll.TM1RPTELISCONSOLIDATED($H$34,$H442),IF(_xll.TM1RPTELLEV($H$34,$H442)&lt;=5,_xll.TM1RPTELLEV($H$34,$H442),"Default"),"Leaf")</f>
        <v>Leaf</v>
      </c>
      <c r="E442" s="42" t="s">
        <v>686</v>
      </c>
      <c r="F442" s="34" t="str">
        <f>_xll.DBR($B$18,$H442,"Account_Type")</f>
        <v>NON LABOR</v>
      </c>
      <c r="G442" s="34" t="str">
        <f>_xll.DBR($B$18,$H442,"Description")</f>
        <v>Office/Computer Supplies &amp; Eqpt</v>
      </c>
      <c r="H442" s="43" t="s">
        <v>532</v>
      </c>
      <c r="I442" s="36">
        <f>_xll.DBRW($E$12,$F$16,$F$17,$F$18,$E442,$F$20,I$22,$H442,$F$19)</f>
        <v>0</v>
      </c>
      <c r="J442" s="36">
        <f>_xll.DBRW($E$12,$F$16,$F$17,$F$18,$E442,$F$20,J$22,$H442,$F$19)</f>
        <v>0</v>
      </c>
      <c r="K442" s="36">
        <f>_xll.DBRW($E$12,$F$16,$F$17,$F$18,$E442,$F$20,K$22,$H442,$F$19)</f>
        <v>105</v>
      </c>
      <c r="L442" s="36">
        <f>_xll.DBRW($E$12,$F$16,$F$17,$F$18,$E442,$F$20,L$22,$H442,$F$19)</f>
        <v>21</v>
      </c>
      <c r="M442" s="36">
        <f>_xll.DBRW($E$12,$F$16,$F$17,$F$18,$E442,$F$20,M$22,$H442,$F$19)</f>
        <v>0</v>
      </c>
      <c r="N442" s="36">
        <f>_xll.DBRW($E$12,$F$16,$F$17,$F$18,$E442,$F$20,N$22,$H442,$F$19)</f>
        <v>0</v>
      </c>
      <c r="O442" s="36">
        <f>_xll.DBRW($E$12,$F$16,$F$17,$F$18,$E442,$F$20,O$22,$H442,$F$19)</f>
        <v>0</v>
      </c>
      <c r="P442" s="36">
        <f>_xll.DBRW($E$12,$F$16,$F$17,$F$18,$E442,$F$20,P$22,$H442,$F$19)</f>
        <v>0</v>
      </c>
      <c r="Q442" s="36">
        <f>_xll.DBRW($E$12,$F$16,$F$17,$F$18,$E442,$F$20,Q$22,$H442,$F$19)</f>
        <v>0</v>
      </c>
      <c r="R442" s="36">
        <f>_xll.DBRW($E$12,$F$16,$F$17,$F$18,$E442,$F$20,R$22,$H442,$F$19)</f>
        <v>0</v>
      </c>
      <c r="S442" s="36">
        <f>_xll.DBRW($E$12,$F$16,$F$17,$F$18,$E442,$F$20,S$22,$H442,$F$19)</f>
        <v>0</v>
      </c>
      <c r="T442" s="36">
        <f>_xll.DBRW($E$12,$F$16,$F$17,$F$18,$E442,$F$20,T$22,$H442,$F$19)</f>
        <v>0</v>
      </c>
      <c r="U442" s="36">
        <f>_xll.DBRW($E$12,$F$16,$F$17,$F$18,$E442,$F$20,U$22,$H442,$F$19)</f>
        <v>126</v>
      </c>
    </row>
    <row r="443" spans="4:21" s="37" customFormat="1" ht="15" outlineLevel="1" thickBot="1" x14ac:dyDescent="0.35">
      <c r="D443" s="33" t="str">
        <f>IF(_xll.TM1RPTELISCONSOLIDATED($H$34,$H443),IF(_xll.TM1RPTELLEV($H$34,$H443)&lt;=5,_xll.TM1RPTELLEV($H$34,$H443),"Default"),"Leaf")</f>
        <v>Leaf</v>
      </c>
      <c r="E443" s="42" t="s">
        <v>686</v>
      </c>
      <c r="F443" s="34" t="str">
        <f>_xll.DBR($B$18,$H443,"Account_Type")</f>
        <v>NON LABOR</v>
      </c>
      <c r="G443" s="34" t="str">
        <f>_xll.DBR($B$18,$H443,"Description")</f>
        <v>Postage &amp; Courier Fees</v>
      </c>
      <c r="H443" s="43" t="s">
        <v>550</v>
      </c>
      <c r="I443" s="36">
        <f>_xll.DBRW($E$12,$F$16,$F$17,$F$18,$E443,$F$20,I$22,$H443,$F$19)</f>
        <v>0</v>
      </c>
      <c r="J443" s="36">
        <f>_xll.DBRW($E$12,$F$16,$F$17,$F$18,$E443,$F$20,J$22,$H443,$F$19)</f>
        <v>40.35</v>
      </c>
      <c r="K443" s="36">
        <f>_xll.DBRW($E$12,$F$16,$F$17,$F$18,$E443,$F$20,K$22,$H443,$F$19)</f>
        <v>0</v>
      </c>
      <c r="L443" s="36">
        <f>_xll.DBRW($E$12,$F$16,$F$17,$F$18,$E443,$F$20,L$22,$H443,$F$19)</f>
        <v>0</v>
      </c>
      <c r="M443" s="36">
        <f>_xll.DBRW($E$12,$F$16,$F$17,$F$18,$E443,$F$20,M$22,$H443,$F$19)</f>
        <v>15.23</v>
      </c>
      <c r="N443" s="36">
        <f>_xll.DBRW($E$12,$F$16,$F$17,$F$18,$E443,$F$20,N$22,$H443,$F$19)</f>
        <v>170.07</v>
      </c>
      <c r="O443" s="36">
        <f>_xll.DBRW($E$12,$F$16,$F$17,$F$18,$E443,$F$20,O$22,$H443,$F$19)</f>
        <v>0</v>
      </c>
      <c r="P443" s="36">
        <f>_xll.DBRW($E$12,$F$16,$F$17,$F$18,$E443,$F$20,P$22,$H443,$F$19)</f>
        <v>0</v>
      </c>
      <c r="Q443" s="36">
        <f>_xll.DBRW($E$12,$F$16,$F$17,$F$18,$E443,$F$20,Q$22,$H443,$F$19)</f>
        <v>0</v>
      </c>
      <c r="R443" s="36">
        <f>_xll.DBRW($E$12,$F$16,$F$17,$F$18,$E443,$F$20,R$22,$H443,$F$19)</f>
        <v>0</v>
      </c>
      <c r="S443" s="36">
        <f>_xll.DBRW($E$12,$F$16,$F$17,$F$18,$E443,$F$20,S$22,$H443,$F$19)</f>
        <v>0</v>
      </c>
      <c r="T443" s="36">
        <f>_xll.DBRW($E$12,$F$16,$F$17,$F$18,$E443,$F$20,T$22,$H443,$F$19)</f>
        <v>0</v>
      </c>
      <c r="U443" s="36">
        <f>_xll.DBRW($E$12,$F$16,$F$17,$F$18,$E443,$F$20,U$22,$H443,$F$19)</f>
        <v>225.64999999999998</v>
      </c>
    </row>
    <row r="444" spans="4:21" s="37" customFormat="1" ht="15" outlineLevel="1" thickBot="1" x14ac:dyDescent="0.35">
      <c r="D444" s="33" t="str">
        <f>IF(_xll.TM1RPTELISCONSOLIDATED($H$34,$H444),IF(_xll.TM1RPTELLEV($H$34,$H444)&lt;=5,_xll.TM1RPTELLEV($H$34,$H444),"Default"),"Leaf")</f>
        <v>Leaf</v>
      </c>
      <c r="E444" s="42" t="s">
        <v>686</v>
      </c>
      <c r="F444" s="34" t="str">
        <f>_xll.DBR($B$18,$H444,"Account_Type")</f>
        <v>NON LABOR</v>
      </c>
      <c r="G444" s="34" t="str">
        <f>_xll.DBR($B$18,$H444,"Description")</f>
        <v>Education/Training/Dues/Subscriptions</v>
      </c>
      <c r="H444" s="43" t="s">
        <v>570</v>
      </c>
      <c r="I444" s="36">
        <f>_xll.DBRW($E$12,$F$16,$F$17,$F$18,$E444,$F$20,I$22,$H444,$F$19)</f>
        <v>1190.52</v>
      </c>
      <c r="J444" s="36">
        <f>_xll.DBRW($E$12,$F$16,$F$17,$F$18,$E444,$F$20,J$22,$H444,$F$19)</f>
        <v>1153.83</v>
      </c>
      <c r="K444" s="36">
        <f>_xll.DBRW($E$12,$F$16,$F$17,$F$18,$E444,$F$20,K$22,$H444,$F$19)</f>
        <v>0</v>
      </c>
      <c r="L444" s="36">
        <f>_xll.DBRW($E$12,$F$16,$F$17,$F$18,$E444,$F$20,L$22,$H444,$F$19)</f>
        <v>5</v>
      </c>
      <c r="M444" s="36">
        <f>_xll.DBRW($E$12,$F$16,$F$17,$F$18,$E444,$F$20,M$22,$H444,$F$19)</f>
        <v>15.81</v>
      </c>
      <c r="N444" s="36">
        <f>_xll.DBRW($E$12,$F$16,$F$17,$F$18,$E444,$F$20,N$22,$H444,$F$19)</f>
        <v>663.82</v>
      </c>
      <c r="O444" s="36">
        <f>_xll.DBRW($E$12,$F$16,$F$17,$F$18,$E444,$F$20,O$22,$H444,$F$19)</f>
        <v>0</v>
      </c>
      <c r="P444" s="36">
        <f>_xll.DBRW($E$12,$F$16,$F$17,$F$18,$E444,$F$20,P$22,$H444,$F$19)</f>
        <v>0</v>
      </c>
      <c r="Q444" s="36">
        <f>_xll.DBRW($E$12,$F$16,$F$17,$F$18,$E444,$F$20,Q$22,$H444,$F$19)</f>
        <v>0</v>
      </c>
      <c r="R444" s="36">
        <f>_xll.DBRW($E$12,$F$16,$F$17,$F$18,$E444,$F$20,R$22,$H444,$F$19)</f>
        <v>0</v>
      </c>
      <c r="S444" s="36">
        <f>_xll.DBRW($E$12,$F$16,$F$17,$F$18,$E444,$F$20,S$22,$H444,$F$19)</f>
        <v>0</v>
      </c>
      <c r="T444" s="36">
        <f>_xll.DBRW($E$12,$F$16,$F$17,$F$18,$E444,$F$20,T$22,$H444,$F$19)</f>
        <v>0</v>
      </c>
      <c r="U444" s="36">
        <f>_xll.DBRW($E$12,$F$16,$F$17,$F$18,$E444,$F$20,U$22,$H444,$F$19)</f>
        <v>3028.98</v>
      </c>
    </row>
    <row r="445" spans="4:21" s="37" customFormat="1" ht="15" outlineLevel="1" thickBot="1" x14ac:dyDescent="0.35">
      <c r="D445" s="33" t="str">
        <f>IF(_xll.TM1RPTELISCONSOLIDATED($H$34,$H445),IF(_xll.TM1RPTELLEV($H$34,$H445)&lt;=5,_xll.TM1RPTELLEV($H$34,$H445),"Default"),"Leaf")</f>
        <v>Leaf</v>
      </c>
      <c r="E445" s="42" t="s">
        <v>686</v>
      </c>
      <c r="F445" s="34" t="str">
        <f>_xll.DBR($B$18,$H445,"Account_Type")</f>
        <v>NON LABOR</v>
      </c>
      <c r="G445" s="34" t="str">
        <f>_xll.DBR($B$18,$H445,"Description")</f>
        <v>Legal Fees</v>
      </c>
      <c r="H445" s="43" t="s">
        <v>601</v>
      </c>
      <c r="I445" s="36">
        <f>_xll.DBRW($E$12,$F$16,$F$17,$F$18,$E445,$F$20,I$22,$H445,$F$19)</f>
        <v>8302.1200000000008</v>
      </c>
      <c r="J445" s="36">
        <f>_xll.DBRW($E$12,$F$16,$F$17,$F$18,$E445,$F$20,J$22,$H445,$F$19)</f>
        <v>21958.75</v>
      </c>
      <c r="K445" s="36">
        <f>_xll.DBRW($E$12,$F$16,$F$17,$F$18,$E445,$F$20,K$22,$H445,$F$19)</f>
        <v>-1515.61</v>
      </c>
      <c r="L445" s="36">
        <f>_xll.DBRW($E$12,$F$16,$F$17,$F$18,$E445,$F$20,L$22,$H445,$F$19)</f>
        <v>25992.97</v>
      </c>
      <c r="M445" s="36">
        <f>_xll.DBRW($E$12,$F$16,$F$17,$F$18,$E445,$F$20,M$22,$H445,$F$19)</f>
        <v>14606.27</v>
      </c>
      <c r="N445" s="36">
        <f>_xll.DBRW($E$12,$F$16,$F$17,$F$18,$E445,$F$20,N$22,$H445,$F$19)</f>
        <v>4774.63</v>
      </c>
      <c r="O445" s="36">
        <f>_xll.DBRW($E$12,$F$16,$F$17,$F$18,$E445,$F$20,O$22,$H445,$F$19)</f>
        <v>-8201.5</v>
      </c>
      <c r="P445" s="36">
        <f>_xll.DBRW($E$12,$F$16,$F$17,$F$18,$E445,$F$20,P$22,$H445,$F$19)</f>
        <v>0</v>
      </c>
      <c r="Q445" s="36">
        <f>_xll.DBRW($E$12,$F$16,$F$17,$F$18,$E445,$F$20,Q$22,$H445,$F$19)</f>
        <v>0</v>
      </c>
      <c r="R445" s="36">
        <f>_xll.DBRW($E$12,$F$16,$F$17,$F$18,$E445,$F$20,R$22,$H445,$F$19)</f>
        <v>0</v>
      </c>
      <c r="S445" s="36">
        <f>_xll.DBRW($E$12,$F$16,$F$17,$F$18,$E445,$F$20,S$22,$H445,$F$19)</f>
        <v>0</v>
      </c>
      <c r="T445" s="36">
        <f>_xll.DBRW($E$12,$F$16,$F$17,$F$18,$E445,$F$20,T$22,$H445,$F$19)</f>
        <v>0</v>
      </c>
      <c r="U445" s="36">
        <f>_xll.DBRW($E$12,$F$16,$F$17,$F$18,$E445,$F$20,U$22,$H445,$F$19)</f>
        <v>65917.63</v>
      </c>
    </row>
    <row r="446" spans="4:21" s="37" customFormat="1" ht="15" outlineLevel="1" thickBot="1" x14ac:dyDescent="0.35">
      <c r="D446" s="33" t="str">
        <f>IF(_xll.TM1RPTELISCONSOLIDATED($H$34,$H446),IF(_xll.TM1RPTELLEV($H$34,$H446)&lt;=5,_xll.TM1RPTELLEV($H$34,$H446),"Default"),"Leaf")</f>
        <v>Leaf</v>
      </c>
      <c r="E446" s="42" t="s">
        <v>686</v>
      </c>
      <c r="F446" s="34" t="str">
        <f>_xll.DBR($B$18,$H446,"Account_Type")</f>
        <v>NON LABOR</v>
      </c>
      <c r="G446" s="34" t="str">
        <f>_xll.DBR($B$18,$H446,"Description")</f>
        <v>Legal Fees</v>
      </c>
      <c r="H446" s="43" t="s">
        <v>602</v>
      </c>
      <c r="I446" s="36">
        <f>_xll.DBRW($E$12,$F$16,$F$17,$F$18,$E446,$F$20,I$22,$H446,$F$19)</f>
        <v>337784.02</v>
      </c>
      <c r="J446" s="36">
        <f>_xll.DBRW($E$12,$F$16,$F$17,$F$18,$E446,$F$20,J$22,$H446,$F$19)</f>
        <v>103080.59</v>
      </c>
      <c r="K446" s="36">
        <f>_xll.DBRW($E$12,$F$16,$F$17,$F$18,$E446,$F$20,K$22,$H446,$F$19)</f>
        <v>684460.79</v>
      </c>
      <c r="L446" s="36">
        <f>_xll.DBRW($E$12,$F$16,$F$17,$F$18,$E446,$F$20,L$22,$H446,$F$19)</f>
        <v>12931.83</v>
      </c>
      <c r="M446" s="36">
        <f>_xll.DBRW($E$12,$F$16,$F$17,$F$18,$E446,$F$20,M$22,$H446,$F$19)</f>
        <v>298259.52</v>
      </c>
      <c r="N446" s="36">
        <f>_xll.DBRW($E$12,$F$16,$F$17,$F$18,$E446,$F$20,N$22,$H446,$F$19)</f>
        <v>29937.3</v>
      </c>
      <c r="O446" s="36">
        <f>_xll.DBRW($E$12,$F$16,$F$17,$F$18,$E446,$F$20,O$22,$H446,$F$19)</f>
        <v>28760.94</v>
      </c>
      <c r="P446" s="36">
        <f>_xll.DBRW($E$12,$F$16,$F$17,$F$18,$E446,$F$20,P$22,$H446,$F$19)</f>
        <v>0</v>
      </c>
      <c r="Q446" s="36">
        <f>_xll.DBRW($E$12,$F$16,$F$17,$F$18,$E446,$F$20,Q$22,$H446,$F$19)</f>
        <v>0</v>
      </c>
      <c r="R446" s="36">
        <f>_xll.DBRW($E$12,$F$16,$F$17,$F$18,$E446,$F$20,R$22,$H446,$F$19)</f>
        <v>0</v>
      </c>
      <c r="S446" s="36">
        <f>_xll.DBRW($E$12,$F$16,$F$17,$F$18,$E446,$F$20,S$22,$H446,$F$19)</f>
        <v>0</v>
      </c>
      <c r="T446" s="36">
        <f>_xll.DBRW($E$12,$F$16,$F$17,$F$18,$E446,$F$20,T$22,$H446,$F$19)</f>
        <v>0</v>
      </c>
      <c r="U446" s="36">
        <f>_xll.DBRW($E$12,$F$16,$F$17,$F$18,$E446,$F$20,U$22,$H446,$F$19)</f>
        <v>1495214.99</v>
      </c>
    </row>
    <row r="447" spans="4:21" s="37" customFormat="1" ht="15" outlineLevel="1" thickBot="1" x14ac:dyDescent="0.35">
      <c r="D447" s="33" t="str">
        <f>IF(_xll.TM1RPTELISCONSOLIDATED($H$34,$H447),IF(_xll.TM1RPTELLEV($H$34,$H447)&lt;=5,_xll.TM1RPTELLEV($H$34,$H447),"Default"),"Leaf")</f>
        <v>Leaf</v>
      </c>
      <c r="E447" s="42" t="s">
        <v>686</v>
      </c>
      <c r="F447" s="34" t="str">
        <f>_xll.DBR($B$18,$H447,"Account_Type")</f>
        <v>NON LABOR</v>
      </c>
      <c r="G447" s="34" t="str">
        <f>_xll.DBR($B$18,$H447,"Description")</f>
        <v>Legal Fees</v>
      </c>
      <c r="H447" s="43" t="s">
        <v>603</v>
      </c>
      <c r="I447" s="36">
        <f>_xll.DBRW($E$12,$F$16,$F$17,$F$18,$E447,$F$20,I$22,$H447,$F$19)</f>
        <v>0</v>
      </c>
      <c r="J447" s="36">
        <f>_xll.DBRW($E$12,$F$16,$F$17,$F$18,$E447,$F$20,J$22,$H447,$F$19)</f>
        <v>20218.04</v>
      </c>
      <c r="K447" s="36">
        <f>_xll.DBRW($E$12,$F$16,$F$17,$F$18,$E447,$F$20,K$22,$H447,$F$19)</f>
        <v>143.59</v>
      </c>
      <c r="L447" s="36">
        <f>_xll.DBRW($E$12,$F$16,$F$17,$F$18,$E447,$F$20,L$22,$H447,$F$19)</f>
        <v>0</v>
      </c>
      <c r="M447" s="36">
        <f>_xll.DBRW($E$12,$F$16,$F$17,$F$18,$E447,$F$20,M$22,$H447,$F$19)</f>
        <v>0</v>
      </c>
      <c r="N447" s="36">
        <f>_xll.DBRW($E$12,$F$16,$F$17,$F$18,$E447,$F$20,N$22,$H447,$F$19)</f>
        <v>2532.1999999999998</v>
      </c>
      <c r="O447" s="36">
        <f>_xll.DBRW($E$12,$F$16,$F$17,$F$18,$E447,$F$20,O$22,$H447,$F$19)</f>
        <v>0</v>
      </c>
      <c r="P447" s="36">
        <f>_xll.DBRW($E$12,$F$16,$F$17,$F$18,$E447,$F$20,P$22,$H447,$F$19)</f>
        <v>0</v>
      </c>
      <c r="Q447" s="36">
        <f>_xll.DBRW($E$12,$F$16,$F$17,$F$18,$E447,$F$20,Q$22,$H447,$F$19)</f>
        <v>0</v>
      </c>
      <c r="R447" s="36">
        <f>_xll.DBRW($E$12,$F$16,$F$17,$F$18,$E447,$F$20,R$22,$H447,$F$19)</f>
        <v>0</v>
      </c>
      <c r="S447" s="36">
        <f>_xll.DBRW($E$12,$F$16,$F$17,$F$18,$E447,$F$20,S$22,$H447,$F$19)</f>
        <v>0</v>
      </c>
      <c r="T447" s="36">
        <f>_xll.DBRW($E$12,$F$16,$F$17,$F$18,$E447,$F$20,T$22,$H447,$F$19)</f>
        <v>0</v>
      </c>
      <c r="U447" s="36">
        <f>_xll.DBRW($E$12,$F$16,$F$17,$F$18,$E447,$F$20,U$22,$H447,$F$19)</f>
        <v>22893.83</v>
      </c>
    </row>
    <row r="448" spans="4:21" s="37" customFormat="1" ht="15" outlineLevel="1" thickBot="1" x14ac:dyDescent="0.35">
      <c r="D448" s="33" t="str">
        <f>IF(_xll.TM1RPTELISCONSOLIDATED($H$34,$H448),IF(_xll.TM1RPTELLEV($H$34,$H448)&lt;=5,_xll.TM1RPTELLEV($H$34,$H448),"Default"),"Leaf")</f>
        <v>Leaf</v>
      </c>
      <c r="E448" s="42" t="s">
        <v>686</v>
      </c>
      <c r="F448" s="34" t="str">
        <f>_xll.DBR($B$18,$H448,"Account_Type")</f>
        <v>NON LABOR</v>
      </c>
      <c r="G448" s="34" t="str">
        <f>_xll.DBR($B$18,$H448,"Description")</f>
        <v>Employee Leased Vehicles</v>
      </c>
      <c r="H448" s="43" t="s">
        <v>633</v>
      </c>
      <c r="I448" s="36">
        <f>_xll.DBRW($E$12,$F$16,$F$17,$F$18,$E448,$F$20,I$22,$H448,$F$19)</f>
        <v>600</v>
      </c>
      <c r="J448" s="36">
        <f>_xll.DBRW($E$12,$F$16,$F$17,$F$18,$E448,$F$20,J$22,$H448,$F$19)</f>
        <v>600</v>
      </c>
      <c r="K448" s="36">
        <f>_xll.DBRW($E$12,$F$16,$F$17,$F$18,$E448,$F$20,K$22,$H448,$F$19)</f>
        <v>600</v>
      </c>
      <c r="L448" s="36">
        <f>_xll.DBRW($E$12,$F$16,$F$17,$F$18,$E448,$F$20,L$22,$H448,$F$19)</f>
        <v>0</v>
      </c>
      <c r="M448" s="36">
        <f>_xll.DBRW($E$12,$F$16,$F$17,$F$18,$E448,$F$20,M$22,$H448,$F$19)</f>
        <v>0</v>
      </c>
      <c r="N448" s="36">
        <f>_xll.DBRW($E$12,$F$16,$F$17,$F$18,$E448,$F$20,N$22,$H448,$F$19)</f>
        <v>600</v>
      </c>
      <c r="O448" s="36">
        <f>_xll.DBRW($E$12,$F$16,$F$17,$F$18,$E448,$F$20,O$22,$H448,$F$19)</f>
        <v>0</v>
      </c>
      <c r="P448" s="36">
        <f>_xll.DBRW($E$12,$F$16,$F$17,$F$18,$E448,$F$20,P$22,$H448,$F$19)</f>
        <v>0</v>
      </c>
      <c r="Q448" s="36">
        <f>_xll.DBRW($E$12,$F$16,$F$17,$F$18,$E448,$F$20,Q$22,$H448,$F$19)</f>
        <v>0</v>
      </c>
      <c r="R448" s="36">
        <f>_xll.DBRW($E$12,$F$16,$F$17,$F$18,$E448,$F$20,R$22,$H448,$F$19)</f>
        <v>0</v>
      </c>
      <c r="S448" s="36">
        <f>_xll.DBRW($E$12,$F$16,$F$17,$F$18,$E448,$F$20,S$22,$H448,$F$19)</f>
        <v>0</v>
      </c>
      <c r="T448" s="36">
        <f>_xll.DBRW($E$12,$F$16,$F$17,$F$18,$E448,$F$20,T$22,$H448,$F$19)</f>
        <v>0</v>
      </c>
      <c r="U448" s="36">
        <f>_xll.DBRW($E$12,$F$16,$F$17,$F$18,$E448,$F$20,U$22,$H448,$F$19)</f>
        <v>2400</v>
      </c>
    </row>
    <row r="449" spans="4:21" s="37" customFormat="1" ht="15" outlineLevel="1" thickBot="1" x14ac:dyDescent="0.35">
      <c r="D449" s="33" t="str">
        <f>IF(_xll.TM1RPTELISCONSOLIDATED($H$34,$H449),IF(_xll.TM1RPTELLEV($H$34,$H449)&lt;=5,_xll.TM1RPTELLEV($H$34,$H449),"Default"),"Leaf")</f>
        <v>Leaf</v>
      </c>
      <c r="E449" s="42" t="s">
        <v>687</v>
      </c>
      <c r="F449" s="34" t="str">
        <f>_xll.DBR($B$18,$H449,"Account_Type")</f>
        <v>NON LABOR</v>
      </c>
      <c r="G449" s="34" t="str">
        <f>_xll.DBR($B$18,$H449,"Description")</f>
        <v>Telecommunications / Internet</v>
      </c>
      <c r="H449" s="43" t="s">
        <v>506</v>
      </c>
      <c r="I449" s="36">
        <f>_xll.DBRW($E$12,$F$16,$F$17,$F$18,$E449,$F$20,I$22,$H449,$F$19)</f>
        <v>63.9</v>
      </c>
      <c r="J449" s="36">
        <f>_xll.DBRW($E$12,$F$16,$F$17,$F$18,$E449,$F$20,J$22,$H449,$F$19)</f>
        <v>63.88</v>
      </c>
      <c r="K449" s="36">
        <f>_xll.DBRW($E$12,$F$16,$F$17,$F$18,$E449,$F$20,K$22,$H449,$F$19)</f>
        <v>63.88</v>
      </c>
      <c r="L449" s="36">
        <f>_xll.DBRW($E$12,$F$16,$F$17,$F$18,$E449,$F$20,L$22,$H449,$F$19)</f>
        <v>63.88</v>
      </c>
      <c r="M449" s="36">
        <f>_xll.DBRW($E$12,$F$16,$F$17,$F$18,$E449,$F$20,M$22,$H449,$F$19)</f>
        <v>63.84</v>
      </c>
      <c r="N449" s="36">
        <f>_xll.DBRW($E$12,$F$16,$F$17,$F$18,$E449,$F$20,N$22,$H449,$F$19)</f>
        <v>63.84</v>
      </c>
      <c r="O449" s="36">
        <f>_xll.DBRW($E$12,$F$16,$F$17,$F$18,$E449,$F$20,O$22,$H449,$F$19)</f>
        <v>0</v>
      </c>
      <c r="P449" s="36">
        <f>_xll.DBRW($E$12,$F$16,$F$17,$F$18,$E449,$F$20,P$22,$H449,$F$19)</f>
        <v>0</v>
      </c>
      <c r="Q449" s="36">
        <f>_xll.DBRW($E$12,$F$16,$F$17,$F$18,$E449,$F$20,Q$22,$H449,$F$19)</f>
        <v>0</v>
      </c>
      <c r="R449" s="36">
        <f>_xll.DBRW($E$12,$F$16,$F$17,$F$18,$E449,$F$20,R$22,$H449,$F$19)</f>
        <v>0</v>
      </c>
      <c r="S449" s="36">
        <f>_xll.DBRW($E$12,$F$16,$F$17,$F$18,$E449,$F$20,S$22,$H449,$F$19)</f>
        <v>0</v>
      </c>
      <c r="T449" s="36">
        <f>_xll.DBRW($E$12,$F$16,$F$17,$F$18,$E449,$F$20,T$22,$H449,$F$19)</f>
        <v>0</v>
      </c>
      <c r="U449" s="36">
        <f>_xll.DBRW($E$12,$F$16,$F$17,$F$18,$E449,$F$20,U$22,$H449,$F$19)</f>
        <v>383.22</v>
      </c>
    </row>
    <row r="450" spans="4:21" s="37" customFormat="1" ht="15" outlineLevel="1" thickBot="1" x14ac:dyDescent="0.35">
      <c r="D450" s="33" t="str">
        <f>IF(_xll.TM1RPTELISCONSOLIDATED($H$34,$H450),IF(_xll.TM1RPTELLEV($H$34,$H450)&lt;=5,_xll.TM1RPTELLEV($H$34,$H450),"Default"),"Leaf")</f>
        <v>Leaf</v>
      </c>
      <c r="E450" s="42" t="s">
        <v>687</v>
      </c>
      <c r="F450" s="34" t="str">
        <f>_xll.DBR($B$18,$H450,"Account_Type")</f>
        <v>NON LABOR</v>
      </c>
      <c r="G450" s="34" t="str">
        <f>_xll.DBR($B$18,$H450,"Description")</f>
        <v>Telecommunications / Internet</v>
      </c>
      <c r="H450" s="43" t="s">
        <v>516</v>
      </c>
      <c r="I450" s="36">
        <f>_xll.DBRW($E$12,$F$16,$F$17,$F$18,$E450,$F$20,I$22,$H450,$F$19)</f>
        <v>25</v>
      </c>
      <c r="J450" s="36">
        <f>_xll.DBRW($E$12,$F$16,$F$17,$F$18,$E450,$F$20,J$22,$H450,$F$19)</f>
        <v>25</v>
      </c>
      <c r="K450" s="36">
        <f>_xll.DBRW($E$12,$F$16,$F$17,$F$18,$E450,$F$20,K$22,$H450,$F$19)</f>
        <v>25</v>
      </c>
      <c r="L450" s="36">
        <f>_xll.DBRW($E$12,$F$16,$F$17,$F$18,$E450,$F$20,L$22,$H450,$F$19)</f>
        <v>25</v>
      </c>
      <c r="M450" s="36">
        <f>_xll.DBRW($E$12,$F$16,$F$17,$F$18,$E450,$F$20,M$22,$H450,$F$19)</f>
        <v>25</v>
      </c>
      <c r="N450" s="36">
        <f>_xll.DBRW($E$12,$F$16,$F$17,$F$18,$E450,$F$20,N$22,$H450,$F$19)</f>
        <v>25</v>
      </c>
      <c r="O450" s="36">
        <f>_xll.DBRW($E$12,$F$16,$F$17,$F$18,$E450,$F$20,O$22,$H450,$F$19)</f>
        <v>25</v>
      </c>
      <c r="P450" s="36">
        <f>_xll.DBRW($E$12,$F$16,$F$17,$F$18,$E450,$F$20,P$22,$H450,$F$19)</f>
        <v>0</v>
      </c>
      <c r="Q450" s="36">
        <f>_xll.DBRW($E$12,$F$16,$F$17,$F$18,$E450,$F$20,Q$22,$H450,$F$19)</f>
        <v>0</v>
      </c>
      <c r="R450" s="36">
        <f>_xll.DBRW($E$12,$F$16,$F$17,$F$18,$E450,$F$20,R$22,$H450,$F$19)</f>
        <v>0</v>
      </c>
      <c r="S450" s="36">
        <f>_xll.DBRW($E$12,$F$16,$F$17,$F$18,$E450,$F$20,S$22,$H450,$F$19)</f>
        <v>0</v>
      </c>
      <c r="T450" s="36">
        <f>_xll.DBRW($E$12,$F$16,$F$17,$F$18,$E450,$F$20,T$22,$H450,$F$19)</f>
        <v>0</v>
      </c>
      <c r="U450" s="36">
        <f>_xll.DBRW($E$12,$F$16,$F$17,$F$18,$E450,$F$20,U$22,$H450,$F$19)</f>
        <v>175</v>
      </c>
    </row>
    <row r="451" spans="4:21" s="37" customFormat="1" ht="15" outlineLevel="1" thickBot="1" x14ac:dyDescent="0.35">
      <c r="D451" s="33" t="str">
        <f>IF(_xll.TM1RPTELISCONSOLIDATED($H$34,$H451),IF(_xll.TM1RPTELLEV($H$34,$H451)&lt;=5,_xll.TM1RPTELLEV($H$34,$H451),"Default"),"Leaf")</f>
        <v>Leaf</v>
      </c>
      <c r="E451" s="42" t="s">
        <v>687</v>
      </c>
      <c r="F451" s="34" t="str">
        <f>_xll.DBR($B$18,$H451,"Account_Type")</f>
        <v>NON LABOR</v>
      </c>
      <c r="G451" s="34" t="str">
        <f>_xll.DBR($B$18,$H451,"Description")</f>
        <v>Office/Computer Supplies &amp; Eqpt</v>
      </c>
      <c r="H451" s="43" t="s">
        <v>533</v>
      </c>
      <c r="I451" s="36">
        <f>_xll.DBRW($E$12,$F$16,$F$17,$F$18,$E451,$F$20,I$22,$H451,$F$19)</f>
        <v>-165.32</v>
      </c>
      <c r="J451" s="36">
        <f>_xll.DBRW($E$12,$F$16,$F$17,$F$18,$E451,$F$20,J$22,$H451,$F$19)</f>
        <v>2539.1999999999998</v>
      </c>
      <c r="K451" s="36">
        <f>_xll.DBRW($E$12,$F$16,$F$17,$F$18,$E451,$F$20,K$22,$H451,$F$19)</f>
        <v>1140.3499999999999</v>
      </c>
      <c r="L451" s="36">
        <f>_xll.DBRW($E$12,$F$16,$F$17,$F$18,$E451,$F$20,L$22,$H451,$F$19)</f>
        <v>5461.28</v>
      </c>
      <c r="M451" s="36">
        <f>_xll.DBRW($E$12,$F$16,$F$17,$F$18,$E451,$F$20,M$22,$H451,$F$19)</f>
        <v>2763.68</v>
      </c>
      <c r="N451" s="36">
        <f>_xll.DBRW($E$12,$F$16,$F$17,$F$18,$E451,$F$20,N$22,$H451,$F$19)</f>
        <v>186.57</v>
      </c>
      <c r="O451" s="36">
        <f>_xll.DBRW($E$12,$F$16,$F$17,$F$18,$E451,$F$20,O$22,$H451,$F$19)</f>
        <v>0</v>
      </c>
      <c r="P451" s="36">
        <f>_xll.DBRW($E$12,$F$16,$F$17,$F$18,$E451,$F$20,P$22,$H451,$F$19)</f>
        <v>0</v>
      </c>
      <c r="Q451" s="36">
        <f>_xll.DBRW($E$12,$F$16,$F$17,$F$18,$E451,$F$20,Q$22,$H451,$F$19)</f>
        <v>0</v>
      </c>
      <c r="R451" s="36">
        <f>_xll.DBRW($E$12,$F$16,$F$17,$F$18,$E451,$F$20,R$22,$H451,$F$19)</f>
        <v>0</v>
      </c>
      <c r="S451" s="36">
        <f>_xll.DBRW($E$12,$F$16,$F$17,$F$18,$E451,$F$20,S$22,$H451,$F$19)</f>
        <v>0</v>
      </c>
      <c r="T451" s="36">
        <f>_xll.DBRW($E$12,$F$16,$F$17,$F$18,$E451,$F$20,T$22,$H451,$F$19)</f>
        <v>0</v>
      </c>
      <c r="U451" s="36">
        <f>_xll.DBRW($E$12,$F$16,$F$17,$F$18,$E451,$F$20,U$22,$H451,$F$19)</f>
        <v>11925.759999999998</v>
      </c>
    </row>
    <row r="452" spans="4:21" s="37" customFormat="1" ht="15" outlineLevel="1" thickBot="1" x14ac:dyDescent="0.35">
      <c r="D452" s="33" t="str">
        <f>IF(_xll.TM1RPTELISCONSOLIDATED($H$34,$H452),IF(_xll.TM1RPTELLEV($H$34,$H452)&lt;=5,_xll.TM1RPTELLEV($H$34,$H452),"Default"),"Leaf")</f>
        <v>Leaf</v>
      </c>
      <c r="E452" s="42" t="s">
        <v>687</v>
      </c>
      <c r="F452" s="34" t="str">
        <f>_xll.DBR($B$18,$H452,"Account_Type")</f>
        <v>NON LABOR</v>
      </c>
      <c r="G452" s="34" t="str">
        <f>_xll.DBR($B$18,$H452,"Description")</f>
        <v>Postage &amp; Courier Fees</v>
      </c>
      <c r="H452" s="43" t="s">
        <v>551</v>
      </c>
      <c r="I452" s="36">
        <f>_xll.DBRW($E$12,$F$16,$F$17,$F$18,$E452,$F$20,I$22,$H452,$F$19)</f>
        <v>0</v>
      </c>
      <c r="J452" s="36">
        <f>_xll.DBRW($E$12,$F$16,$F$17,$F$18,$E452,$F$20,J$22,$H452,$F$19)</f>
        <v>0</v>
      </c>
      <c r="K452" s="36">
        <f>_xll.DBRW($E$12,$F$16,$F$17,$F$18,$E452,$F$20,K$22,$H452,$F$19)</f>
        <v>0</v>
      </c>
      <c r="L452" s="36">
        <f>_xll.DBRW($E$12,$F$16,$F$17,$F$18,$E452,$F$20,L$22,$H452,$F$19)</f>
        <v>15.05</v>
      </c>
      <c r="M452" s="36">
        <f>_xll.DBRW($E$12,$F$16,$F$17,$F$18,$E452,$F$20,M$22,$H452,$F$19)</f>
        <v>0</v>
      </c>
      <c r="N452" s="36">
        <f>_xll.DBRW($E$12,$F$16,$F$17,$F$18,$E452,$F$20,N$22,$H452,$F$19)</f>
        <v>15.32</v>
      </c>
      <c r="O452" s="36">
        <f>_xll.DBRW($E$12,$F$16,$F$17,$F$18,$E452,$F$20,O$22,$H452,$F$19)</f>
        <v>0</v>
      </c>
      <c r="P452" s="36">
        <f>_xll.DBRW($E$12,$F$16,$F$17,$F$18,$E452,$F$20,P$22,$H452,$F$19)</f>
        <v>0</v>
      </c>
      <c r="Q452" s="36">
        <f>_xll.DBRW($E$12,$F$16,$F$17,$F$18,$E452,$F$20,Q$22,$H452,$F$19)</f>
        <v>0</v>
      </c>
      <c r="R452" s="36">
        <f>_xll.DBRW($E$12,$F$16,$F$17,$F$18,$E452,$F$20,R$22,$H452,$F$19)</f>
        <v>0</v>
      </c>
      <c r="S452" s="36">
        <f>_xll.DBRW($E$12,$F$16,$F$17,$F$18,$E452,$F$20,S$22,$H452,$F$19)</f>
        <v>0</v>
      </c>
      <c r="T452" s="36">
        <f>_xll.DBRW($E$12,$F$16,$F$17,$F$18,$E452,$F$20,T$22,$H452,$F$19)</f>
        <v>0</v>
      </c>
      <c r="U452" s="36">
        <f>_xll.DBRW($E$12,$F$16,$F$17,$F$18,$E452,$F$20,U$22,$H452,$F$19)</f>
        <v>30.37</v>
      </c>
    </row>
    <row r="453" spans="4:21" s="37" customFormat="1" ht="15" outlineLevel="1" thickBot="1" x14ac:dyDescent="0.35">
      <c r="D453" s="33" t="str">
        <f>IF(_xll.TM1RPTELISCONSOLIDATED($H$34,$H453),IF(_xll.TM1RPTELLEV($H$34,$H453)&lt;=5,_xll.TM1RPTELLEV($H$34,$H453),"Default"),"Leaf")</f>
        <v>Leaf</v>
      </c>
      <c r="E453" s="42" t="s">
        <v>687</v>
      </c>
      <c r="F453" s="34" t="str">
        <f>_xll.DBR($B$18,$H453,"Account_Type")</f>
        <v>NON LABOR</v>
      </c>
      <c r="G453" s="34" t="str">
        <f>_xll.DBR($B$18,$H453,"Description")</f>
        <v>Postage &amp; Courier Fees</v>
      </c>
      <c r="H453" s="43" t="s">
        <v>557</v>
      </c>
      <c r="I453" s="36">
        <f>_xll.DBRW($E$12,$F$16,$F$17,$F$18,$E453,$F$20,I$22,$H453,$F$19)</f>
        <v>0</v>
      </c>
      <c r="J453" s="36">
        <f>_xll.DBRW($E$12,$F$16,$F$17,$F$18,$E453,$F$20,J$22,$H453,$F$19)</f>
        <v>0</v>
      </c>
      <c r="K453" s="36">
        <f>_xll.DBRW($E$12,$F$16,$F$17,$F$18,$E453,$F$20,K$22,$H453,$F$19)</f>
        <v>0</v>
      </c>
      <c r="L453" s="36">
        <f>_xll.DBRW($E$12,$F$16,$F$17,$F$18,$E453,$F$20,L$22,$H453,$F$19)</f>
        <v>47.07</v>
      </c>
      <c r="M453" s="36">
        <f>_xll.DBRW($E$12,$F$16,$F$17,$F$18,$E453,$F$20,M$22,$H453,$F$19)</f>
        <v>0</v>
      </c>
      <c r="N453" s="36">
        <f>_xll.DBRW($E$12,$F$16,$F$17,$F$18,$E453,$F$20,N$22,$H453,$F$19)</f>
        <v>0</v>
      </c>
      <c r="O453" s="36">
        <f>_xll.DBRW($E$12,$F$16,$F$17,$F$18,$E453,$F$20,O$22,$H453,$F$19)</f>
        <v>0</v>
      </c>
      <c r="P453" s="36">
        <f>_xll.DBRW($E$12,$F$16,$F$17,$F$18,$E453,$F$20,P$22,$H453,$F$19)</f>
        <v>0</v>
      </c>
      <c r="Q453" s="36">
        <f>_xll.DBRW($E$12,$F$16,$F$17,$F$18,$E453,$F$20,Q$22,$H453,$F$19)</f>
        <v>0</v>
      </c>
      <c r="R453" s="36">
        <f>_xll.DBRW($E$12,$F$16,$F$17,$F$18,$E453,$F$20,R$22,$H453,$F$19)</f>
        <v>0</v>
      </c>
      <c r="S453" s="36">
        <f>_xll.DBRW($E$12,$F$16,$F$17,$F$18,$E453,$F$20,S$22,$H453,$F$19)</f>
        <v>0</v>
      </c>
      <c r="T453" s="36">
        <f>_xll.DBRW($E$12,$F$16,$F$17,$F$18,$E453,$F$20,T$22,$H453,$F$19)</f>
        <v>0</v>
      </c>
      <c r="U453" s="36">
        <f>_xll.DBRW($E$12,$F$16,$F$17,$F$18,$E453,$F$20,U$22,$H453,$F$19)</f>
        <v>47.07</v>
      </c>
    </row>
    <row r="454" spans="4:21" s="37" customFormat="1" ht="15" outlineLevel="1" thickBot="1" x14ac:dyDescent="0.35">
      <c r="D454" s="33" t="str">
        <f>IF(_xll.TM1RPTELISCONSOLIDATED($H$34,$H454),IF(_xll.TM1RPTELLEV($H$34,$H454)&lt;=5,_xll.TM1RPTELLEV($H$34,$H454),"Default"),"Leaf")</f>
        <v>Leaf</v>
      </c>
      <c r="E454" s="42" t="s">
        <v>687</v>
      </c>
      <c r="F454" s="34" t="str">
        <f>_xll.DBR($B$18,$H454,"Account_Type")</f>
        <v>NON LABOR</v>
      </c>
      <c r="G454" s="34" t="str">
        <f>_xll.DBR($B$18,$H454,"Description")</f>
        <v>Security / Janitorial Charges</v>
      </c>
      <c r="H454" s="43" t="s">
        <v>589</v>
      </c>
      <c r="I454" s="36">
        <f>_xll.DBRW($E$12,$F$16,$F$17,$F$18,$E454,$F$20,I$22,$H454,$F$19)</f>
        <v>0</v>
      </c>
      <c r="J454" s="36">
        <f>_xll.DBRW($E$12,$F$16,$F$17,$F$18,$E454,$F$20,J$22,$H454,$F$19)</f>
        <v>911.79</v>
      </c>
      <c r="K454" s="36">
        <f>_xll.DBRW($E$12,$F$16,$F$17,$F$18,$E454,$F$20,K$22,$H454,$F$19)</f>
        <v>1041.3900000000001</v>
      </c>
      <c r="L454" s="36">
        <f>_xll.DBRW($E$12,$F$16,$F$17,$F$18,$E454,$F$20,L$22,$H454,$F$19)</f>
        <v>513.62</v>
      </c>
      <c r="M454" s="36">
        <f>_xll.DBRW($E$12,$F$16,$F$17,$F$18,$E454,$F$20,M$22,$H454,$F$19)</f>
        <v>826.45</v>
      </c>
      <c r="N454" s="36">
        <f>_xll.DBRW($E$12,$F$16,$F$17,$F$18,$E454,$F$20,N$22,$H454,$F$19)</f>
        <v>550.91</v>
      </c>
      <c r="O454" s="36">
        <f>_xll.DBRW($E$12,$F$16,$F$17,$F$18,$E454,$F$20,O$22,$H454,$F$19)</f>
        <v>-550.91</v>
      </c>
      <c r="P454" s="36">
        <f>_xll.DBRW($E$12,$F$16,$F$17,$F$18,$E454,$F$20,P$22,$H454,$F$19)</f>
        <v>0</v>
      </c>
      <c r="Q454" s="36">
        <f>_xll.DBRW($E$12,$F$16,$F$17,$F$18,$E454,$F$20,Q$22,$H454,$F$19)</f>
        <v>0</v>
      </c>
      <c r="R454" s="36">
        <f>_xll.DBRW($E$12,$F$16,$F$17,$F$18,$E454,$F$20,R$22,$H454,$F$19)</f>
        <v>0</v>
      </c>
      <c r="S454" s="36">
        <f>_xll.DBRW($E$12,$F$16,$F$17,$F$18,$E454,$F$20,S$22,$H454,$F$19)</f>
        <v>0</v>
      </c>
      <c r="T454" s="36">
        <f>_xll.DBRW($E$12,$F$16,$F$17,$F$18,$E454,$F$20,T$22,$H454,$F$19)</f>
        <v>0</v>
      </c>
      <c r="U454" s="36">
        <f>_xll.DBRW($E$12,$F$16,$F$17,$F$18,$E454,$F$20,U$22,$H454,$F$19)</f>
        <v>3293.25</v>
      </c>
    </row>
    <row r="455" spans="4:21" s="37" customFormat="1" ht="15" outlineLevel="1" thickBot="1" x14ac:dyDescent="0.35">
      <c r="D455" s="33" t="str">
        <f>IF(_xll.TM1RPTELISCONSOLIDATED($H$34,$H455),IF(_xll.TM1RPTELLEV($H$34,$H455)&lt;=5,_xll.TM1RPTELLEV($H$34,$H455),"Default"),"Leaf")</f>
        <v>Leaf</v>
      </c>
      <c r="E455" s="42" t="s">
        <v>687</v>
      </c>
      <c r="F455" s="34" t="str">
        <f>_xll.DBR($B$18,$H455,"Account_Type")</f>
        <v>NON LABOR</v>
      </c>
      <c r="G455" s="34" t="str">
        <f>_xll.DBR($B$18,$H455,"Description")</f>
        <v>Facility Maintenance</v>
      </c>
      <c r="H455" s="43" t="s">
        <v>592</v>
      </c>
      <c r="I455" s="36">
        <f>_xll.DBRW($E$12,$F$16,$F$17,$F$18,$E455,$F$20,I$22,$H455,$F$19)</f>
        <v>-972.5</v>
      </c>
      <c r="J455" s="36">
        <f>_xll.DBRW($E$12,$F$16,$F$17,$F$18,$E455,$F$20,J$22,$H455,$F$19)</f>
        <v>0</v>
      </c>
      <c r="K455" s="36">
        <f>_xll.DBRW($E$12,$F$16,$F$17,$F$18,$E455,$F$20,K$22,$H455,$F$19)</f>
        <v>0</v>
      </c>
      <c r="L455" s="36">
        <f>_xll.DBRW($E$12,$F$16,$F$17,$F$18,$E455,$F$20,L$22,$H455,$F$19)</f>
        <v>0</v>
      </c>
      <c r="M455" s="36">
        <f>_xll.DBRW($E$12,$F$16,$F$17,$F$18,$E455,$F$20,M$22,$H455,$F$19)</f>
        <v>0</v>
      </c>
      <c r="N455" s="36">
        <f>_xll.DBRW($E$12,$F$16,$F$17,$F$18,$E455,$F$20,N$22,$H455,$F$19)</f>
        <v>0</v>
      </c>
      <c r="O455" s="36">
        <f>_xll.DBRW($E$12,$F$16,$F$17,$F$18,$E455,$F$20,O$22,$H455,$F$19)</f>
        <v>0</v>
      </c>
      <c r="P455" s="36">
        <f>_xll.DBRW($E$12,$F$16,$F$17,$F$18,$E455,$F$20,P$22,$H455,$F$19)</f>
        <v>0</v>
      </c>
      <c r="Q455" s="36">
        <f>_xll.DBRW($E$12,$F$16,$F$17,$F$18,$E455,$F$20,Q$22,$H455,$F$19)</f>
        <v>0</v>
      </c>
      <c r="R455" s="36">
        <f>_xll.DBRW($E$12,$F$16,$F$17,$F$18,$E455,$F$20,R$22,$H455,$F$19)</f>
        <v>0</v>
      </c>
      <c r="S455" s="36">
        <f>_xll.DBRW($E$12,$F$16,$F$17,$F$18,$E455,$F$20,S$22,$H455,$F$19)</f>
        <v>0</v>
      </c>
      <c r="T455" s="36">
        <f>_xll.DBRW($E$12,$F$16,$F$17,$F$18,$E455,$F$20,T$22,$H455,$F$19)</f>
        <v>0</v>
      </c>
      <c r="U455" s="36">
        <f>_xll.DBRW($E$12,$F$16,$F$17,$F$18,$E455,$F$20,U$22,$H455,$F$19)</f>
        <v>-972.5</v>
      </c>
    </row>
    <row r="456" spans="4:21" s="37" customFormat="1" ht="15" outlineLevel="1" thickBot="1" x14ac:dyDescent="0.35">
      <c r="D456" s="33" t="str">
        <f>IF(_xll.TM1RPTELISCONSOLIDATED($H$34,$H456),IF(_xll.TM1RPTELLEV($H$34,$H456)&lt;=5,_xll.TM1RPTELLEV($H$34,$H456),"Default"),"Leaf")</f>
        <v>Leaf</v>
      </c>
      <c r="E456" s="42" t="s">
        <v>687</v>
      </c>
      <c r="F456" s="34" t="str">
        <f>_xll.DBR($B$18,$H456,"Account_Type")</f>
        <v>NON LABOR</v>
      </c>
      <c r="G456" s="34" t="str">
        <f>_xll.DBR($B$18,$H456,"Description")</f>
        <v>Uniforms</v>
      </c>
      <c r="H456" s="43" t="s">
        <v>607</v>
      </c>
      <c r="I456" s="36">
        <f>_xll.DBRW($E$12,$F$16,$F$17,$F$18,$E456,$F$20,I$22,$H456,$F$19)</f>
        <v>-120.68</v>
      </c>
      <c r="J456" s="36">
        <f>_xll.DBRW($E$12,$F$16,$F$17,$F$18,$E456,$F$20,J$22,$H456,$F$19)</f>
        <v>-156.49</v>
      </c>
      <c r="K456" s="36">
        <f>_xll.DBRW($E$12,$F$16,$F$17,$F$18,$E456,$F$20,K$22,$H456,$F$19)</f>
        <v>-128.68</v>
      </c>
      <c r="L456" s="36">
        <f>_xll.DBRW($E$12,$F$16,$F$17,$F$18,$E456,$F$20,L$22,$H456,$F$19)</f>
        <v>-120</v>
      </c>
      <c r="M456" s="36">
        <f>_xll.DBRW($E$12,$F$16,$F$17,$F$18,$E456,$F$20,M$22,$H456,$F$19)</f>
        <v>-144.13999999999999</v>
      </c>
      <c r="N456" s="36">
        <f>_xll.DBRW($E$12,$F$16,$F$17,$F$18,$E456,$F$20,N$22,$H456,$F$19)</f>
        <v>29.63</v>
      </c>
      <c r="O456" s="36">
        <f>_xll.DBRW($E$12,$F$16,$F$17,$F$18,$E456,$F$20,O$22,$H456,$F$19)</f>
        <v>0</v>
      </c>
      <c r="P456" s="36">
        <f>_xll.DBRW($E$12,$F$16,$F$17,$F$18,$E456,$F$20,P$22,$H456,$F$19)</f>
        <v>0</v>
      </c>
      <c r="Q456" s="36">
        <f>_xll.DBRW($E$12,$F$16,$F$17,$F$18,$E456,$F$20,Q$22,$H456,$F$19)</f>
        <v>0</v>
      </c>
      <c r="R456" s="36">
        <f>_xll.DBRW($E$12,$F$16,$F$17,$F$18,$E456,$F$20,R$22,$H456,$F$19)</f>
        <v>0</v>
      </c>
      <c r="S456" s="36">
        <f>_xll.DBRW($E$12,$F$16,$F$17,$F$18,$E456,$F$20,S$22,$H456,$F$19)</f>
        <v>0</v>
      </c>
      <c r="T456" s="36">
        <f>_xll.DBRW($E$12,$F$16,$F$17,$F$18,$E456,$F$20,T$22,$H456,$F$19)</f>
        <v>0</v>
      </c>
      <c r="U456" s="36">
        <f>_xll.DBRW($E$12,$F$16,$F$17,$F$18,$E456,$F$20,U$22,$H456,$F$19)</f>
        <v>-640.36</v>
      </c>
    </row>
    <row r="457" spans="4:21" s="37" customFormat="1" ht="15" outlineLevel="1" thickBot="1" x14ac:dyDescent="0.35">
      <c r="D457" s="33" t="str">
        <f>IF(_xll.TM1RPTELISCONSOLIDATED($H$34,$H457),IF(_xll.TM1RPTELLEV($H$34,$H457)&lt;=5,_xll.TM1RPTELLEV($H$34,$H457),"Default"),"Leaf")</f>
        <v>Leaf</v>
      </c>
      <c r="E457" s="42" t="s">
        <v>687</v>
      </c>
      <c r="F457" s="34" t="str">
        <f>_xll.DBR($B$18,$H457,"Account_Type")</f>
        <v>NON LABOR</v>
      </c>
      <c r="G457" s="34" t="str">
        <f>_xll.DBR($B$18,$H457,"Description")</f>
        <v>Safety</v>
      </c>
      <c r="H457" s="43" t="s">
        <v>610</v>
      </c>
      <c r="I457" s="36">
        <f>_xll.DBRW($E$12,$F$16,$F$17,$F$18,$E457,$F$20,I$22,$H457,$F$19)</f>
        <v>0</v>
      </c>
      <c r="J457" s="36">
        <f>_xll.DBRW($E$12,$F$16,$F$17,$F$18,$E457,$F$20,J$22,$H457,$F$19)</f>
        <v>0</v>
      </c>
      <c r="K457" s="36">
        <f>_xll.DBRW($E$12,$F$16,$F$17,$F$18,$E457,$F$20,K$22,$H457,$F$19)</f>
        <v>0</v>
      </c>
      <c r="L457" s="36">
        <f>_xll.DBRW($E$12,$F$16,$F$17,$F$18,$E457,$F$20,L$22,$H457,$F$19)</f>
        <v>23</v>
      </c>
      <c r="M457" s="36">
        <f>_xll.DBRW($E$12,$F$16,$F$17,$F$18,$E457,$F$20,M$22,$H457,$F$19)</f>
        <v>0</v>
      </c>
      <c r="N457" s="36">
        <f>_xll.DBRW($E$12,$F$16,$F$17,$F$18,$E457,$F$20,N$22,$H457,$F$19)</f>
        <v>0</v>
      </c>
      <c r="O457" s="36">
        <f>_xll.DBRW($E$12,$F$16,$F$17,$F$18,$E457,$F$20,O$22,$H457,$F$19)</f>
        <v>0</v>
      </c>
      <c r="P457" s="36">
        <f>_xll.DBRW($E$12,$F$16,$F$17,$F$18,$E457,$F$20,P$22,$H457,$F$19)</f>
        <v>0</v>
      </c>
      <c r="Q457" s="36">
        <f>_xll.DBRW($E$12,$F$16,$F$17,$F$18,$E457,$F$20,Q$22,$H457,$F$19)</f>
        <v>0</v>
      </c>
      <c r="R457" s="36">
        <f>_xll.DBRW($E$12,$F$16,$F$17,$F$18,$E457,$F$20,R$22,$H457,$F$19)</f>
        <v>0</v>
      </c>
      <c r="S457" s="36">
        <f>_xll.DBRW($E$12,$F$16,$F$17,$F$18,$E457,$F$20,S$22,$H457,$F$19)</f>
        <v>0</v>
      </c>
      <c r="T457" s="36">
        <f>_xll.DBRW($E$12,$F$16,$F$17,$F$18,$E457,$F$20,T$22,$H457,$F$19)</f>
        <v>0</v>
      </c>
      <c r="U457" s="36">
        <f>_xll.DBRW($E$12,$F$16,$F$17,$F$18,$E457,$F$20,U$22,$H457,$F$19)</f>
        <v>23</v>
      </c>
    </row>
    <row r="458" spans="4:21" s="37" customFormat="1" ht="15" outlineLevel="1" thickBot="1" x14ac:dyDescent="0.35">
      <c r="D458" s="33" t="str">
        <f>IF(_xll.TM1RPTELISCONSOLIDATED($H$34,$H458),IF(_xll.TM1RPTELLEV($H$34,$H458)&lt;=5,_xll.TM1RPTELLEV($H$34,$H458),"Default"),"Leaf")</f>
        <v>Leaf</v>
      </c>
      <c r="E458" s="42" t="s">
        <v>687</v>
      </c>
      <c r="F458" s="34" t="str">
        <f>_xll.DBR($B$18,$H458,"Account_Type")</f>
        <v>NON LABOR</v>
      </c>
      <c r="G458" s="34" t="str">
        <f>_xll.DBR($B$18,$H458,"Description")</f>
        <v>Small Tools</v>
      </c>
      <c r="H458" s="43" t="s">
        <v>618</v>
      </c>
      <c r="I458" s="36">
        <f>_xll.DBRW($E$12,$F$16,$F$17,$F$18,$E458,$F$20,I$22,$H458,$F$19)</f>
        <v>311.72000000000003</v>
      </c>
      <c r="J458" s="36">
        <f>_xll.DBRW($E$12,$F$16,$F$17,$F$18,$E458,$F$20,J$22,$H458,$F$19)</f>
        <v>12843.3</v>
      </c>
      <c r="K458" s="36">
        <f>_xll.DBRW($E$12,$F$16,$F$17,$F$18,$E458,$F$20,K$22,$H458,$F$19)</f>
        <v>7915.99</v>
      </c>
      <c r="L458" s="36">
        <f>_xll.DBRW($E$12,$F$16,$F$17,$F$18,$E458,$F$20,L$22,$H458,$F$19)</f>
        <v>6977.99</v>
      </c>
      <c r="M458" s="36">
        <f>_xll.DBRW($E$12,$F$16,$F$17,$F$18,$E458,$F$20,M$22,$H458,$F$19)</f>
        <v>4090.08</v>
      </c>
      <c r="N458" s="36">
        <f>_xll.DBRW($E$12,$F$16,$F$17,$F$18,$E458,$F$20,N$22,$H458,$F$19)</f>
        <v>7917.7</v>
      </c>
      <c r="O458" s="36">
        <f>_xll.DBRW($E$12,$F$16,$F$17,$F$18,$E458,$F$20,O$22,$H458,$F$19)</f>
        <v>-2062.5</v>
      </c>
      <c r="P458" s="36">
        <f>_xll.DBRW($E$12,$F$16,$F$17,$F$18,$E458,$F$20,P$22,$H458,$F$19)</f>
        <v>0</v>
      </c>
      <c r="Q458" s="36">
        <f>_xll.DBRW($E$12,$F$16,$F$17,$F$18,$E458,$F$20,Q$22,$H458,$F$19)</f>
        <v>0</v>
      </c>
      <c r="R458" s="36">
        <f>_xll.DBRW($E$12,$F$16,$F$17,$F$18,$E458,$F$20,R$22,$H458,$F$19)</f>
        <v>0</v>
      </c>
      <c r="S458" s="36">
        <f>_xll.DBRW($E$12,$F$16,$F$17,$F$18,$E458,$F$20,S$22,$H458,$F$19)</f>
        <v>0</v>
      </c>
      <c r="T458" s="36">
        <f>_xll.DBRW($E$12,$F$16,$F$17,$F$18,$E458,$F$20,T$22,$H458,$F$19)</f>
        <v>0</v>
      </c>
      <c r="U458" s="36">
        <f>_xll.DBRW($E$12,$F$16,$F$17,$F$18,$E458,$F$20,U$22,$H458,$F$19)</f>
        <v>37994.28</v>
      </c>
    </row>
    <row r="459" spans="4:21" s="37" customFormat="1" ht="15" outlineLevel="1" thickBot="1" x14ac:dyDescent="0.35">
      <c r="D459" s="33" t="str">
        <f>IF(_xll.TM1RPTELISCONSOLIDATED($H$34,$H459),IF(_xll.TM1RPTELLEV($H$34,$H459)&lt;=5,_xll.TM1RPTELLEV($H$34,$H459),"Default"),"Leaf")</f>
        <v>Leaf</v>
      </c>
      <c r="E459" s="42" t="s">
        <v>687</v>
      </c>
      <c r="F459" s="34" t="str">
        <f>_xll.DBR($B$18,$H459,"Account_Type")</f>
        <v>NON LABOR</v>
      </c>
      <c r="G459" s="34" t="str">
        <f>_xll.DBR($B$18,$H459,"Description")</f>
        <v>Small Tools</v>
      </c>
      <c r="H459" s="43" t="s">
        <v>619</v>
      </c>
      <c r="I459" s="36">
        <f>_xll.DBRW($E$12,$F$16,$F$17,$F$18,$E459,$F$20,I$22,$H459,$F$19)</f>
        <v>4872.07</v>
      </c>
      <c r="J459" s="36">
        <f>_xll.DBRW($E$12,$F$16,$F$17,$F$18,$E459,$F$20,J$22,$H459,$F$19)</f>
        <v>0</v>
      </c>
      <c r="K459" s="36">
        <f>_xll.DBRW($E$12,$F$16,$F$17,$F$18,$E459,$F$20,K$22,$H459,$F$19)</f>
        <v>502.34</v>
      </c>
      <c r="L459" s="36">
        <f>_xll.DBRW($E$12,$F$16,$F$17,$F$18,$E459,$F$20,L$22,$H459,$F$19)</f>
        <v>1025.31</v>
      </c>
      <c r="M459" s="36">
        <f>_xll.DBRW($E$12,$F$16,$F$17,$F$18,$E459,$F$20,M$22,$H459,$F$19)</f>
        <v>2068.69</v>
      </c>
      <c r="N459" s="36">
        <f>_xll.DBRW($E$12,$F$16,$F$17,$F$18,$E459,$F$20,N$22,$H459,$F$19)</f>
        <v>1927.47</v>
      </c>
      <c r="O459" s="36">
        <f>_xll.DBRW($E$12,$F$16,$F$17,$F$18,$E459,$F$20,O$22,$H459,$F$19)</f>
        <v>-1210</v>
      </c>
      <c r="P459" s="36">
        <f>_xll.DBRW($E$12,$F$16,$F$17,$F$18,$E459,$F$20,P$22,$H459,$F$19)</f>
        <v>0</v>
      </c>
      <c r="Q459" s="36">
        <f>_xll.DBRW($E$12,$F$16,$F$17,$F$18,$E459,$F$20,Q$22,$H459,$F$19)</f>
        <v>0</v>
      </c>
      <c r="R459" s="36">
        <f>_xll.DBRW($E$12,$F$16,$F$17,$F$18,$E459,$F$20,R$22,$H459,$F$19)</f>
        <v>0</v>
      </c>
      <c r="S459" s="36">
        <f>_xll.DBRW($E$12,$F$16,$F$17,$F$18,$E459,$F$20,S$22,$H459,$F$19)</f>
        <v>0</v>
      </c>
      <c r="T459" s="36">
        <f>_xll.DBRW($E$12,$F$16,$F$17,$F$18,$E459,$F$20,T$22,$H459,$F$19)</f>
        <v>0</v>
      </c>
      <c r="U459" s="36">
        <f>_xll.DBRW($E$12,$F$16,$F$17,$F$18,$E459,$F$20,U$22,$H459,$F$19)</f>
        <v>9185.8799999999992</v>
      </c>
    </row>
    <row r="460" spans="4:21" s="37" customFormat="1" ht="15" outlineLevel="1" thickBot="1" x14ac:dyDescent="0.35">
      <c r="D460" s="33" t="str">
        <f>IF(_xll.TM1RPTELISCONSOLIDATED($H$34,$H460),IF(_xll.TM1RPTELLEV($H$34,$H460)&lt;=5,_xll.TM1RPTELLEV($H$34,$H460),"Default"),"Leaf")</f>
        <v>Leaf</v>
      </c>
      <c r="E460" s="42" t="s">
        <v>687</v>
      </c>
      <c r="F460" s="34" t="str">
        <f>_xll.DBR($B$18,$H460,"Account_Type")</f>
        <v>NON LABOR</v>
      </c>
      <c r="G460" s="34" t="str">
        <f>_xll.DBR($B$18,$H460,"Description")</f>
        <v>Consumable Purchases</v>
      </c>
      <c r="H460" s="43" t="s">
        <v>620</v>
      </c>
      <c r="I460" s="36">
        <f>_xll.DBRW($E$12,$F$16,$F$17,$F$18,$E460,$F$20,I$22,$H460,$F$19)</f>
        <v>56489.98</v>
      </c>
      <c r="J460" s="36">
        <f>_xll.DBRW($E$12,$F$16,$F$17,$F$18,$E460,$F$20,J$22,$H460,$F$19)</f>
        <v>73415.34</v>
      </c>
      <c r="K460" s="36">
        <f>_xll.DBRW($E$12,$F$16,$F$17,$F$18,$E460,$F$20,K$22,$H460,$F$19)</f>
        <v>94278.84</v>
      </c>
      <c r="L460" s="36">
        <f>_xll.DBRW($E$12,$F$16,$F$17,$F$18,$E460,$F$20,L$22,$H460,$F$19)</f>
        <v>104187.34</v>
      </c>
      <c r="M460" s="36">
        <f>_xll.DBRW($E$12,$F$16,$F$17,$F$18,$E460,$F$20,M$22,$H460,$F$19)</f>
        <v>48244.76</v>
      </c>
      <c r="N460" s="36">
        <f>_xll.DBRW($E$12,$F$16,$F$17,$F$18,$E460,$F$20,N$22,$H460,$F$19)</f>
        <v>49754.11</v>
      </c>
      <c r="O460" s="36">
        <f>_xll.DBRW($E$12,$F$16,$F$17,$F$18,$E460,$F$20,O$22,$H460,$F$19)</f>
        <v>-10794.11</v>
      </c>
      <c r="P460" s="36">
        <f>_xll.DBRW($E$12,$F$16,$F$17,$F$18,$E460,$F$20,P$22,$H460,$F$19)</f>
        <v>0</v>
      </c>
      <c r="Q460" s="36">
        <f>_xll.DBRW($E$12,$F$16,$F$17,$F$18,$E460,$F$20,Q$22,$H460,$F$19)</f>
        <v>0</v>
      </c>
      <c r="R460" s="36">
        <f>_xll.DBRW($E$12,$F$16,$F$17,$F$18,$E460,$F$20,R$22,$H460,$F$19)</f>
        <v>0</v>
      </c>
      <c r="S460" s="36">
        <f>_xll.DBRW($E$12,$F$16,$F$17,$F$18,$E460,$F$20,S$22,$H460,$F$19)</f>
        <v>0</v>
      </c>
      <c r="T460" s="36">
        <f>_xll.DBRW($E$12,$F$16,$F$17,$F$18,$E460,$F$20,T$22,$H460,$F$19)</f>
        <v>0</v>
      </c>
      <c r="U460" s="36">
        <f>_xll.DBRW($E$12,$F$16,$F$17,$F$18,$E460,$F$20,U$22,$H460,$F$19)</f>
        <v>415576.26</v>
      </c>
    </row>
    <row r="461" spans="4:21" s="37" customFormat="1" ht="15" outlineLevel="1" thickBot="1" x14ac:dyDescent="0.35">
      <c r="D461" s="33" t="str">
        <f>IF(_xll.TM1RPTELISCONSOLIDATED($H$34,$H461),IF(_xll.TM1RPTELLEV($H$34,$H461)&lt;=5,_xll.TM1RPTELLEV($H$34,$H461),"Default"),"Leaf")</f>
        <v>Leaf</v>
      </c>
      <c r="E461" s="42" t="s">
        <v>687</v>
      </c>
      <c r="F461" s="34" t="str">
        <f>_xll.DBR($B$18,$H461,"Account_Type")</f>
        <v>NON LABOR</v>
      </c>
      <c r="G461" s="34" t="str">
        <f>_xll.DBR($B$18,$H461,"Description")</f>
        <v>Consumable Purchases</v>
      </c>
      <c r="H461" s="43" t="s">
        <v>623</v>
      </c>
      <c r="I461" s="36">
        <f>_xll.DBRW($E$12,$F$16,$F$17,$F$18,$E461,$F$20,I$22,$H461,$F$19)</f>
        <v>40864.5</v>
      </c>
      <c r="J461" s="36">
        <f>_xll.DBRW($E$12,$F$16,$F$17,$F$18,$E461,$F$20,J$22,$H461,$F$19)</f>
        <v>23538.87</v>
      </c>
      <c r="K461" s="36">
        <f>_xll.DBRW($E$12,$F$16,$F$17,$F$18,$E461,$F$20,K$22,$H461,$F$19)</f>
        <v>10271.530000000001</v>
      </c>
      <c r="L461" s="36">
        <f>_xll.DBRW($E$12,$F$16,$F$17,$F$18,$E461,$F$20,L$22,$H461,$F$19)</f>
        <v>1390.14</v>
      </c>
      <c r="M461" s="36">
        <f>_xll.DBRW($E$12,$F$16,$F$17,$F$18,$E461,$F$20,M$22,$H461,$F$19)</f>
        <v>5787.14</v>
      </c>
      <c r="N461" s="36">
        <f>_xll.DBRW($E$12,$F$16,$F$17,$F$18,$E461,$F$20,N$22,$H461,$F$19)</f>
        <v>37029.64</v>
      </c>
      <c r="O461" s="36">
        <f>_xll.DBRW($E$12,$F$16,$F$17,$F$18,$E461,$F$20,O$22,$H461,$F$19)</f>
        <v>-1247.4000000000001</v>
      </c>
      <c r="P461" s="36">
        <f>_xll.DBRW($E$12,$F$16,$F$17,$F$18,$E461,$F$20,P$22,$H461,$F$19)</f>
        <v>0</v>
      </c>
      <c r="Q461" s="36">
        <f>_xll.DBRW($E$12,$F$16,$F$17,$F$18,$E461,$F$20,Q$22,$H461,$F$19)</f>
        <v>0</v>
      </c>
      <c r="R461" s="36">
        <f>_xll.DBRW($E$12,$F$16,$F$17,$F$18,$E461,$F$20,R$22,$H461,$F$19)</f>
        <v>0</v>
      </c>
      <c r="S461" s="36">
        <f>_xll.DBRW($E$12,$F$16,$F$17,$F$18,$E461,$F$20,S$22,$H461,$F$19)</f>
        <v>0</v>
      </c>
      <c r="T461" s="36">
        <f>_xll.DBRW($E$12,$F$16,$F$17,$F$18,$E461,$F$20,T$22,$H461,$F$19)</f>
        <v>0</v>
      </c>
      <c r="U461" s="36">
        <f>_xll.DBRW($E$12,$F$16,$F$17,$F$18,$E461,$F$20,U$22,$H461,$F$19)</f>
        <v>117634.42</v>
      </c>
    </row>
    <row r="462" spans="4:21" s="37" customFormat="1" ht="15" outlineLevel="1" thickBot="1" x14ac:dyDescent="0.35">
      <c r="D462" s="33" t="str">
        <f>IF(_xll.TM1RPTELISCONSOLIDATED($H$34,$H462),IF(_xll.TM1RPTELLEV($H$34,$H462)&lt;=5,_xll.TM1RPTELLEV($H$34,$H462),"Default"),"Leaf")</f>
        <v>Leaf</v>
      </c>
      <c r="E462" s="42" t="s">
        <v>687</v>
      </c>
      <c r="F462" s="34" t="str">
        <f>_xll.DBR($B$18,$H462,"Account_Type")</f>
        <v>NON LABOR</v>
      </c>
      <c r="G462" s="34" t="str">
        <f>_xll.DBR($B$18,$H462,"Description")</f>
        <v>Toolroom Consumables Applied</v>
      </c>
      <c r="H462" s="43" t="s">
        <v>624</v>
      </c>
      <c r="I462" s="36">
        <f>_xll.DBRW($E$12,$F$16,$F$17,$F$18,$E462,$F$20,I$22,$H462,$F$19)</f>
        <v>-56417.23</v>
      </c>
      <c r="J462" s="36">
        <f>_xll.DBRW($E$12,$F$16,$F$17,$F$18,$E462,$F$20,J$22,$H462,$F$19)</f>
        <v>-104774.62</v>
      </c>
      <c r="K462" s="36">
        <f>_xll.DBRW($E$12,$F$16,$F$17,$F$18,$E462,$F$20,K$22,$H462,$F$19)</f>
        <v>-117016.46</v>
      </c>
      <c r="L462" s="36">
        <f>_xll.DBRW($E$12,$F$16,$F$17,$F$18,$E462,$F$20,L$22,$H462,$F$19)</f>
        <v>-128214.07</v>
      </c>
      <c r="M462" s="36">
        <f>_xll.DBRW($E$12,$F$16,$F$17,$F$18,$E462,$F$20,M$22,$H462,$F$19)</f>
        <v>-81916.47</v>
      </c>
      <c r="N462" s="36">
        <f>_xll.DBRW($E$12,$F$16,$F$17,$F$18,$E462,$F$20,N$22,$H462,$F$19)</f>
        <v>-63124.43</v>
      </c>
      <c r="O462" s="36">
        <f>_xll.DBRW($E$12,$F$16,$F$17,$F$18,$E462,$F$20,O$22,$H462,$F$19)</f>
        <v>0</v>
      </c>
      <c r="P462" s="36">
        <f>_xll.DBRW($E$12,$F$16,$F$17,$F$18,$E462,$F$20,P$22,$H462,$F$19)</f>
        <v>0</v>
      </c>
      <c r="Q462" s="36">
        <f>_xll.DBRW($E$12,$F$16,$F$17,$F$18,$E462,$F$20,Q$22,$H462,$F$19)</f>
        <v>0</v>
      </c>
      <c r="R462" s="36">
        <f>_xll.DBRW($E$12,$F$16,$F$17,$F$18,$E462,$F$20,R$22,$H462,$F$19)</f>
        <v>0</v>
      </c>
      <c r="S462" s="36">
        <f>_xll.DBRW($E$12,$F$16,$F$17,$F$18,$E462,$F$20,S$22,$H462,$F$19)</f>
        <v>0</v>
      </c>
      <c r="T462" s="36">
        <f>_xll.DBRW($E$12,$F$16,$F$17,$F$18,$E462,$F$20,T$22,$H462,$F$19)</f>
        <v>0</v>
      </c>
      <c r="U462" s="36">
        <f>_xll.DBRW($E$12,$F$16,$F$17,$F$18,$E462,$F$20,U$22,$H462,$F$19)</f>
        <v>-551463.28</v>
      </c>
    </row>
    <row r="463" spans="4:21" s="37" customFormat="1" ht="15" outlineLevel="1" thickBot="1" x14ac:dyDescent="0.35">
      <c r="D463" s="33" t="str">
        <f>IF(_xll.TM1RPTELISCONSOLIDATED($H$34,$H463),IF(_xll.TM1RPTELLEV($H$34,$H463)&lt;=5,_xll.TM1RPTELLEV($H$34,$H463),"Default"),"Leaf")</f>
        <v>Leaf</v>
      </c>
      <c r="E463" s="42" t="s">
        <v>687</v>
      </c>
      <c r="F463" s="34" t="str">
        <f>_xll.DBR($B$18,$H463,"Account_Type")</f>
        <v>NON LABOR</v>
      </c>
      <c r="G463" s="34" t="str">
        <f>_xll.DBR($B$18,$H463,"Description")</f>
        <v>Toolroom Consumables Applied</v>
      </c>
      <c r="H463" s="43" t="s">
        <v>625</v>
      </c>
      <c r="I463" s="36">
        <f>_xll.DBRW($E$12,$F$16,$F$17,$F$18,$E463,$F$20,I$22,$H463,$F$19)</f>
        <v>-7047.86</v>
      </c>
      <c r="J463" s="36">
        <f>_xll.DBRW($E$12,$F$16,$F$17,$F$18,$E463,$F$20,J$22,$H463,$F$19)</f>
        <v>-8527.86</v>
      </c>
      <c r="K463" s="36">
        <f>_xll.DBRW($E$12,$F$16,$F$17,$F$18,$E463,$F$20,K$22,$H463,$F$19)</f>
        <v>-27145.43</v>
      </c>
      <c r="L463" s="36">
        <f>_xll.DBRW($E$12,$F$16,$F$17,$F$18,$E463,$F$20,L$22,$H463,$F$19)</f>
        <v>-7118.65</v>
      </c>
      <c r="M463" s="36">
        <f>_xll.DBRW($E$12,$F$16,$F$17,$F$18,$E463,$F$20,M$22,$H463,$F$19)</f>
        <v>-2519.48</v>
      </c>
      <c r="N463" s="36">
        <f>_xll.DBRW($E$12,$F$16,$F$17,$F$18,$E463,$F$20,N$22,$H463,$F$19)</f>
        <v>-42126.67</v>
      </c>
      <c r="O463" s="36">
        <f>_xll.DBRW($E$12,$F$16,$F$17,$F$18,$E463,$F$20,O$22,$H463,$F$19)</f>
        <v>0</v>
      </c>
      <c r="P463" s="36">
        <f>_xll.DBRW($E$12,$F$16,$F$17,$F$18,$E463,$F$20,P$22,$H463,$F$19)</f>
        <v>0</v>
      </c>
      <c r="Q463" s="36">
        <f>_xll.DBRW($E$12,$F$16,$F$17,$F$18,$E463,$F$20,Q$22,$H463,$F$19)</f>
        <v>0</v>
      </c>
      <c r="R463" s="36">
        <f>_xll.DBRW($E$12,$F$16,$F$17,$F$18,$E463,$F$20,R$22,$H463,$F$19)</f>
        <v>0</v>
      </c>
      <c r="S463" s="36">
        <f>_xll.DBRW($E$12,$F$16,$F$17,$F$18,$E463,$F$20,S$22,$H463,$F$19)</f>
        <v>0</v>
      </c>
      <c r="T463" s="36">
        <f>_xll.DBRW($E$12,$F$16,$F$17,$F$18,$E463,$F$20,T$22,$H463,$F$19)</f>
        <v>0</v>
      </c>
      <c r="U463" s="36">
        <f>_xll.DBRW($E$12,$F$16,$F$17,$F$18,$E463,$F$20,U$22,$H463,$F$19)</f>
        <v>-94485.950000000012</v>
      </c>
    </row>
    <row r="464" spans="4:21" s="37" customFormat="1" ht="15" outlineLevel="1" thickBot="1" x14ac:dyDescent="0.35">
      <c r="D464" s="33" t="str">
        <f>IF(_xll.TM1RPTELISCONSOLIDATED($H$34,$H464),IF(_xll.TM1RPTELLEV($H$34,$H464)&lt;=5,_xll.TM1RPTELLEV($H$34,$H464),"Default"),"Leaf")</f>
        <v>Leaf</v>
      </c>
      <c r="E464" s="42" t="s">
        <v>687</v>
      </c>
      <c r="F464" s="34" t="str">
        <f>_xll.DBR($B$18,$H464,"Account_Type")</f>
        <v>NON LABOR</v>
      </c>
      <c r="G464" s="34" t="str">
        <f>_xll.DBR($B$18,$H464,"Description")</f>
        <v>STC/Eqpt Maintenance &amp; Repair</v>
      </c>
      <c r="H464" s="43" t="s">
        <v>626</v>
      </c>
      <c r="I464" s="36">
        <f>_xll.DBRW($E$12,$F$16,$F$17,$F$18,$E464,$F$20,I$22,$H464,$F$19)</f>
        <v>0</v>
      </c>
      <c r="J464" s="36">
        <f>_xll.DBRW($E$12,$F$16,$F$17,$F$18,$E464,$F$20,J$22,$H464,$F$19)</f>
        <v>379.01</v>
      </c>
      <c r="K464" s="36">
        <f>_xll.DBRW($E$12,$F$16,$F$17,$F$18,$E464,$F$20,K$22,$H464,$F$19)</f>
        <v>3284.66</v>
      </c>
      <c r="L464" s="36">
        <f>_xll.DBRW($E$12,$F$16,$F$17,$F$18,$E464,$F$20,L$22,$H464,$F$19)</f>
        <v>4239.96</v>
      </c>
      <c r="M464" s="36">
        <f>_xll.DBRW($E$12,$F$16,$F$17,$F$18,$E464,$F$20,M$22,$H464,$F$19)</f>
        <v>2103.9499999999998</v>
      </c>
      <c r="N464" s="36">
        <f>_xll.DBRW($E$12,$F$16,$F$17,$F$18,$E464,$F$20,N$22,$H464,$F$19)</f>
        <v>-1756.1</v>
      </c>
      <c r="O464" s="36">
        <f>_xll.DBRW($E$12,$F$16,$F$17,$F$18,$E464,$F$20,O$22,$H464,$F$19)</f>
        <v>-70.16</v>
      </c>
      <c r="P464" s="36">
        <f>_xll.DBRW($E$12,$F$16,$F$17,$F$18,$E464,$F$20,P$22,$H464,$F$19)</f>
        <v>0</v>
      </c>
      <c r="Q464" s="36">
        <f>_xll.DBRW($E$12,$F$16,$F$17,$F$18,$E464,$F$20,Q$22,$H464,$F$19)</f>
        <v>0</v>
      </c>
      <c r="R464" s="36">
        <f>_xll.DBRW($E$12,$F$16,$F$17,$F$18,$E464,$F$20,R$22,$H464,$F$19)</f>
        <v>0</v>
      </c>
      <c r="S464" s="36">
        <f>_xll.DBRW($E$12,$F$16,$F$17,$F$18,$E464,$F$20,S$22,$H464,$F$19)</f>
        <v>0</v>
      </c>
      <c r="T464" s="36">
        <f>_xll.DBRW($E$12,$F$16,$F$17,$F$18,$E464,$F$20,T$22,$H464,$F$19)</f>
        <v>0</v>
      </c>
      <c r="U464" s="36">
        <f>_xll.DBRW($E$12,$F$16,$F$17,$F$18,$E464,$F$20,U$22,$H464,$F$19)</f>
        <v>8181.32</v>
      </c>
    </row>
    <row r="465" spans="4:21" s="37" customFormat="1" ht="15" outlineLevel="1" thickBot="1" x14ac:dyDescent="0.35">
      <c r="D465" s="33" t="str">
        <f>IF(_xll.TM1RPTELISCONSOLIDATED($H$34,$H465),IF(_xll.TM1RPTELLEV($H$34,$H465)&lt;=5,_xll.TM1RPTELLEV($H$34,$H465),"Default"),"Leaf")</f>
        <v>Leaf</v>
      </c>
      <c r="E465" s="42" t="s">
        <v>687</v>
      </c>
      <c r="F465" s="34" t="str">
        <f>_xll.DBR($B$18,$H465,"Account_Type")</f>
        <v>NON LABOR</v>
      </c>
      <c r="G465" s="34" t="str">
        <f>_xll.DBR($B$18,$H465,"Description")</f>
        <v>Employee Leased Vehicles</v>
      </c>
      <c r="H465" s="43" t="s">
        <v>634</v>
      </c>
      <c r="I465" s="36">
        <f>_xll.DBRW($E$12,$F$16,$F$17,$F$18,$E465,$F$20,I$22,$H465,$F$19)</f>
        <v>1150</v>
      </c>
      <c r="J465" s="36">
        <f>_xll.DBRW($E$12,$F$16,$F$17,$F$18,$E465,$F$20,J$22,$H465,$F$19)</f>
        <v>1150</v>
      </c>
      <c r="K465" s="36">
        <f>_xll.DBRW($E$12,$F$16,$F$17,$F$18,$E465,$F$20,K$22,$H465,$F$19)</f>
        <v>1150</v>
      </c>
      <c r="L465" s="36">
        <f>_xll.DBRW($E$12,$F$16,$F$17,$F$18,$E465,$F$20,L$22,$H465,$F$19)</f>
        <v>1150</v>
      </c>
      <c r="M465" s="36">
        <f>_xll.DBRW($E$12,$F$16,$F$17,$F$18,$E465,$F$20,M$22,$H465,$F$19)</f>
        <v>1150</v>
      </c>
      <c r="N465" s="36">
        <f>_xll.DBRW($E$12,$F$16,$F$17,$F$18,$E465,$F$20,N$22,$H465,$F$19)</f>
        <v>1150</v>
      </c>
      <c r="O465" s="36">
        <f>_xll.DBRW($E$12,$F$16,$F$17,$F$18,$E465,$F$20,O$22,$H465,$F$19)</f>
        <v>1150</v>
      </c>
      <c r="P465" s="36">
        <f>_xll.DBRW($E$12,$F$16,$F$17,$F$18,$E465,$F$20,P$22,$H465,$F$19)</f>
        <v>0</v>
      </c>
      <c r="Q465" s="36">
        <f>_xll.DBRW($E$12,$F$16,$F$17,$F$18,$E465,$F$20,Q$22,$H465,$F$19)</f>
        <v>0</v>
      </c>
      <c r="R465" s="36">
        <f>_xll.DBRW($E$12,$F$16,$F$17,$F$18,$E465,$F$20,R$22,$H465,$F$19)</f>
        <v>0</v>
      </c>
      <c r="S465" s="36">
        <f>_xll.DBRW($E$12,$F$16,$F$17,$F$18,$E465,$F$20,S$22,$H465,$F$19)</f>
        <v>0</v>
      </c>
      <c r="T465" s="36">
        <f>_xll.DBRW($E$12,$F$16,$F$17,$F$18,$E465,$F$20,T$22,$H465,$F$19)</f>
        <v>0</v>
      </c>
      <c r="U465" s="36">
        <f>_xll.DBRW($E$12,$F$16,$F$17,$F$18,$E465,$F$20,U$22,$H465,$F$19)</f>
        <v>8050</v>
      </c>
    </row>
    <row r="466" spans="4:21" s="37" customFormat="1" ht="15" outlineLevel="1" thickBot="1" x14ac:dyDescent="0.35">
      <c r="D466" s="33" t="str">
        <f>IF(_xll.TM1RPTELISCONSOLIDATED($H$34,$H466),IF(_xll.TM1RPTELLEV($H$34,$H466)&lt;=5,_xll.TM1RPTELLEV($H$34,$H466),"Default"),"Leaf")</f>
        <v>Leaf</v>
      </c>
      <c r="E466" s="42" t="s">
        <v>687</v>
      </c>
      <c r="F466" s="34" t="str">
        <f>_xll.DBR($B$18,$H466,"Account_Type")</f>
        <v>NON LABOR</v>
      </c>
      <c r="G466" s="34" t="str">
        <f>_xll.DBR($B$18,$H466,"Description")</f>
        <v>Fuel to Leased Vehicles</v>
      </c>
      <c r="H466" s="43" t="s">
        <v>644</v>
      </c>
      <c r="I466" s="36">
        <f>_xll.DBRW($E$12,$F$16,$F$17,$F$18,$E466,$F$20,I$22,$H466,$F$19)</f>
        <v>366.24</v>
      </c>
      <c r="J466" s="36">
        <f>_xll.DBRW($E$12,$F$16,$F$17,$F$18,$E466,$F$20,J$22,$H466,$F$19)</f>
        <v>352.65</v>
      </c>
      <c r="K466" s="36">
        <f>_xll.DBRW($E$12,$F$16,$F$17,$F$18,$E466,$F$20,K$22,$H466,$F$19)</f>
        <v>221.39</v>
      </c>
      <c r="L466" s="36">
        <f>_xll.DBRW($E$12,$F$16,$F$17,$F$18,$E466,$F$20,L$22,$H466,$F$19)</f>
        <v>503.96</v>
      </c>
      <c r="M466" s="36">
        <f>_xll.DBRW($E$12,$F$16,$F$17,$F$18,$E466,$F$20,M$22,$H466,$F$19)</f>
        <v>565.45000000000005</v>
      </c>
      <c r="N466" s="36">
        <f>_xll.DBRW($E$12,$F$16,$F$17,$F$18,$E466,$F$20,N$22,$H466,$F$19)</f>
        <v>0</v>
      </c>
      <c r="O466" s="36">
        <f>_xll.DBRW($E$12,$F$16,$F$17,$F$18,$E466,$F$20,O$22,$H466,$F$19)</f>
        <v>0</v>
      </c>
      <c r="P466" s="36">
        <f>_xll.DBRW($E$12,$F$16,$F$17,$F$18,$E466,$F$20,P$22,$H466,$F$19)</f>
        <v>0</v>
      </c>
      <c r="Q466" s="36">
        <f>_xll.DBRW($E$12,$F$16,$F$17,$F$18,$E466,$F$20,Q$22,$H466,$F$19)</f>
        <v>0</v>
      </c>
      <c r="R466" s="36">
        <f>_xll.DBRW($E$12,$F$16,$F$17,$F$18,$E466,$F$20,R$22,$H466,$F$19)</f>
        <v>0</v>
      </c>
      <c r="S466" s="36">
        <f>_xll.DBRW($E$12,$F$16,$F$17,$F$18,$E466,$F$20,S$22,$H466,$F$19)</f>
        <v>0</v>
      </c>
      <c r="T466" s="36">
        <f>_xll.DBRW($E$12,$F$16,$F$17,$F$18,$E466,$F$20,T$22,$H466,$F$19)</f>
        <v>0</v>
      </c>
      <c r="U466" s="36">
        <f>_xll.DBRW($E$12,$F$16,$F$17,$F$18,$E466,$F$20,U$22,$H466,$F$19)</f>
        <v>2009.69</v>
      </c>
    </row>
    <row r="467" spans="4:21" s="37" customFormat="1" ht="15" outlineLevel="1" thickBot="1" x14ac:dyDescent="0.35">
      <c r="D467" s="33" t="str">
        <f>IF(_xll.TM1RPTELISCONSOLIDATED($H$34,$H467),IF(_xll.TM1RPTELLEV($H$34,$H467)&lt;=5,_xll.TM1RPTELLEV($H$34,$H467),"Default"),"Leaf")</f>
        <v>Leaf</v>
      </c>
      <c r="E467" s="42" t="s">
        <v>687</v>
      </c>
      <c r="F467" s="34" t="str">
        <f>_xll.DBR($B$18,$H467,"Account_Type")</f>
        <v>NON LABOR</v>
      </c>
      <c r="G467" s="34" t="str">
        <f>_xll.DBR($B$18,$H467,"Description")</f>
        <v>Fuel to Leased Vehicles</v>
      </c>
      <c r="H467" s="43" t="s">
        <v>648</v>
      </c>
      <c r="I467" s="36">
        <f>_xll.DBRW($E$12,$F$16,$F$17,$F$18,$E467,$F$20,I$22,$H467,$F$19)</f>
        <v>351.65</v>
      </c>
      <c r="J467" s="36">
        <f>_xll.DBRW($E$12,$F$16,$F$17,$F$18,$E467,$F$20,J$22,$H467,$F$19)</f>
        <v>0</v>
      </c>
      <c r="K467" s="36">
        <f>_xll.DBRW($E$12,$F$16,$F$17,$F$18,$E467,$F$20,K$22,$H467,$F$19)</f>
        <v>0</v>
      </c>
      <c r="L467" s="36">
        <f>_xll.DBRW($E$12,$F$16,$F$17,$F$18,$E467,$F$20,L$22,$H467,$F$19)</f>
        <v>0</v>
      </c>
      <c r="M467" s="36">
        <f>_xll.DBRW($E$12,$F$16,$F$17,$F$18,$E467,$F$20,M$22,$H467,$F$19)</f>
        <v>0</v>
      </c>
      <c r="N467" s="36">
        <f>_xll.DBRW($E$12,$F$16,$F$17,$F$18,$E467,$F$20,N$22,$H467,$F$19)</f>
        <v>0</v>
      </c>
      <c r="O467" s="36">
        <f>_xll.DBRW($E$12,$F$16,$F$17,$F$18,$E467,$F$20,O$22,$H467,$F$19)</f>
        <v>0</v>
      </c>
      <c r="P467" s="36">
        <f>_xll.DBRW($E$12,$F$16,$F$17,$F$18,$E467,$F$20,P$22,$H467,$F$19)</f>
        <v>0</v>
      </c>
      <c r="Q467" s="36">
        <f>_xll.DBRW($E$12,$F$16,$F$17,$F$18,$E467,$F$20,Q$22,$H467,$F$19)</f>
        <v>0</v>
      </c>
      <c r="R467" s="36">
        <f>_xll.DBRW($E$12,$F$16,$F$17,$F$18,$E467,$F$20,R$22,$H467,$F$19)</f>
        <v>0</v>
      </c>
      <c r="S467" s="36">
        <f>_xll.DBRW($E$12,$F$16,$F$17,$F$18,$E467,$F$20,S$22,$H467,$F$19)</f>
        <v>0</v>
      </c>
      <c r="T467" s="36">
        <f>_xll.DBRW($E$12,$F$16,$F$17,$F$18,$E467,$F$20,T$22,$H467,$F$19)</f>
        <v>0</v>
      </c>
      <c r="U467" s="36">
        <f>_xll.DBRW($E$12,$F$16,$F$17,$F$18,$E467,$F$20,U$22,$H467,$F$19)</f>
        <v>351.65</v>
      </c>
    </row>
    <row r="468" spans="4:21" s="37" customFormat="1" ht="15" outlineLevel="1" thickBot="1" x14ac:dyDescent="0.35">
      <c r="D468" s="33" t="str">
        <f>IF(_xll.TM1RPTELISCONSOLIDATED($H$34,$H468),IF(_xll.TM1RPTELLEV($H$34,$H468)&lt;=5,_xll.TM1RPTELLEV($H$34,$H468),"Default"),"Leaf")</f>
        <v>Leaf</v>
      </c>
      <c r="E468" s="42" t="s">
        <v>687</v>
      </c>
      <c r="F468" s="34" t="str">
        <f>_xll.DBR($B$18,$H468,"Account_Type")</f>
        <v>NON LABOR</v>
      </c>
      <c r="G468" s="34" t="str">
        <f>_xll.DBR($B$18,$H468,"Description")</f>
        <v>Company Owned Equipment</v>
      </c>
      <c r="H468" s="43" t="s">
        <v>651</v>
      </c>
      <c r="I468" s="36">
        <f>_xll.DBRW($E$12,$F$16,$F$17,$F$18,$E468,$F$20,I$22,$H468,$F$19)</f>
        <v>8960</v>
      </c>
      <c r="J468" s="36">
        <f>_xll.DBRW($E$12,$F$16,$F$17,$F$18,$E468,$F$20,J$22,$H468,$F$19)</f>
        <v>10795</v>
      </c>
      <c r="K468" s="36">
        <f>_xll.DBRW($E$12,$F$16,$F$17,$F$18,$E468,$F$20,K$22,$H468,$F$19)</f>
        <v>8960</v>
      </c>
      <c r="L468" s="36">
        <f>_xll.DBRW($E$12,$F$16,$F$17,$F$18,$E468,$F$20,L$22,$H468,$F$19)</f>
        <v>8960</v>
      </c>
      <c r="M468" s="36">
        <f>_xll.DBRW($E$12,$F$16,$F$17,$F$18,$E468,$F$20,M$22,$H468,$F$19)</f>
        <v>9750</v>
      </c>
      <c r="N468" s="36">
        <f>_xll.DBRW($E$12,$F$16,$F$17,$F$18,$E468,$F$20,N$22,$H468,$F$19)</f>
        <v>7920</v>
      </c>
      <c r="O468" s="36">
        <f>_xll.DBRW($E$12,$F$16,$F$17,$F$18,$E468,$F$20,O$22,$H468,$F$19)</f>
        <v>3680</v>
      </c>
      <c r="P468" s="36">
        <f>_xll.DBRW($E$12,$F$16,$F$17,$F$18,$E468,$F$20,P$22,$H468,$F$19)</f>
        <v>0</v>
      </c>
      <c r="Q468" s="36">
        <f>_xll.DBRW($E$12,$F$16,$F$17,$F$18,$E468,$F$20,Q$22,$H468,$F$19)</f>
        <v>0</v>
      </c>
      <c r="R468" s="36">
        <f>_xll.DBRW($E$12,$F$16,$F$17,$F$18,$E468,$F$20,R$22,$H468,$F$19)</f>
        <v>0</v>
      </c>
      <c r="S468" s="36">
        <f>_xll.DBRW($E$12,$F$16,$F$17,$F$18,$E468,$F$20,S$22,$H468,$F$19)</f>
        <v>0</v>
      </c>
      <c r="T468" s="36">
        <f>_xll.DBRW($E$12,$F$16,$F$17,$F$18,$E468,$F$20,T$22,$H468,$F$19)</f>
        <v>0</v>
      </c>
      <c r="U468" s="36">
        <f>_xll.DBRW($E$12,$F$16,$F$17,$F$18,$E468,$F$20,U$22,$H468,$F$19)</f>
        <v>59025</v>
      </c>
    </row>
    <row r="469" spans="4:21" s="37" customFormat="1" ht="15" outlineLevel="1" thickBot="1" x14ac:dyDescent="0.35">
      <c r="D469" s="33" t="str">
        <f>IF(_xll.TM1RPTELISCONSOLIDATED($H$34,$H469),IF(_xll.TM1RPTELLEV($H$34,$H469)&lt;=5,_xll.TM1RPTELLEV($H$34,$H469),"Default"),"Leaf")</f>
        <v>Leaf</v>
      </c>
      <c r="E469" s="42" t="s">
        <v>687</v>
      </c>
      <c r="F469" s="34" t="str">
        <f>_xll.DBR($B$18,$H469,"Account_Type")</f>
        <v>NON LABOR</v>
      </c>
      <c r="G469" s="34" t="str">
        <f>_xll.DBR($B$18,$H469,"Description")</f>
        <v>Fuel to Company Owned Equipment</v>
      </c>
      <c r="H469" s="43" t="s">
        <v>656</v>
      </c>
      <c r="I469" s="36">
        <f>_xll.DBRW($E$12,$F$16,$F$17,$F$18,$E469,$F$20,I$22,$H469,$F$19)</f>
        <v>836.16</v>
      </c>
      <c r="J469" s="36">
        <f>_xll.DBRW($E$12,$F$16,$F$17,$F$18,$E469,$F$20,J$22,$H469,$F$19)</f>
        <v>1210.5999999999999</v>
      </c>
      <c r="K469" s="36">
        <f>_xll.DBRW($E$12,$F$16,$F$17,$F$18,$E469,$F$20,K$22,$H469,$F$19)</f>
        <v>586.55999999999995</v>
      </c>
      <c r="L469" s="36">
        <f>_xll.DBRW($E$12,$F$16,$F$17,$F$18,$E469,$F$20,L$22,$H469,$F$19)</f>
        <v>945.87</v>
      </c>
      <c r="M469" s="36">
        <f>_xll.DBRW($E$12,$F$16,$F$17,$F$18,$E469,$F$20,M$22,$H469,$F$19)</f>
        <v>1340.82</v>
      </c>
      <c r="N469" s="36">
        <f>_xll.DBRW($E$12,$F$16,$F$17,$F$18,$E469,$F$20,N$22,$H469,$F$19)</f>
        <v>1203.73</v>
      </c>
      <c r="O469" s="36">
        <f>_xll.DBRW($E$12,$F$16,$F$17,$F$18,$E469,$F$20,O$22,$H469,$F$19)</f>
        <v>472.29</v>
      </c>
      <c r="P469" s="36">
        <f>_xll.DBRW($E$12,$F$16,$F$17,$F$18,$E469,$F$20,P$22,$H469,$F$19)</f>
        <v>0</v>
      </c>
      <c r="Q469" s="36">
        <f>_xll.DBRW($E$12,$F$16,$F$17,$F$18,$E469,$F$20,Q$22,$H469,$F$19)</f>
        <v>0</v>
      </c>
      <c r="R469" s="36">
        <f>_xll.DBRW($E$12,$F$16,$F$17,$F$18,$E469,$F$20,R$22,$H469,$F$19)</f>
        <v>0</v>
      </c>
      <c r="S469" s="36">
        <f>_xll.DBRW($E$12,$F$16,$F$17,$F$18,$E469,$F$20,S$22,$H469,$F$19)</f>
        <v>0</v>
      </c>
      <c r="T469" s="36">
        <f>_xll.DBRW($E$12,$F$16,$F$17,$F$18,$E469,$F$20,T$22,$H469,$F$19)</f>
        <v>0</v>
      </c>
      <c r="U469" s="36">
        <f>_xll.DBRW($E$12,$F$16,$F$17,$F$18,$E469,$F$20,U$22,$H469,$F$19)</f>
        <v>6596.03</v>
      </c>
    </row>
    <row r="470" spans="4:21" s="37" customFormat="1" ht="15" outlineLevel="1" thickBot="1" x14ac:dyDescent="0.35">
      <c r="D470" s="33" t="str">
        <f>IF(_xll.TM1RPTELISCONSOLIDATED($H$34,$H470),IF(_xll.TM1RPTELLEV($H$34,$H470)&lt;=5,_xll.TM1RPTELLEV($H$34,$H470),"Default"),"Leaf")</f>
        <v>Leaf</v>
      </c>
      <c r="E470" s="42" t="s">
        <v>687</v>
      </c>
      <c r="F470" s="34" t="str">
        <f>_xll.DBR($B$18,$H470,"Account_Type")</f>
        <v>NON LABOR</v>
      </c>
      <c r="G470" s="34" t="str">
        <f>_xll.DBR($B$18,$H470,"Description")</f>
        <v>Fuel to Company Owned Equipment</v>
      </c>
      <c r="H470" s="43" t="s">
        <v>658</v>
      </c>
      <c r="I470" s="36">
        <f>_xll.DBRW($E$12,$F$16,$F$17,$F$18,$E470,$F$20,I$22,$H470,$F$19)</f>
        <v>0</v>
      </c>
      <c r="J470" s="36">
        <f>_xll.DBRW($E$12,$F$16,$F$17,$F$18,$E470,$F$20,J$22,$H470,$F$19)</f>
        <v>654.71</v>
      </c>
      <c r="K470" s="36">
        <f>_xll.DBRW($E$12,$F$16,$F$17,$F$18,$E470,$F$20,K$22,$H470,$F$19)</f>
        <v>380.61</v>
      </c>
      <c r="L470" s="36">
        <f>_xll.DBRW($E$12,$F$16,$F$17,$F$18,$E470,$F$20,L$22,$H470,$F$19)</f>
        <v>497.22</v>
      </c>
      <c r="M470" s="36">
        <f>_xll.DBRW($E$12,$F$16,$F$17,$F$18,$E470,$F$20,M$22,$H470,$F$19)</f>
        <v>895.74</v>
      </c>
      <c r="N470" s="36">
        <f>_xll.DBRW($E$12,$F$16,$F$17,$F$18,$E470,$F$20,N$22,$H470,$F$19)</f>
        <v>0</v>
      </c>
      <c r="O470" s="36">
        <f>_xll.DBRW($E$12,$F$16,$F$17,$F$18,$E470,$F$20,O$22,$H470,$F$19)</f>
        <v>0</v>
      </c>
      <c r="P470" s="36">
        <f>_xll.DBRW($E$12,$F$16,$F$17,$F$18,$E470,$F$20,P$22,$H470,$F$19)</f>
        <v>0</v>
      </c>
      <c r="Q470" s="36">
        <f>_xll.DBRW($E$12,$F$16,$F$17,$F$18,$E470,$F$20,Q$22,$H470,$F$19)</f>
        <v>0</v>
      </c>
      <c r="R470" s="36">
        <f>_xll.DBRW($E$12,$F$16,$F$17,$F$18,$E470,$F$20,R$22,$H470,$F$19)</f>
        <v>0</v>
      </c>
      <c r="S470" s="36">
        <f>_xll.DBRW($E$12,$F$16,$F$17,$F$18,$E470,$F$20,S$22,$H470,$F$19)</f>
        <v>0</v>
      </c>
      <c r="T470" s="36">
        <f>_xll.DBRW($E$12,$F$16,$F$17,$F$18,$E470,$F$20,T$22,$H470,$F$19)</f>
        <v>0</v>
      </c>
      <c r="U470" s="36">
        <f>_xll.DBRW($E$12,$F$16,$F$17,$F$18,$E470,$F$20,U$22,$H470,$F$19)</f>
        <v>2428.2800000000002</v>
      </c>
    </row>
    <row r="471" spans="4:21" s="37" customFormat="1" ht="15" outlineLevel="1" thickBot="1" x14ac:dyDescent="0.35">
      <c r="D471" s="33" t="str">
        <f>IF(_xll.TM1RPTELISCONSOLIDATED($H$34,$H471),IF(_xll.TM1RPTELLEV($H$34,$H471)&lt;=5,_xll.TM1RPTELLEV($H$34,$H471),"Default"),"Leaf")</f>
        <v>Leaf</v>
      </c>
      <c r="E471" s="42" t="s">
        <v>688</v>
      </c>
      <c r="F471" s="34" t="str">
        <f>_xll.DBR($B$18,$H471,"Account_Type")</f>
        <v>NON LABOR</v>
      </c>
      <c r="G471" s="34" t="str">
        <f>_xll.DBR($B$18,$H471,"Description")</f>
        <v>Travel &amp; Lodging</v>
      </c>
      <c r="H471" s="43" t="s">
        <v>467</v>
      </c>
      <c r="I471" s="36">
        <f>_xll.DBRW($E$12,$F$16,$F$17,$F$18,$E471,$F$20,I$22,$H471,$F$19)</f>
        <v>10</v>
      </c>
      <c r="J471" s="36">
        <f>_xll.DBRW($E$12,$F$16,$F$17,$F$18,$E471,$F$20,J$22,$H471,$F$19)</f>
        <v>465.54</v>
      </c>
      <c r="K471" s="36">
        <f>_xll.DBRW($E$12,$F$16,$F$17,$F$18,$E471,$F$20,K$22,$H471,$F$19)</f>
        <v>1159.54</v>
      </c>
      <c r="L471" s="36">
        <f>_xll.DBRW($E$12,$F$16,$F$17,$F$18,$E471,$F$20,L$22,$H471,$F$19)</f>
        <v>40</v>
      </c>
      <c r="M471" s="36">
        <f>_xll.DBRW($E$12,$F$16,$F$17,$F$18,$E471,$F$20,M$22,$H471,$F$19)</f>
        <v>1139</v>
      </c>
      <c r="N471" s="36">
        <f>_xll.DBRW($E$12,$F$16,$F$17,$F$18,$E471,$F$20,N$22,$H471,$F$19)</f>
        <v>1208.81</v>
      </c>
      <c r="O471" s="36">
        <f>_xll.DBRW($E$12,$F$16,$F$17,$F$18,$E471,$F$20,O$22,$H471,$F$19)</f>
        <v>0</v>
      </c>
      <c r="P471" s="36">
        <f>_xll.DBRW($E$12,$F$16,$F$17,$F$18,$E471,$F$20,P$22,$H471,$F$19)</f>
        <v>0</v>
      </c>
      <c r="Q471" s="36">
        <f>_xll.DBRW($E$12,$F$16,$F$17,$F$18,$E471,$F$20,Q$22,$H471,$F$19)</f>
        <v>0</v>
      </c>
      <c r="R471" s="36">
        <f>_xll.DBRW($E$12,$F$16,$F$17,$F$18,$E471,$F$20,R$22,$H471,$F$19)</f>
        <v>0</v>
      </c>
      <c r="S471" s="36">
        <f>_xll.DBRW($E$12,$F$16,$F$17,$F$18,$E471,$F$20,S$22,$H471,$F$19)</f>
        <v>0</v>
      </c>
      <c r="T471" s="36">
        <f>_xll.DBRW($E$12,$F$16,$F$17,$F$18,$E471,$F$20,T$22,$H471,$F$19)</f>
        <v>0</v>
      </c>
      <c r="U471" s="36">
        <f>_xll.DBRW($E$12,$F$16,$F$17,$F$18,$E471,$F$20,U$22,$H471,$F$19)</f>
        <v>4022.89</v>
      </c>
    </row>
    <row r="472" spans="4:21" s="37" customFormat="1" ht="15" outlineLevel="1" thickBot="1" x14ac:dyDescent="0.35">
      <c r="D472" s="33" t="str">
        <f>IF(_xll.TM1RPTELISCONSOLIDATED($H$34,$H472),IF(_xll.TM1RPTELLEV($H$34,$H472)&lt;=5,_xll.TM1RPTELLEV($H$34,$H472),"Default"),"Leaf")</f>
        <v>Leaf</v>
      </c>
      <c r="E472" s="42" t="s">
        <v>688</v>
      </c>
      <c r="F472" s="34" t="str">
        <f>_xll.DBR($B$18,$H472,"Account_Type")</f>
        <v>NON LABOR</v>
      </c>
      <c r="G472" s="34" t="str">
        <f>_xll.DBR($B$18,$H472,"Description")</f>
        <v>Travel &amp; Lodging</v>
      </c>
      <c r="H472" s="43" t="s">
        <v>473</v>
      </c>
      <c r="I472" s="36">
        <f>_xll.DBRW($E$12,$F$16,$F$17,$F$18,$E472,$F$20,I$22,$H472,$F$19)</f>
        <v>11</v>
      </c>
      <c r="J472" s="36">
        <f>_xll.DBRW($E$12,$F$16,$F$17,$F$18,$E472,$F$20,J$22,$H472,$F$19)</f>
        <v>818.65</v>
      </c>
      <c r="K472" s="36">
        <f>_xll.DBRW($E$12,$F$16,$F$17,$F$18,$E472,$F$20,K$22,$H472,$F$19)</f>
        <v>0</v>
      </c>
      <c r="L472" s="36">
        <f>_xll.DBRW($E$12,$F$16,$F$17,$F$18,$E472,$F$20,L$22,$H472,$F$19)</f>
        <v>1064.77</v>
      </c>
      <c r="M472" s="36">
        <f>_xll.DBRW($E$12,$F$16,$F$17,$F$18,$E472,$F$20,M$22,$H472,$F$19)</f>
        <v>25</v>
      </c>
      <c r="N472" s="36">
        <f>_xll.DBRW($E$12,$F$16,$F$17,$F$18,$E472,$F$20,N$22,$H472,$F$19)</f>
        <v>247.8</v>
      </c>
      <c r="O472" s="36">
        <f>_xll.DBRW($E$12,$F$16,$F$17,$F$18,$E472,$F$20,O$22,$H472,$F$19)</f>
        <v>0</v>
      </c>
      <c r="P472" s="36">
        <f>_xll.DBRW($E$12,$F$16,$F$17,$F$18,$E472,$F$20,P$22,$H472,$F$19)</f>
        <v>0</v>
      </c>
      <c r="Q472" s="36">
        <f>_xll.DBRW($E$12,$F$16,$F$17,$F$18,$E472,$F$20,Q$22,$H472,$F$19)</f>
        <v>0</v>
      </c>
      <c r="R472" s="36">
        <f>_xll.DBRW($E$12,$F$16,$F$17,$F$18,$E472,$F$20,R$22,$H472,$F$19)</f>
        <v>0</v>
      </c>
      <c r="S472" s="36">
        <f>_xll.DBRW($E$12,$F$16,$F$17,$F$18,$E472,$F$20,S$22,$H472,$F$19)</f>
        <v>0</v>
      </c>
      <c r="T472" s="36">
        <f>_xll.DBRW($E$12,$F$16,$F$17,$F$18,$E472,$F$20,T$22,$H472,$F$19)</f>
        <v>0</v>
      </c>
      <c r="U472" s="36">
        <f>_xll.DBRW($E$12,$F$16,$F$17,$F$18,$E472,$F$20,U$22,$H472,$F$19)</f>
        <v>2167.2200000000003</v>
      </c>
    </row>
    <row r="473" spans="4:21" s="37" customFormat="1" ht="15" outlineLevel="1" thickBot="1" x14ac:dyDescent="0.35">
      <c r="D473" s="33" t="str">
        <f>IF(_xll.TM1RPTELISCONSOLIDATED($H$34,$H473),IF(_xll.TM1RPTELLEV($H$34,$H473)&lt;=5,_xll.TM1RPTELLEV($H$34,$H473),"Default"),"Leaf")</f>
        <v>Leaf</v>
      </c>
      <c r="E473" s="42" t="s">
        <v>688</v>
      </c>
      <c r="F473" s="34" t="str">
        <f>_xll.DBR($B$18,$H473,"Account_Type")</f>
        <v>NON LABOR</v>
      </c>
      <c r="G473" s="34" t="str">
        <f>_xll.DBR($B$18,$H473,"Description")</f>
        <v>Client Development</v>
      </c>
      <c r="H473" s="43" t="s">
        <v>474</v>
      </c>
      <c r="I473" s="36">
        <f>_xll.DBRW($E$12,$F$16,$F$17,$F$18,$E473,$F$20,I$22,$H473,$F$19)</f>
        <v>3995.38</v>
      </c>
      <c r="J473" s="36">
        <f>_xll.DBRW($E$12,$F$16,$F$17,$F$18,$E473,$F$20,J$22,$H473,$F$19)</f>
        <v>2005.05</v>
      </c>
      <c r="K473" s="36">
        <f>_xll.DBRW($E$12,$F$16,$F$17,$F$18,$E473,$F$20,K$22,$H473,$F$19)</f>
        <v>1013.93</v>
      </c>
      <c r="L473" s="36">
        <f>_xll.DBRW($E$12,$F$16,$F$17,$F$18,$E473,$F$20,L$22,$H473,$F$19)</f>
        <v>1430.86</v>
      </c>
      <c r="M473" s="36">
        <f>_xll.DBRW($E$12,$F$16,$F$17,$F$18,$E473,$F$20,M$22,$H473,$F$19)</f>
        <v>2086.36</v>
      </c>
      <c r="N473" s="36">
        <f>_xll.DBRW($E$12,$F$16,$F$17,$F$18,$E473,$F$20,N$22,$H473,$F$19)</f>
        <v>444.39</v>
      </c>
      <c r="O473" s="36">
        <f>_xll.DBRW($E$12,$F$16,$F$17,$F$18,$E473,$F$20,O$22,$H473,$F$19)</f>
        <v>0</v>
      </c>
      <c r="P473" s="36">
        <f>_xll.DBRW($E$12,$F$16,$F$17,$F$18,$E473,$F$20,P$22,$H473,$F$19)</f>
        <v>0</v>
      </c>
      <c r="Q473" s="36">
        <f>_xll.DBRW($E$12,$F$16,$F$17,$F$18,$E473,$F$20,Q$22,$H473,$F$19)</f>
        <v>0</v>
      </c>
      <c r="R473" s="36">
        <f>_xll.DBRW($E$12,$F$16,$F$17,$F$18,$E473,$F$20,R$22,$H473,$F$19)</f>
        <v>0</v>
      </c>
      <c r="S473" s="36">
        <f>_xll.DBRW($E$12,$F$16,$F$17,$F$18,$E473,$F$20,S$22,$H473,$F$19)</f>
        <v>0</v>
      </c>
      <c r="T473" s="36">
        <f>_xll.DBRW($E$12,$F$16,$F$17,$F$18,$E473,$F$20,T$22,$H473,$F$19)</f>
        <v>0</v>
      </c>
      <c r="U473" s="36">
        <f>_xll.DBRW($E$12,$F$16,$F$17,$F$18,$E473,$F$20,U$22,$H473,$F$19)</f>
        <v>10975.970000000001</v>
      </c>
    </row>
    <row r="474" spans="4:21" s="37" customFormat="1" ht="15" outlineLevel="1" thickBot="1" x14ac:dyDescent="0.35">
      <c r="D474" s="33" t="str">
        <f>IF(_xll.TM1RPTELISCONSOLIDATED($H$34,$H474),IF(_xll.TM1RPTELLEV($H$34,$H474)&lt;=5,_xll.TM1RPTELLEV($H$34,$H474),"Default"),"Leaf")</f>
        <v>Leaf</v>
      </c>
      <c r="E474" s="42" t="s">
        <v>688</v>
      </c>
      <c r="F474" s="34" t="str">
        <f>_xll.DBR($B$18,$H474,"Account_Type")</f>
        <v>NON LABOR</v>
      </c>
      <c r="G474" s="34" t="str">
        <f>_xll.DBR($B$18,$H474,"Description")</f>
        <v>Client Development</v>
      </c>
      <c r="H474" s="43" t="s">
        <v>476</v>
      </c>
      <c r="I474" s="36">
        <f>_xll.DBRW($E$12,$F$16,$F$17,$F$18,$E474,$F$20,I$22,$H474,$F$19)</f>
        <v>828.58</v>
      </c>
      <c r="J474" s="36">
        <f>_xll.DBRW($E$12,$F$16,$F$17,$F$18,$E474,$F$20,J$22,$H474,$F$19)</f>
        <v>381.04</v>
      </c>
      <c r="K474" s="36">
        <f>_xll.DBRW($E$12,$F$16,$F$17,$F$18,$E474,$F$20,K$22,$H474,$F$19)</f>
        <v>793.75</v>
      </c>
      <c r="L474" s="36">
        <f>_xll.DBRW($E$12,$F$16,$F$17,$F$18,$E474,$F$20,L$22,$H474,$F$19)</f>
        <v>835.22</v>
      </c>
      <c r="M474" s="36">
        <f>_xll.DBRW($E$12,$F$16,$F$17,$F$18,$E474,$F$20,M$22,$H474,$F$19)</f>
        <v>6204.85</v>
      </c>
      <c r="N474" s="36">
        <f>_xll.DBRW($E$12,$F$16,$F$17,$F$18,$E474,$F$20,N$22,$H474,$F$19)</f>
        <v>0</v>
      </c>
      <c r="O474" s="36">
        <f>_xll.DBRW($E$12,$F$16,$F$17,$F$18,$E474,$F$20,O$22,$H474,$F$19)</f>
        <v>0</v>
      </c>
      <c r="P474" s="36">
        <f>_xll.DBRW($E$12,$F$16,$F$17,$F$18,$E474,$F$20,P$22,$H474,$F$19)</f>
        <v>0</v>
      </c>
      <c r="Q474" s="36">
        <f>_xll.DBRW($E$12,$F$16,$F$17,$F$18,$E474,$F$20,Q$22,$H474,$F$19)</f>
        <v>0</v>
      </c>
      <c r="R474" s="36">
        <f>_xll.DBRW($E$12,$F$16,$F$17,$F$18,$E474,$F$20,R$22,$H474,$F$19)</f>
        <v>0</v>
      </c>
      <c r="S474" s="36">
        <f>_xll.DBRW($E$12,$F$16,$F$17,$F$18,$E474,$F$20,S$22,$H474,$F$19)</f>
        <v>0</v>
      </c>
      <c r="T474" s="36">
        <f>_xll.DBRW($E$12,$F$16,$F$17,$F$18,$E474,$F$20,T$22,$H474,$F$19)</f>
        <v>0</v>
      </c>
      <c r="U474" s="36">
        <f>_xll.DBRW($E$12,$F$16,$F$17,$F$18,$E474,$F$20,U$22,$H474,$F$19)</f>
        <v>9043.44</v>
      </c>
    </row>
    <row r="475" spans="4:21" s="37" customFormat="1" ht="15" outlineLevel="1" thickBot="1" x14ac:dyDescent="0.35">
      <c r="D475" s="33" t="str">
        <f>IF(_xll.TM1RPTELISCONSOLIDATED($H$34,$H475),IF(_xll.TM1RPTELLEV($H$34,$H475)&lt;=5,_xll.TM1RPTELLEV($H$34,$H475),"Default"),"Leaf")</f>
        <v>Leaf</v>
      </c>
      <c r="E475" s="42" t="s">
        <v>688</v>
      </c>
      <c r="F475" s="34" t="str">
        <f>_xll.DBR($B$18,$H475,"Account_Type")</f>
        <v>NON LABOR</v>
      </c>
      <c r="G475" s="34" t="str">
        <f>_xll.DBR($B$18,$H475,"Description")</f>
        <v>Advertising &amp; Promotion</v>
      </c>
      <c r="H475" s="43" t="s">
        <v>478</v>
      </c>
      <c r="I475" s="36">
        <f>_xll.DBRW($E$12,$F$16,$F$17,$F$18,$E475,$F$20,I$22,$H475,$F$19)</f>
        <v>0</v>
      </c>
      <c r="J475" s="36">
        <f>_xll.DBRW($E$12,$F$16,$F$17,$F$18,$E475,$F$20,J$22,$H475,$F$19)</f>
        <v>134.80000000000001</v>
      </c>
      <c r="K475" s="36">
        <f>_xll.DBRW($E$12,$F$16,$F$17,$F$18,$E475,$F$20,K$22,$H475,$F$19)</f>
        <v>0</v>
      </c>
      <c r="L475" s="36">
        <f>_xll.DBRW($E$12,$F$16,$F$17,$F$18,$E475,$F$20,L$22,$H475,$F$19)</f>
        <v>1750</v>
      </c>
      <c r="M475" s="36">
        <f>_xll.DBRW($E$12,$F$16,$F$17,$F$18,$E475,$F$20,M$22,$H475,$F$19)</f>
        <v>0</v>
      </c>
      <c r="N475" s="36">
        <f>_xll.DBRW($E$12,$F$16,$F$17,$F$18,$E475,$F$20,N$22,$H475,$F$19)</f>
        <v>0</v>
      </c>
      <c r="O475" s="36">
        <f>_xll.DBRW($E$12,$F$16,$F$17,$F$18,$E475,$F$20,O$22,$H475,$F$19)</f>
        <v>0</v>
      </c>
      <c r="P475" s="36">
        <f>_xll.DBRW($E$12,$F$16,$F$17,$F$18,$E475,$F$20,P$22,$H475,$F$19)</f>
        <v>0</v>
      </c>
      <c r="Q475" s="36">
        <f>_xll.DBRW($E$12,$F$16,$F$17,$F$18,$E475,$F$20,Q$22,$H475,$F$19)</f>
        <v>0</v>
      </c>
      <c r="R475" s="36">
        <f>_xll.DBRW($E$12,$F$16,$F$17,$F$18,$E475,$F$20,R$22,$H475,$F$19)</f>
        <v>0</v>
      </c>
      <c r="S475" s="36">
        <f>_xll.DBRW($E$12,$F$16,$F$17,$F$18,$E475,$F$20,S$22,$H475,$F$19)</f>
        <v>0</v>
      </c>
      <c r="T475" s="36">
        <f>_xll.DBRW($E$12,$F$16,$F$17,$F$18,$E475,$F$20,T$22,$H475,$F$19)</f>
        <v>0</v>
      </c>
      <c r="U475" s="36">
        <f>_xll.DBRW($E$12,$F$16,$F$17,$F$18,$E475,$F$20,U$22,$H475,$F$19)</f>
        <v>1884.8</v>
      </c>
    </row>
    <row r="476" spans="4:21" s="37" customFormat="1" ht="15" outlineLevel="1" thickBot="1" x14ac:dyDescent="0.35">
      <c r="D476" s="33" t="str">
        <f>IF(_xll.TM1RPTELISCONSOLIDATED($H$34,$H476),IF(_xll.TM1RPTELLEV($H$34,$H476)&lt;=5,_xll.TM1RPTELLEV($H$34,$H476),"Default"),"Leaf")</f>
        <v>Leaf</v>
      </c>
      <c r="E476" s="42" t="s">
        <v>688</v>
      </c>
      <c r="F476" s="34" t="str">
        <f>_xll.DBR($B$18,$H476,"Account_Type")</f>
        <v>NON LABOR</v>
      </c>
      <c r="G476" s="34" t="str">
        <f>_xll.DBR($B$18,$H476,"Description")</f>
        <v>Business Meals &amp; Entertainment</v>
      </c>
      <c r="H476" s="43" t="s">
        <v>484</v>
      </c>
      <c r="I476" s="36">
        <f>_xll.DBRW($E$12,$F$16,$F$17,$F$18,$E476,$F$20,I$22,$H476,$F$19)</f>
        <v>679.59</v>
      </c>
      <c r="J476" s="36">
        <f>_xll.DBRW($E$12,$F$16,$F$17,$F$18,$E476,$F$20,J$22,$H476,$F$19)</f>
        <v>405.05</v>
      </c>
      <c r="K476" s="36">
        <f>_xll.DBRW($E$12,$F$16,$F$17,$F$18,$E476,$F$20,K$22,$H476,$F$19)</f>
        <v>664.57</v>
      </c>
      <c r="L476" s="36">
        <f>_xll.DBRW($E$12,$F$16,$F$17,$F$18,$E476,$F$20,L$22,$H476,$F$19)</f>
        <v>1023.31</v>
      </c>
      <c r="M476" s="36">
        <f>_xll.DBRW($E$12,$F$16,$F$17,$F$18,$E476,$F$20,M$22,$H476,$F$19)</f>
        <v>665.29</v>
      </c>
      <c r="N476" s="36">
        <f>_xll.DBRW($E$12,$F$16,$F$17,$F$18,$E476,$F$20,N$22,$H476,$F$19)</f>
        <v>1591.48</v>
      </c>
      <c r="O476" s="36">
        <f>_xll.DBRW($E$12,$F$16,$F$17,$F$18,$E476,$F$20,O$22,$H476,$F$19)</f>
        <v>240</v>
      </c>
      <c r="P476" s="36">
        <f>_xll.DBRW($E$12,$F$16,$F$17,$F$18,$E476,$F$20,P$22,$H476,$F$19)</f>
        <v>0</v>
      </c>
      <c r="Q476" s="36">
        <f>_xll.DBRW($E$12,$F$16,$F$17,$F$18,$E476,$F$20,Q$22,$H476,$F$19)</f>
        <v>0</v>
      </c>
      <c r="R476" s="36">
        <f>_xll.DBRW($E$12,$F$16,$F$17,$F$18,$E476,$F$20,R$22,$H476,$F$19)</f>
        <v>0</v>
      </c>
      <c r="S476" s="36">
        <f>_xll.DBRW($E$12,$F$16,$F$17,$F$18,$E476,$F$20,S$22,$H476,$F$19)</f>
        <v>0</v>
      </c>
      <c r="T476" s="36">
        <f>_xll.DBRW($E$12,$F$16,$F$17,$F$18,$E476,$F$20,T$22,$H476,$F$19)</f>
        <v>0</v>
      </c>
      <c r="U476" s="36">
        <f>_xll.DBRW($E$12,$F$16,$F$17,$F$18,$E476,$F$20,U$22,$H476,$F$19)</f>
        <v>5269.29</v>
      </c>
    </row>
    <row r="477" spans="4:21" s="37" customFormat="1" ht="15" outlineLevel="1" thickBot="1" x14ac:dyDescent="0.35">
      <c r="D477" s="33" t="str">
        <f>IF(_xll.TM1RPTELISCONSOLIDATED($H$34,$H477),IF(_xll.TM1RPTELLEV($H$34,$H477)&lt;=5,_xll.TM1RPTELLEV($H$34,$H477),"Default"),"Leaf")</f>
        <v>Leaf</v>
      </c>
      <c r="E477" s="42" t="s">
        <v>688</v>
      </c>
      <c r="F477" s="34" t="str">
        <f>_xll.DBR($B$18,$H477,"Account_Type")</f>
        <v>NON LABOR</v>
      </c>
      <c r="G477" s="34" t="str">
        <f>_xll.DBR($B$18,$H477,"Description")</f>
        <v>Business Meals &amp; Entertainment</v>
      </c>
      <c r="H477" s="43" t="s">
        <v>485</v>
      </c>
      <c r="I477" s="36">
        <f>_xll.DBRW($E$12,$F$16,$F$17,$F$18,$E477,$F$20,I$22,$H477,$F$19)</f>
        <v>1270.3399999999999</v>
      </c>
      <c r="J477" s="36">
        <f>_xll.DBRW($E$12,$F$16,$F$17,$F$18,$E477,$F$20,J$22,$H477,$F$19)</f>
        <v>1144.51</v>
      </c>
      <c r="K477" s="36">
        <f>_xll.DBRW($E$12,$F$16,$F$17,$F$18,$E477,$F$20,K$22,$H477,$F$19)</f>
        <v>781.21</v>
      </c>
      <c r="L477" s="36">
        <f>_xll.DBRW($E$12,$F$16,$F$17,$F$18,$E477,$F$20,L$22,$H477,$F$19)</f>
        <v>984.95</v>
      </c>
      <c r="M477" s="36">
        <f>_xll.DBRW($E$12,$F$16,$F$17,$F$18,$E477,$F$20,M$22,$H477,$F$19)</f>
        <v>442.82</v>
      </c>
      <c r="N477" s="36">
        <f>_xll.DBRW($E$12,$F$16,$F$17,$F$18,$E477,$F$20,N$22,$H477,$F$19)</f>
        <v>91.47</v>
      </c>
      <c r="O477" s="36">
        <f>_xll.DBRW($E$12,$F$16,$F$17,$F$18,$E477,$F$20,O$22,$H477,$F$19)</f>
        <v>0</v>
      </c>
      <c r="P477" s="36">
        <f>_xll.DBRW($E$12,$F$16,$F$17,$F$18,$E477,$F$20,P$22,$H477,$F$19)</f>
        <v>0</v>
      </c>
      <c r="Q477" s="36">
        <f>_xll.DBRW($E$12,$F$16,$F$17,$F$18,$E477,$F$20,Q$22,$H477,$F$19)</f>
        <v>0</v>
      </c>
      <c r="R477" s="36">
        <f>_xll.DBRW($E$12,$F$16,$F$17,$F$18,$E477,$F$20,R$22,$H477,$F$19)</f>
        <v>0</v>
      </c>
      <c r="S477" s="36">
        <f>_xll.DBRW($E$12,$F$16,$F$17,$F$18,$E477,$F$20,S$22,$H477,$F$19)</f>
        <v>0</v>
      </c>
      <c r="T477" s="36">
        <f>_xll.DBRW($E$12,$F$16,$F$17,$F$18,$E477,$F$20,T$22,$H477,$F$19)</f>
        <v>0</v>
      </c>
      <c r="U477" s="36">
        <f>_xll.DBRW($E$12,$F$16,$F$17,$F$18,$E477,$F$20,U$22,$H477,$F$19)</f>
        <v>4715.3</v>
      </c>
    </row>
    <row r="478" spans="4:21" s="37" customFormat="1" ht="15" outlineLevel="1" thickBot="1" x14ac:dyDescent="0.35">
      <c r="D478" s="33" t="str">
        <f>IF(_xll.TM1RPTELISCONSOLIDATED($H$34,$H478),IF(_xll.TM1RPTELLEV($H$34,$H478)&lt;=5,_xll.TM1RPTELLEV($H$34,$H478),"Default"),"Leaf")</f>
        <v>Leaf</v>
      </c>
      <c r="E478" s="42" t="s">
        <v>688</v>
      </c>
      <c r="F478" s="34" t="str">
        <f>_xll.DBR($B$18,$H478,"Account_Type")</f>
        <v>NON LABOR</v>
      </c>
      <c r="G478" s="34" t="str">
        <f>_xll.DBR($B$18,$H478,"Description")</f>
        <v>Business Meals &amp; Entertainment</v>
      </c>
      <c r="H478" s="43" t="s">
        <v>495</v>
      </c>
      <c r="I478" s="36">
        <f>_xll.DBRW($E$12,$F$16,$F$17,$F$18,$E478,$F$20,I$22,$H478,$F$19)</f>
        <v>124.44</v>
      </c>
      <c r="J478" s="36">
        <f>_xll.DBRW($E$12,$F$16,$F$17,$F$18,$E478,$F$20,J$22,$H478,$F$19)</f>
        <v>867.19</v>
      </c>
      <c r="K478" s="36">
        <f>_xll.DBRW($E$12,$F$16,$F$17,$F$18,$E478,$F$20,K$22,$H478,$F$19)</f>
        <v>95.03</v>
      </c>
      <c r="L478" s="36">
        <f>_xll.DBRW($E$12,$F$16,$F$17,$F$18,$E478,$F$20,L$22,$H478,$F$19)</f>
        <v>251.36</v>
      </c>
      <c r="M478" s="36">
        <f>_xll.DBRW($E$12,$F$16,$F$17,$F$18,$E478,$F$20,M$22,$H478,$F$19)</f>
        <v>128.75</v>
      </c>
      <c r="N478" s="36">
        <f>_xll.DBRW($E$12,$F$16,$F$17,$F$18,$E478,$F$20,N$22,$H478,$F$19)</f>
        <v>163.77000000000001</v>
      </c>
      <c r="O478" s="36">
        <f>_xll.DBRW($E$12,$F$16,$F$17,$F$18,$E478,$F$20,O$22,$H478,$F$19)</f>
        <v>0</v>
      </c>
      <c r="P478" s="36">
        <f>_xll.DBRW($E$12,$F$16,$F$17,$F$18,$E478,$F$20,P$22,$H478,$F$19)</f>
        <v>0</v>
      </c>
      <c r="Q478" s="36">
        <f>_xll.DBRW($E$12,$F$16,$F$17,$F$18,$E478,$F$20,Q$22,$H478,$F$19)</f>
        <v>0</v>
      </c>
      <c r="R478" s="36">
        <f>_xll.DBRW($E$12,$F$16,$F$17,$F$18,$E478,$F$20,R$22,$H478,$F$19)</f>
        <v>0</v>
      </c>
      <c r="S478" s="36">
        <f>_xll.DBRW($E$12,$F$16,$F$17,$F$18,$E478,$F$20,S$22,$H478,$F$19)</f>
        <v>0</v>
      </c>
      <c r="T478" s="36">
        <f>_xll.DBRW($E$12,$F$16,$F$17,$F$18,$E478,$F$20,T$22,$H478,$F$19)</f>
        <v>0</v>
      </c>
      <c r="U478" s="36">
        <f>_xll.DBRW($E$12,$F$16,$F$17,$F$18,$E478,$F$20,U$22,$H478,$F$19)</f>
        <v>1630.54</v>
      </c>
    </row>
    <row r="479" spans="4:21" s="37" customFormat="1" ht="15" outlineLevel="1" thickBot="1" x14ac:dyDescent="0.35">
      <c r="D479" s="33" t="str">
        <f>IF(_xll.TM1RPTELISCONSOLIDATED($H$34,$H479),IF(_xll.TM1RPTELLEV($H$34,$H479)&lt;=5,_xll.TM1RPTELLEV($H$34,$H479),"Default"),"Leaf")</f>
        <v>Leaf</v>
      </c>
      <c r="E479" s="42" t="s">
        <v>688</v>
      </c>
      <c r="F479" s="34" t="str">
        <f>_xll.DBR($B$18,$H479,"Account_Type")</f>
        <v>NON LABOR</v>
      </c>
      <c r="G479" s="34" t="str">
        <f>_xll.DBR($B$18,$H479,"Description")</f>
        <v>Business Meals &amp; Entertainment</v>
      </c>
      <c r="H479" s="43" t="s">
        <v>496</v>
      </c>
      <c r="I479" s="36">
        <f>_xll.DBRW($E$12,$F$16,$F$17,$F$18,$E479,$F$20,I$22,$H479,$F$19)</f>
        <v>542.14</v>
      </c>
      <c r="J479" s="36">
        <f>_xll.DBRW($E$12,$F$16,$F$17,$F$18,$E479,$F$20,J$22,$H479,$F$19)</f>
        <v>1443.4</v>
      </c>
      <c r="K479" s="36">
        <f>_xll.DBRW($E$12,$F$16,$F$17,$F$18,$E479,$F$20,K$22,$H479,$F$19)</f>
        <v>143.59</v>
      </c>
      <c r="L479" s="36">
        <f>_xll.DBRW($E$12,$F$16,$F$17,$F$18,$E479,$F$20,L$22,$H479,$F$19)</f>
        <v>848.03</v>
      </c>
      <c r="M479" s="36">
        <f>_xll.DBRW($E$12,$F$16,$F$17,$F$18,$E479,$F$20,M$22,$H479,$F$19)</f>
        <v>2585.0500000000002</v>
      </c>
      <c r="N479" s="36">
        <f>_xll.DBRW($E$12,$F$16,$F$17,$F$18,$E479,$F$20,N$22,$H479,$F$19)</f>
        <v>432.08</v>
      </c>
      <c r="O479" s="36">
        <f>_xll.DBRW($E$12,$F$16,$F$17,$F$18,$E479,$F$20,O$22,$H479,$F$19)</f>
        <v>0</v>
      </c>
      <c r="P479" s="36">
        <f>_xll.DBRW($E$12,$F$16,$F$17,$F$18,$E479,$F$20,P$22,$H479,$F$19)</f>
        <v>0</v>
      </c>
      <c r="Q479" s="36">
        <f>_xll.DBRW($E$12,$F$16,$F$17,$F$18,$E479,$F$20,Q$22,$H479,$F$19)</f>
        <v>0</v>
      </c>
      <c r="R479" s="36">
        <f>_xll.DBRW($E$12,$F$16,$F$17,$F$18,$E479,$F$20,R$22,$H479,$F$19)</f>
        <v>0</v>
      </c>
      <c r="S479" s="36">
        <f>_xll.DBRW($E$12,$F$16,$F$17,$F$18,$E479,$F$20,S$22,$H479,$F$19)</f>
        <v>0</v>
      </c>
      <c r="T479" s="36">
        <f>_xll.DBRW($E$12,$F$16,$F$17,$F$18,$E479,$F$20,T$22,$H479,$F$19)</f>
        <v>0</v>
      </c>
      <c r="U479" s="36">
        <f>_xll.DBRW($E$12,$F$16,$F$17,$F$18,$E479,$F$20,U$22,$H479,$F$19)</f>
        <v>5994.29</v>
      </c>
    </row>
    <row r="480" spans="4:21" s="37" customFormat="1" ht="15" outlineLevel="1" thickBot="1" x14ac:dyDescent="0.35">
      <c r="D480" s="33" t="str">
        <f>IF(_xll.TM1RPTELISCONSOLIDATED($H$34,$H480),IF(_xll.TM1RPTELLEV($H$34,$H480)&lt;=5,_xll.TM1RPTELLEV($H$34,$H480),"Default"),"Leaf")</f>
        <v>Leaf</v>
      </c>
      <c r="E480" s="42" t="s">
        <v>688</v>
      </c>
      <c r="F480" s="34" t="str">
        <f>_xll.DBR($B$18,$H480,"Account_Type")</f>
        <v>NON LABOR</v>
      </c>
      <c r="G480" s="34" t="str">
        <f>_xll.DBR($B$18,$H480,"Description")</f>
        <v>Telecommunications / Internet</v>
      </c>
      <c r="H480" s="43" t="s">
        <v>504</v>
      </c>
      <c r="I480" s="36">
        <f>_xll.DBRW($E$12,$F$16,$F$17,$F$18,$E480,$F$20,I$22,$H480,$F$19)</f>
        <v>145.6</v>
      </c>
      <c r="J480" s="36">
        <f>_xll.DBRW($E$12,$F$16,$F$17,$F$18,$E480,$F$20,J$22,$H480,$F$19)</f>
        <v>111.21</v>
      </c>
      <c r="K480" s="36">
        <f>_xll.DBRW($E$12,$F$16,$F$17,$F$18,$E480,$F$20,K$22,$H480,$F$19)</f>
        <v>145.58000000000001</v>
      </c>
      <c r="L480" s="36">
        <f>_xll.DBRW($E$12,$F$16,$F$17,$F$18,$E480,$F$20,L$22,$H480,$F$19)</f>
        <v>111.21</v>
      </c>
      <c r="M480" s="36">
        <f>_xll.DBRW($E$12,$F$16,$F$17,$F$18,$E480,$F$20,M$22,$H480,$F$19)</f>
        <v>81.92</v>
      </c>
      <c r="N480" s="36">
        <f>_xll.DBRW($E$12,$F$16,$F$17,$F$18,$E480,$F$20,N$22,$H480,$F$19)</f>
        <v>81.92</v>
      </c>
      <c r="O480" s="36">
        <f>_xll.DBRW($E$12,$F$16,$F$17,$F$18,$E480,$F$20,O$22,$H480,$F$19)</f>
        <v>50</v>
      </c>
      <c r="P480" s="36">
        <f>_xll.DBRW($E$12,$F$16,$F$17,$F$18,$E480,$F$20,P$22,$H480,$F$19)</f>
        <v>0</v>
      </c>
      <c r="Q480" s="36">
        <f>_xll.DBRW($E$12,$F$16,$F$17,$F$18,$E480,$F$20,Q$22,$H480,$F$19)</f>
        <v>0</v>
      </c>
      <c r="R480" s="36">
        <f>_xll.DBRW($E$12,$F$16,$F$17,$F$18,$E480,$F$20,R$22,$H480,$F$19)</f>
        <v>0</v>
      </c>
      <c r="S480" s="36">
        <f>_xll.DBRW($E$12,$F$16,$F$17,$F$18,$E480,$F$20,S$22,$H480,$F$19)</f>
        <v>0</v>
      </c>
      <c r="T480" s="36">
        <f>_xll.DBRW($E$12,$F$16,$F$17,$F$18,$E480,$F$20,T$22,$H480,$F$19)</f>
        <v>0</v>
      </c>
      <c r="U480" s="36">
        <f>_xll.DBRW($E$12,$F$16,$F$17,$F$18,$E480,$F$20,U$22,$H480,$F$19)</f>
        <v>727.43999999999994</v>
      </c>
    </row>
    <row r="481" spans="4:21" s="37" customFormat="1" ht="15" outlineLevel="1" thickBot="1" x14ac:dyDescent="0.35">
      <c r="D481" s="33" t="str">
        <f>IF(_xll.TM1RPTELISCONSOLIDATED($H$34,$H481),IF(_xll.TM1RPTELLEV($H$34,$H481)&lt;=5,_xll.TM1RPTELLEV($H$34,$H481),"Default"),"Leaf")</f>
        <v>Leaf</v>
      </c>
      <c r="E481" s="42" t="s">
        <v>688</v>
      </c>
      <c r="F481" s="34" t="str">
        <f>_xll.DBR($B$18,$H481,"Account_Type")</f>
        <v>NON LABOR</v>
      </c>
      <c r="G481" s="34" t="str">
        <f>_xll.DBR($B$18,$H481,"Description")</f>
        <v>Telecommunications / Internet</v>
      </c>
      <c r="H481" s="43" t="s">
        <v>515</v>
      </c>
      <c r="I481" s="36">
        <f>_xll.DBRW($E$12,$F$16,$F$17,$F$18,$E481,$F$20,I$22,$H481,$F$19)</f>
        <v>56.95</v>
      </c>
      <c r="J481" s="36">
        <f>_xll.DBRW($E$12,$F$16,$F$17,$F$18,$E481,$F$20,J$22,$H481,$F$19)</f>
        <v>0</v>
      </c>
      <c r="K481" s="36">
        <f>_xll.DBRW($E$12,$F$16,$F$17,$F$18,$E481,$F$20,K$22,$H481,$F$19)</f>
        <v>0</v>
      </c>
      <c r="L481" s="36">
        <f>_xll.DBRW($E$12,$F$16,$F$17,$F$18,$E481,$F$20,L$22,$H481,$F$19)</f>
        <v>0</v>
      </c>
      <c r="M481" s="36">
        <f>_xll.DBRW($E$12,$F$16,$F$17,$F$18,$E481,$F$20,M$22,$H481,$F$19)</f>
        <v>0</v>
      </c>
      <c r="N481" s="36">
        <f>_xll.DBRW($E$12,$F$16,$F$17,$F$18,$E481,$F$20,N$22,$H481,$F$19)</f>
        <v>0</v>
      </c>
      <c r="O481" s="36">
        <f>_xll.DBRW($E$12,$F$16,$F$17,$F$18,$E481,$F$20,O$22,$H481,$F$19)</f>
        <v>0</v>
      </c>
      <c r="P481" s="36">
        <f>_xll.DBRW($E$12,$F$16,$F$17,$F$18,$E481,$F$20,P$22,$H481,$F$19)</f>
        <v>0</v>
      </c>
      <c r="Q481" s="36">
        <f>_xll.DBRW($E$12,$F$16,$F$17,$F$18,$E481,$F$20,Q$22,$H481,$F$19)</f>
        <v>0</v>
      </c>
      <c r="R481" s="36">
        <f>_xll.DBRW($E$12,$F$16,$F$17,$F$18,$E481,$F$20,R$22,$H481,$F$19)</f>
        <v>0</v>
      </c>
      <c r="S481" s="36">
        <f>_xll.DBRW($E$12,$F$16,$F$17,$F$18,$E481,$F$20,S$22,$H481,$F$19)</f>
        <v>0</v>
      </c>
      <c r="T481" s="36">
        <f>_xll.DBRW($E$12,$F$16,$F$17,$F$18,$E481,$F$20,T$22,$H481,$F$19)</f>
        <v>0</v>
      </c>
      <c r="U481" s="36">
        <f>_xll.DBRW($E$12,$F$16,$F$17,$F$18,$E481,$F$20,U$22,$H481,$F$19)</f>
        <v>56.95</v>
      </c>
    </row>
    <row r="482" spans="4:21" s="37" customFormat="1" ht="15" outlineLevel="1" thickBot="1" x14ac:dyDescent="0.35">
      <c r="D482" s="33" t="str">
        <f>IF(_xll.TM1RPTELISCONSOLIDATED($H$34,$H482),IF(_xll.TM1RPTELLEV($H$34,$H482)&lt;=5,_xll.TM1RPTELLEV($H$34,$H482),"Default"),"Leaf")</f>
        <v>Leaf</v>
      </c>
      <c r="E482" s="42" t="s">
        <v>688</v>
      </c>
      <c r="F482" s="34" t="str">
        <f>_xll.DBR($B$18,$H482,"Account_Type")</f>
        <v>NON LABOR</v>
      </c>
      <c r="G482" s="34" t="str">
        <f>_xll.DBR($B$18,$H482,"Description")</f>
        <v>Office/Computer Supplies &amp; Eqpt</v>
      </c>
      <c r="H482" s="43" t="s">
        <v>531</v>
      </c>
      <c r="I482" s="36">
        <f>_xll.DBRW($E$12,$F$16,$F$17,$F$18,$E482,$F$20,I$22,$H482,$F$19)</f>
        <v>3835.7</v>
      </c>
      <c r="J482" s="36">
        <f>_xll.DBRW($E$12,$F$16,$F$17,$F$18,$E482,$F$20,J$22,$H482,$F$19)</f>
        <v>4145.7</v>
      </c>
      <c r="K482" s="36">
        <f>_xll.DBRW($E$12,$F$16,$F$17,$F$18,$E482,$F$20,K$22,$H482,$F$19)</f>
        <v>3835.7</v>
      </c>
      <c r="L482" s="36">
        <f>_xll.DBRW($E$12,$F$16,$F$17,$F$18,$E482,$F$20,L$22,$H482,$F$19)</f>
        <v>0</v>
      </c>
      <c r="M482" s="36">
        <f>_xll.DBRW($E$12,$F$16,$F$17,$F$18,$E482,$F$20,M$22,$H482,$F$19)</f>
        <v>4106.1400000000003</v>
      </c>
      <c r="N482" s="36">
        <f>_xll.DBRW($E$12,$F$16,$F$17,$F$18,$E482,$F$20,N$22,$H482,$F$19)</f>
        <v>2053.0700000000002</v>
      </c>
      <c r="O482" s="36">
        <f>_xll.DBRW($E$12,$F$16,$F$17,$F$18,$E482,$F$20,O$22,$H482,$F$19)</f>
        <v>0</v>
      </c>
      <c r="P482" s="36">
        <f>_xll.DBRW($E$12,$F$16,$F$17,$F$18,$E482,$F$20,P$22,$H482,$F$19)</f>
        <v>0</v>
      </c>
      <c r="Q482" s="36">
        <f>_xll.DBRW($E$12,$F$16,$F$17,$F$18,$E482,$F$20,Q$22,$H482,$F$19)</f>
        <v>0</v>
      </c>
      <c r="R482" s="36">
        <f>_xll.DBRW($E$12,$F$16,$F$17,$F$18,$E482,$F$20,R$22,$H482,$F$19)</f>
        <v>0</v>
      </c>
      <c r="S482" s="36">
        <f>_xll.DBRW($E$12,$F$16,$F$17,$F$18,$E482,$F$20,S$22,$H482,$F$19)</f>
        <v>0</v>
      </c>
      <c r="T482" s="36">
        <f>_xll.DBRW($E$12,$F$16,$F$17,$F$18,$E482,$F$20,T$22,$H482,$F$19)</f>
        <v>0</v>
      </c>
      <c r="U482" s="36">
        <f>_xll.DBRW($E$12,$F$16,$F$17,$F$18,$E482,$F$20,U$22,$H482,$F$19)</f>
        <v>17976.309999999998</v>
      </c>
    </row>
    <row r="483" spans="4:21" s="37" customFormat="1" ht="15" outlineLevel="1" thickBot="1" x14ac:dyDescent="0.35">
      <c r="D483" s="33" t="str">
        <f>IF(_xll.TM1RPTELISCONSOLIDATED($H$34,$H483),IF(_xll.TM1RPTELLEV($H$34,$H483)&lt;=5,_xll.TM1RPTELLEV($H$34,$H483),"Default"),"Leaf")</f>
        <v>Leaf</v>
      </c>
      <c r="E483" s="42" t="s">
        <v>688</v>
      </c>
      <c r="F483" s="34" t="str">
        <f>_xll.DBR($B$18,$H483,"Account_Type")</f>
        <v>NON LABOR</v>
      </c>
      <c r="G483" s="34" t="str">
        <f>_xll.DBR($B$18,$H483,"Description")</f>
        <v>Office/Computer Supplies &amp; Eqpt</v>
      </c>
      <c r="H483" s="43" t="s">
        <v>543</v>
      </c>
      <c r="I483" s="36">
        <f>_xll.DBRW($E$12,$F$16,$F$17,$F$18,$E483,$F$20,I$22,$H483,$F$19)</f>
        <v>0</v>
      </c>
      <c r="J483" s="36">
        <f>_xll.DBRW($E$12,$F$16,$F$17,$F$18,$E483,$F$20,J$22,$H483,$F$19)</f>
        <v>0</v>
      </c>
      <c r="K483" s="36">
        <f>_xll.DBRW($E$12,$F$16,$F$17,$F$18,$E483,$F$20,K$22,$H483,$F$19)</f>
        <v>0</v>
      </c>
      <c r="L483" s="36">
        <f>_xll.DBRW($E$12,$F$16,$F$17,$F$18,$E483,$F$20,L$22,$H483,$F$19)</f>
        <v>53.04</v>
      </c>
      <c r="M483" s="36">
        <f>_xll.DBRW($E$12,$F$16,$F$17,$F$18,$E483,$F$20,M$22,$H483,$F$19)</f>
        <v>0</v>
      </c>
      <c r="N483" s="36">
        <f>_xll.DBRW($E$12,$F$16,$F$17,$F$18,$E483,$F$20,N$22,$H483,$F$19)</f>
        <v>0</v>
      </c>
      <c r="O483" s="36">
        <f>_xll.DBRW($E$12,$F$16,$F$17,$F$18,$E483,$F$20,O$22,$H483,$F$19)</f>
        <v>0</v>
      </c>
      <c r="P483" s="36">
        <f>_xll.DBRW($E$12,$F$16,$F$17,$F$18,$E483,$F$20,P$22,$H483,$F$19)</f>
        <v>0</v>
      </c>
      <c r="Q483" s="36">
        <f>_xll.DBRW($E$12,$F$16,$F$17,$F$18,$E483,$F$20,Q$22,$H483,$F$19)</f>
        <v>0</v>
      </c>
      <c r="R483" s="36">
        <f>_xll.DBRW($E$12,$F$16,$F$17,$F$18,$E483,$F$20,R$22,$H483,$F$19)</f>
        <v>0</v>
      </c>
      <c r="S483" s="36">
        <f>_xll.DBRW($E$12,$F$16,$F$17,$F$18,$E483,$F$20,S$22,$H483,$F$19)</f>
        <v>0</v>
      </c>
      <c r="T483" s="36">
        <f>_xll.DBRW($E$12,$F$16,$F$17,$F$18,$E483,$F$20,T$22,$H483,$F$19)</f>
        <v>0</v>
      </c>
      <c r="U483" s="36">
        <f>_xll.DBRW($E$12,$F$16,$F$17,$F$18,$E483,$F$20,U$22,$H483,$F$19)</f>
        <v>53.04</v>
      </c>
    </row>
    <row r="484" spans="4:21" s="37" customFormat="1" ht="15" outlineLevel="1" thickBot="1" x14ac:dyDescent="0.35">
      <c r="D484" s="33" t="str">
        <f>IF(_xll.TM1RPTELISCONSOLIDATED($H$34,$H484),IF(_xll.TM1RPTELLEV($H$34,$H484)&lt;=5,_xll.TM1RPTELLEV($H$34,$H484),"Default"),"Leaf")</f>
        <v>Leaf</v>
      </c>
      <c r="E484" s="42" t="s">
        <v>688</v>
      </c>
      <c r="F484" s="34" t="str">
        <f>_xll.DBR($B$18,$H484,"Account_Type")</f>
        <v>NON LABOR</v>
      </c>
      <c r="G484" s="34" t="str">
        <f>_xll.DBR($B$18,$H484,"Description")</f>
        <v>Education/Training/Dues/Subscriptions</v>
      </c>
      <c r="H484" s="43" t="s">
        <v>569</v>
      </c>
      <c r="I484" s="36">
        <f>_xll.DBRW($E$12,$F$16,$F$17,$F$18,$E484,$F$20,I$22,$H484,$F$19)</f>
        <v>10127.91</v>
      </c>
      <c r="J484" s="36">
        <f>_xll.DBRW($E$12,$F$16,$F$17,$F$18,$E484,$F$20,J$22,$H484,$F$19)</f>
        <v>4768.96</v>
      </c>
      <c r="K484" s="36">
        <f>_xll.DBRW($E$12,$F$16,$F$17,$F$18,$E484,$F$20,K$22,$H484,$F$19)</f>
        <v>37043</v>
      </c>
      <c r="L484" s="36">
        <f>_xll.DBRW($E$12,$F$16,$F$17,$F$18,$E484,$F$20,L$22,$H484,$F$19)</f>
        <v>3797.92</v>
      </c>
      <c r="M484" s="36">
        <f>_xll.DBRW($E$12,$F$16,$F$17,$F$18,$E484,$F$20,M$22,$H484,$F$19)</f>
        <v>3697.92</v>
      </c>
      <c r="N484" s="36">
        <f>_xll.DBRW($E$12,$F$16,$F$17,$F$18,$E484,$F$20,N$22,$H484,$F$19)</f>
        <v>4696.3599999999997</v>
      </c>
      <c r="O484" s="36">
        <f>_xll.DBRW($E$12,$F$16,$F$17,$F$18,$E484,$F$20,O$22,$H484,$F$19)</f>
        <v>0</v>
      </c>
      <c r="P484" s="36">
        <f>_xll.DBRW($E$12,$F$16,$F$17,$F$18,$E484,$F$20,P$22,$H484,$F$19)</f>
        <v>0</v>
      </c>
      <c r="Q484" s="36">
        <f>_xll.DBRW($E$12,$F$16,$F$17,$F$18,$E484,$F$20,Q$22,$H484,$F$19)</f>
        <v>0</v>
      </c>
      <c r="R484" s="36">
        <f>_xll.DBRW($E$12,$F$16,$F$17,$F$18,$E484,$F$20,R$22,$H484,$F$19)</f>
        <v>0</v>
      </c>
      <c r="S484" s="36">
        <f>_xll.DBRW($E$12,$F$16,$F$17,$F$18,$E484,$F$20,S$22,$H484,$F$19)</f>
        <v>0</v>
      </c>
      <c r="T484" s="36">
        <f>_xll.DBRW($E$12,$F$16,$F$17,$F$18,$E484,$F$20,T$22,$H484,$F$19)</f>
        <v>0</v>
      </c>
      <c r="U484" s="36">
        <f>_xll.DBRW($E$12,$F$16,$F$17,$F$18,$E484,$F$20,U$22,$H484,$F$19)</f>
        <v>64132.069999999992</v>
      </c>
    </row>
    <row r="485" spans="4:21" s="37" customFormat="1" ht="15" outlineLevel="1" thickBot="1" x14ac:dyDescent="0.35">
      <c r="D485" s="33" t="str">
        <f>IF(_xll.TM1RPTELISCONSOLIDATED($H$34,$H485),IF(_xll.TM1RPTELLEV($H$34,$H485)&lt;=5,_xll.TM1RPTELLEV($H$34,$H485),"Default"),"Leaf")</f>
        <v>Leaf</v>
      </c>
      <c r="E485" s="42" t="s">
        <v>688</v>
      </c>
      <c r="F485" s="34" t="str">
        <f>_xll.DBR($B$18,$H485,"Account_Type")</f>
        <v>NON LABOR</v>
      </c>
      <c r="G485" s="34" t="str">
        <f>_xll.DBR($B$18,$H485,"Description")</f>
        <v>Education/Training/Dues/Subscriptions</v>
      </c>
      <c r="H485" s="43" t="s">
        <v>575</v>
      </c>
      <c r="I485" s="36">
        <f>_xll.DBRW($E$12,$F$16,$F$17,$F$18,$E485,$F$20,I$22,$H485,$F$19)</f>
        <v>0</v>
      </c>
      <c r="J485" s="36">
        <f>_xll.DBRW($E$12,$F$16,$F$17,$F$18,$E485,$F$20,J$22,$H485,$F$19)</f>
        <v>0</v>
      </c>
      <c r="K485" s="36">
        <f>_xll.DBRW($E$12,$F$16,$F$17,$F$18,$E485,$F$20,K$22,$H485,$F$19)</f>
        <v>0</v>
      </c>
      <c r="L485" s="36">
        <f>_xll.DBRW($E$12,$F$16,$F$17,$F$18,$E485,$F$20,L$22,$H485,$F$19)</f>
        <v>0</v>
      </c>
      <c r="M485" s="36">
        <f>_xll.DBRW($E$12,$F$16,$F$17,$F$18,$E485,$F$20,M$22,$H485,$F$19)</f>
        <v>0</v>
      </c>
      <c r="N485" s="36">
        <f>_xll.DBRW($E$12,$F$16,$F$17,$F$18,$E485,$F$20,N$22,$H485,$F$19)</f>
        <v>21.28</v>
      </c>
      <c r="O485" s="36">
        <f>_xll.DBRW($E$12,$F$16,$F$17,$F$18,$E485,$F$20,O$22,$H485,$F$19)</f>
        <v>0</v>
      </c>
      <c r="P485" s="36">
        <f>_xll.DBRW($E$12,$F$16,$F$17,$F$18,$E485,$F$20,P$22,$H485,$F$19)</f>
        <v>0</v>
      </c>
      <c r="Q485" s="36">
        <f>_xll.DBRW($E$12,$F$16,$F$17,$F$18,$E485,$F$20,Q$22,$H485,$F$19)</f>
        <v>0</v>
      </c>
      <c r="R485" s="36">
        <f>_xll.DBRW($E$12,$F$16,$F$17,$F$18,$E485,$F$20,R$22,$H485,$F$19)</f>
        <v>0</v>
      </c>
      <c r="S485" s="36">
        <f>_xll.DBRW($E$12,$F$16,$F$17,$F$18,$E485,$F$20,S$22,$H485,$F$19)</f>
        <v>0</v>
      </c>
      <c r="T485" s="36">
        <f>_xll.DBRW($E$12,$F$16,$F$17,$F$18,$E485,$F$20,T$22,$H485,$F$19)</f>
        <v>0</v>
      </c>
      <c r="U485" s="36">
        <f>_xll.DBRW($E$12,$F$16,$F$17,$F$18,$E485,$F$20,U$22,$H485,$F$19)</f>
        <v>21.28</v>
      </c>
    </row>
    <row r="486" spans="4:21" s="37" customFormat="1" ht="15" outlineLevel="1" thickBot="1" x14ac:dyDescent="0.35">
      <c r="D486" s="33" t="str">
        <f>IF(_xll.TM1RPTELISCONSOLIDATED($H$34,$H486),IF(_xll.TM1RPTELLEV($H$34,$H486)&lt;=5,_xll.TM1RPTELLEV($H$34,$H486),"Default"),"Leaf")</f>
        <v>Leaf</v>
      </c>
      <c r="E486" s="42" t="s">
        <v>688</v>
      </c>
      <c r="F486" s="34" t="str">
        <f>_xll.DBR($B$18,$H486,"Account_Type")</f>
        <v>NON LABOR</v>
      </c>
      <c r="G486" s="34" t="str">
        <f>_xll.DBR($B$18,$H486,"Description")</f>
        <v>Professional Services / Consultants</v>
      </c>
      <c r="H486" s="43" t="s">
        <v>598</v>
      </c>
      <c r="I486" s="36">
        <f>_xll.DBRW($E$12,$F$16,$F$17,$F$18,$E486,$F$20,I$22,$H486,$F$19)</f>
        <v>0</v>
      </c>
      <c r="J486" s="36">
        <f>_xll.DBRW($E$12,$F$16,$F$17,$F$18,$E486,$F$20,J$22,$H486,$F$19)</f>
        <v>0</v>
      </c>
      <c r="K486" s="36">
        <f>_xll.DBRW($E$12,$F$16,$F$17,$F$18,$E486,$F$20,K$22,$H486,$F$19)</f>
        <v>3102.5</v>
      </c>
      <c r="L486" s="36">
        <f>_xll.DBRW($E$12,$F$16,$F$17,$F$18,$E486,$F$20,L$22,$H486,$F$19)</f>
        <v>0</v>
      </c>
      <c r="M486" s="36">
        <f>_xll.DBRW($E$12,$F$16,$F$17,$F$18,$E486,$F$20,M$22,$H486,$F$19)</f>
        <v>0</v>
      </c>
      <c r="N486" s="36">
        <f>_xll.DBRW($E$12,$F$16,$F$17,$F$18,$E486,$F$20,N$22,$H486,$F$19)</f>
        <v>20359.580000000002</v>
      </c>
      <c r="O486" s="36">
        <f>_xll.DBRW($E$12,$F$16,$F$17,$F$18,$E486,$F$20,O$22,$H486,$F$19)</f>
        <v>-3430.21</v>
      </c>
      <c r="P486" s="36">
        <f>_xll.DBRW($E$12,$F$16,$F$17,$F$18,$E486,$F$20,P$22,$H486,$F$19)</f>
        <v>0</v>
      </c>
      <c r="Q486" s="36">
        <f>_xll.DBRW($E$12,$F$16,$F$17,$F$18,$E486,$F$20,Q$22,$H486,$F$19)</f>
        <v>0</v>
      </c>
      <c r="R486" s="36">
        <f>_xll.DBRW($E$12,$F$16,$F$17,$F$18,$E486,$F$20,R$22,$H486,$F$19)</f>
        <v>0</v>
      </c>
      <c r="S486" s="36">
        <f>_xll.DBRW($E$12,$F$16,$F$17,$F$18,$E486,$F$20,S$22,$H486,$F$19)</f>
        <v>0</v>
      </c>
      <c r="T486" s="36">
        <f>_xll.DBRW($E$12,$F$16,$F$17,$F$18,$E486,$F$20,T$22,$H486,$F$19)</f>
        <v>0</v>
      </c>
      <c r="U486" s="36">
        <f>_xll.DBRW($E$12,$F$16,$F$17,$F$18,$E486,$F$20,U$22,$H486,$F$19)</f>
        <v>20031.870000000003</v>
      </c>
    </row>
    <row r="487" spans="4:21" s="37" customFormat="1" ht="15" outlineLevel="1" thickBot="1" x14ac:dyDescent="0.35">
      <c r="D487" s="33" t="str">
        <f>IF(_xll.TM1RPTELISCONSOLIDATED($H$34,$H487),IF(_xll.TM1RPTELLEV($H$34,$H487)&lt;=5,_xll.TM1RPTELLEV($H$34,$H487),"Default"),"Leaf")</f>
        <v>Leaf</v>
      </c>
      <c r="E487" s="42" t="s">
        <v>688</v>
      </c>
      <c r="F487" s="34" t="str">
        <f>_xll.DBR($B$18,$H487,"Account_Type")</f>
        <v>NON LABOR</v>
      </c>
      <c r="G487" s="34" t="str">
        <f>_xll.DBR($B$18,$H487,"Description")</f>
        <v>Employee Leased Vehicles</v>
      </c>
      <c r="H487" s="43" t="s">
        <v>632</v>
      </c>
      <c r="I487" s="36">
        <f>_xll.DBRW($E$12,$F$16,$F$17,$F$18,$E487,$F$20,I$22,$H487,$F$19)</f>
        <v>1600</v>
      </c>
      <c r="J487" s="36">
        <f>_xll.DBRW($E$12,$F$16,$F$17,$F$18,$E487,$F$20,J$22,$H487,$F$19)</f>
        <v>2400</v>
      </c>
      <c r="K487" s="36">
        <f>_xll.DBRW($E$12,$F$16,$F$17,$F$18,$E487,$F$20,K$22,$H487,$F$19)</f>
        <v>1600</v>
      </c>
      <c r="L487" s="36">
        <f>_xll.DBRW($E$12,$F$16,$F$17,$F$18,$E487,$F$20,L$22,$H487,$F$19)</f>
        <v>1600</v>
      </c>
      <c r="M487" s="36">
        <f>_xll.DBRW($E$12,$F$16,$F$17,$F$18,$E487,$F$20,M$22,$H487,$F$19)</f>
        <v>1754.84</v>
      </c>
      <c r="N487" s="36">
        <f>_xll.DBRW($E$12,$F$16,$F$17,$F$18,$E487,$F$20,N$22,$H487,$F$19)</f>
        <v>1950</v>
      </c>
      <c r="O487" s="36">
        <f>_xll.DBRW($E$12,$F$16,$F$17,$F$18,$E487,$F$20,O$22,$H487,$F$19)</f>
        <v>1950</v>
      </c>
      <c r="P487" s="36">
        <f>_xll.DBRW($E$12,$F$16,$F$17,$F$18,$E487,$F$20,P$22,$H487,$F$19)</f>
        <v>0</v>
      </c>
      <c r="Q487" s="36">
        <f>_xll.DBRW($E$12,$F$16,$F$17,$F$18,$E487,$F$20,Q$22,$H487,$F$19)</f>
        <v>0</v>
      </c>
      <c r="R487" s="36">
        <f>_xll.DBRW($E$12,$F$16,$F$17,$F$18,$E487,$F$20,R$22,$H487,$F$19)</f>
        <v>0</v>
      </c>
      <c r="S487" s="36">
        <f>_xll.DBRW($E$12,$F$16,$F$17,$F$18,$E487,$F$20,S$22,$H487,$F$19)</f>
        <v>0</v>
      </c>
      <c r="T487" s="36">
        <f>_xll.DBRW($E$12,$F$16,$F$17,$F$18,$E487,$F$20,T$22,$H487,$F$19)</f>
        <v>0</v>
      </c>
      <c r="U487" s="36">
        <f>_xll.DBRW($E$12,$F$16,$F$17,$F$18,$E487,$F$20,U$22,$H487,$F$19)</f>
        <v>12854.84</v>
      </c>
    </row>
    <row r="488" spans="4:21" s="37" customFormat="1" ht="15" outlineLevel="1" thickBot="1" x14ac:dyDescent="0.35">
      <c r="D488" s="33" t="str">
        <f>IF(_xll.TM1RPTELISCONSOLIDATED($H$34,$H488),IF(_xll.TM1RPTELLEV($H$34,$H488)&lt;=5,_xll.TM1RPTELLEV($H$34,$H488),"Default"),"Leaf")</f>
        <v>Leaf</v>
      </c>
      <c r="E488" s="42" t="s">
        <v>688</v>
      </c>
      <c r="F488" s="34" t="str">
        <f>_xll.DBR($B$18,$H488,"Account_Type")</f>
        <v>NON LABOR</v>
      </c>
      <c r="G488" s="34" t="str">
        <f>_xll.DBR($B$18,$H488,"Description")</f>
        <v>Employee Leased Vehicles</v>
      </c>
      <c r="H488" s="43" t="s">
        <v>639</v>
      </c>
      <c r="I488" s="36">
        <f>_xll.DBRW($E$12,$F$16,$F$17,$F$18,$E488,$F$20,I$22,$H488,$F$19)</f>
        <v>1150</v>
      </c>
      <c r="J488" s="36">
        <f>_xll.DBRW($E$12,$F$16,$F$17,$F$18,$E488,$F$20,J$22,$H488,$F$19)</f>
        <v>1150</v>
      </c>
      <c r="K488" s="36">
        <f>_xll.DBRW($E$12,$F$16,$F$17,$F$18,$E488,$F$20,K$22,$H488,$F$19)</f>
        <v>1150</v>
      </c>
      <c r="L488" s="36">
        <f>_xll.DBRW($E$12,$F$16,$F$17,$F$18,$E488,$F$20,L$22,$H488,$F$19)</f>
        <v>1150</v>
      </c>
      <c r="M488" s="36">
        <f>_xll.DBRW($E$12,$F$16,$F$17,$F$18,$E488,$F$20,M$22,$H488,$F$19)</f>
        <v>1150</v>
      </c>
      <c r="N488" s="36">
        <f>_xll.DBRW($E$12,$F$16,$F$17,$F$18,$E488,$F$20,N$22,$H488,$F$19)</f>
        <v>0</v>
      </c>
      <c r="O488" s="36">
        <f>_xll.DBRW($E$12,$F$16,$F$17,$F$18,$E488,$F$20,O$22,$H488,$F$19)</f>
        <v>0</v>
      </c>
      <c r="P488" s="36">
        <f>_xll.DBRW($E$12,$F$16,$F$17,$F$18,$E488,$F$20,P$22,$H488,$F$19)</f>
        <v>0</v>
      </c>
      <c r="Q488" s="36">
        <f>_xll.DBRW($E$12,$F$16,$F$17,$F$18,$E488,$F$20,Q$22,$H488,$F$19)</f>
        <v>0</v>
      </c>
      <c r="R488" s="36">
        <f>_xll.DBRW($E$12,$F$16,$F$17,$F$18,$E488,$F$20,R$22,$H488,$F$19)</f>
        <v>0</v>
      </c>
      <c r="S488" s="36">
        <f>_xll.DBRW($E$12,$F$16,$F$17,$F$18,$E488,$F$20,S$22,$H488,$F$19)</f>
        <v>0</v>
      </c>
      <c r="T488" s="36">
        <f>_xll.DBRW($E$12,$F$16,$F$17,$F$18,$E488,$F$20,T$22,$H488,$F$19)</f>
        <v>0</v>
      </c>
      <c r="U488" s="36">
        <f>_xll.DBRW($E$12,$F$16,$F$17,$F$18,$E488,$F$20,U$22,$H488,$F$19)</f>
        <v>5750</v>
      </c>
    </row>
    <row r="489" spans="4:21" s="37" customFormat="1" ht="15" outlineLevel="1" thickBot="1" x14ac:dyDescent="0.35">
      <c r="D489" s="33" t="str">
        <f>IF(_xll.TM1RPTELISCONSOLIDATED($H$34,$H489),IF(_xll.TM1RPTELLEV($H$34,$H489)&lt;=5,_xll.TM1RPTELLEV($H$34,$H489),"Default"),"Leaf")</f>
        <v>Leaf</v>
      </c>
      <c r="E489" s="42" t="s">
        <v>688</v>
      </c>
      <c r="F489" s="34" t="str">
        <f>_xll.DBR($B$18,$H489,"Account_Type")</f>
        <v>NON LABOR</v>
      </c>
      <c r="G489" s="34" t="str">
        <f>_xll.DBR($B$18,$H489,"Description")</f>
        <v>Fuel to Leased Vehicles</v>
      </c>
      <c r="H489" s="43" t="s">
        <v>643</v>
      </c>
      <c r="I489" s="36">
        <f>_xll.DBRW($E$12,$F$16,$F$17,$F$18,$E489,$F$20,I$22,$H489,$F$19)</f>
        <v>297.83</v>
      </c>
      <c r="J489" s="36">
        <f>_xll.DBRW($E$12,$F$16,$F$17,$F$18,$E489,$F$20,J$22,$H489,$F$19)</f>
        <v>485.9</v>
      </c>
      <c r="K489" s="36">
        <f>_xll.DBRW($E$12,$F$16,$F$17,$F$18,$E489,$F$20,K$22,$H489,$F$19)</f>
        <v>297.22000000000003</v>
      </c>
      <c r="L489" s="36">
        <f>_xll.DBRW($E$12,$F$16,$F$17,$F$18,$E489,$F$20,L$22,$H489,$F$19)</f>
        <v>544.52</v>
      </c>
      <c r="M489" s="36">
        <f>_xll.DBRW($E$12,$F$16,$F$17,$F$18,$E489,$F$20,M$22,$H489,$F$19)</f>
        <v>367.51</v>
      </c>
      <c r="N489" s="36">
        <f>_xll.DBRW($E$12,$F$16,$F$17,$F$18,$E489,$F$20,N$22,$H489,$F$19)</f>
        <v>0</v>
      </c>
      <c r="O489" s="36">
        <f>_xll.DBRW($E$12,$F$16,$F$17,$F$18,$E489,$F$20,O$22,$H489,$F$19)</f>
        <v>0</v>
      </c>
      <c r="P489" s="36">
        <f>_xll.DBRW($E$12,$F$16,$F$17,$F$18,$E489,$F$20,P$22,$H489,$F$19)</f>
        <v>0</v>
      </c>
      <c r="Q489" s="36">
        <f>_xll.DBRW($E$12,$F$16,$F$17,$F$18,$E489,$F$20,Q$22,$H489,$F$19)</f>
        <v>0</v>
      </c>
      <c r="R489" s="36">
        <f>_xll.DBRW($E$12,$F$16,$F$17,$F$18,$E489,$F$20,R$22,$H489,$F$19)</f>
        <v>0</v>
      </c>
      <c r="S489" s="36">
        <f>_xll.DBRW($E$12,$F$16,$F$17,$F$18,$E489,$F$20,S$22,$H489,$F$19)</f>
        <v>0</v>
      </c>
      <c r="T489" s="36">
        <f>_xll.DBRW($E$12,$F$16,$F$17,$F$18,$E489,$F$20,T$22,$H489,$F$19)</f>
        <v>0</v>
      </c>
      <c r="U489" s="36">
        <f>_xll.DBRW($E$12,$F$16,$F$17,$F$18,$E489,$F$20,U$22,$H489,$F$19)</f>
        <v>1992.98</v>
      </c>
    </row>
    <row r="490" spans="4:21" s="37" customFormat="1" ht="15" outlineLevel="1" thickBot="1" x14ac:dyDescent="0.35">
      <c r="D490" s="33" t="str">
        <f>IF(_xll.TM1RPTELISCONSOLIDATED($H$34,$H490),IF(_xll.TM1RPTELLEV($H$34,$H490)&lt;=5,_xll.TM1RPTELLEV($H$34,$H490),"Default"),"Leaf")</f>
        <v>Leaf</v>
      </c>
      <c r="E490" s="42" t="s">
        <v>688</v>
      </c>
      <c r="F490" s="34" t="str">
        <f>_xll.DBR($B$18,$H490,"Account_Type")</f>
        <v>NON LABOR</v>
      </c>
      <c r="G490" s="34" t="str">
        <f>_xll.DBR($B$18,$H490,"Description")</f>
        <v>Fuel to Company Owned Equipment</v>
      </c>
      <c r="H490" s="43" t="s">
        <v>655</v>
      </c>
      <c r="I490" s="36">
        <f>_xll.DBRW($E$12,$F$16,$F$17,$F$18,$E490,$F$20,I$22,$H490,$F$19)</f>
        <v>518.25</v>
      </c>
      <c r="J490" s="36">
        <f>_xll.DBRW($E$12,$F$16,$F$17,$F$18,$E490,$F$20,J$22,$H490,$F$19)</f>
        <v>507.38</v>
      </c>
      <c r="K490" s="36">
        <f>_xll.DBRW($E$12,$F$16,$F$17,$F$18,$E490,$F$20,K$22,$H490,$F$19)</f>
        <v>367.96</v>
      </c>
      <c r="L490" s="36">
        <f>_xll.DBRW($E$12,$F$16,$F$17,$F$18,$E490,$F$20,L$22,$H490,$F$19)</f>
        <v>457.99</v>
      </c>
      <c r="M490" s="36">
        <f>_xll.DBRW($E$12,$F$16,$F$17,$F$18,$E490,$F$20,M$22,$H490,$F$19)</f>
        <v>811.67</v>
      </c>
      <c r="N490" s="36">
        <f>_xll.DBRW($E$12,$F$16,$F$17,$F$18,$E490,$F$20,N$22,$H490,$F$19)</f>
        <v>529.15</v>
      </c>
      <c r="O490" s="36">
        <f>_xll.DBRW($E$12,$F$16,$F$17,$F$18,$E490,$F$20,O$22,$H490,$F$19)</f>
        <v>269.32</v>
      </c>
      <c r="P490" s="36">
        <f>_xll.DBRW($E$12,$F$16,$F$17,$F$18,$E490,$F$20,P$22,$H490,$F$19)</f>
        <v>0</v>
      </c>
      <c r="Q490" s="36">
        <f>_xll.DBRW($E$12,$F$16,$F$17,$F$18,$E490,$F$20,Q$22,$H490,$F$19)</f>
        <v>0</v>
      </c>
      <c r="R490" s="36">
        <f>_xll.DBRW($E$12,$F$16,$F$17,$F$18,$E490,$F$20,R$22,$H490,$F$19)</f>
        <v>0</v>
      </c>
      <c r="S490" s="36">
        <f>_xll.DBRW($E$12,$F$16,$F$17,$F$18,$E490,$F$20,S$22,$H490,$F$19)</f>
        <v>0</v>
      </c>
      <c r="T490" s="36">
        <f>_xll.DBRW($E$12,$F$16,$F$17,$F$18,$E490,$F$20,T$22,$H490,$F$19)</f>
        <v>0</v>
      </c>
      <c r="U490" s="36">
        <f>_xll.DBRW($E$12,$F$16,$F$17,$F$18,$E490,$F$20,U$22,$H490,$F$19)</f>
        <v>3461.7200000000003</v>
      </c>
    </row>
    <row r="491" spans="4:21" s="37" customFormat="1" ht="15" outlineLevel="1" thickBot="1" x14ac:dyDescent="0.35">
      <c r="D491" s="33" t="str">
        <f>IF(_xll.TM1RPTELISCONSOLIDATED($H$34,$H491),IF(_xll.TM1RPTELLEV($H$34,$H491)&lt;=5,_xll.TM1RPTELLEV($H$34,$H491),"Default"),"Leaf")</f>
        <v>Leaf</v>
      </c>
      <c r="E491" s="42" t="s">
        <v>688</v>
      </c>
      <c r="F491" s="34" t="str">
        <f>_xll.DBR($B$18,$H491,"Account_Type")</f>
        <v>NON LABOR</v>
      </c>
      <c r="G491" s="34" t="str">
        <f>_xll.DBR($B$18,$H491,"Description")</f>
        <v>Sponsorships/Contributions</v>
      </c>
      <c r="H491" s="43" t="s">
        <v>659</v>
      </c>
      <c r="I491" s="36">
        <f>_xll.DBRW($E$12,$F$16,$F$17,$F$18,$E491,$F$20,I$22,$H491,$F$19)</f>
        <v>0</v>
      </c>
      <c r="J491" s="36">
        <f>_xll.DBRW($E$12,$F$16,$F$17,$F$18,$E491,$F$20,J$22,$H491,$F$19)</f>
        <v>18500</v>
      </c>
      <c r="K491" s="36">
        <f>_xll.DBRW($E$12,$F$16,$F$17,$F$18,$E491,$F$20,K$22,$H491,$F$19)</f>
        <v>554.09</v>
      </c>
      <c r="L491" s="36">
        <f>_xll.DBRW($E$12,$F$16,$F$17,$F$18,$E491,$F$20,L$22,$H491,$F$19)</f>
        <v>0</v>
      </c>
      <c r="M491" s="36">
        <f>_xll.DBRW($E$12,$F$16,$F$17,$F$18,$E491,$F$20,M$22,$H491,$F$19)</f>
        <v>513.11</v>
      </c>
      <c r="N491" s="36">
        <f>_xll.DBRW($E$12,$F$16,$F$17,$F$18,$E491,$F$20,N$22,$H491,$F$19)</f>
        <v>0</v>
      </c>
      <c r="O491" s="36">
        <f>_xll.DBRW($E$12,$F$16,$F$17,$F$18,$E491,$F$20,O$22,$H491,$F$19)</f>
        <v>0</v>
      </c>
      <c r="P491" s="36">
        <f>_xll.DBRW($E$12,$F$16,$F$17,$F$18,$E491,$F$20,P$22,$H491,$F$19)</f>
        <v>0</v>
      </c>
      <c r="Q491" s="36">
        <f>_xll.DBRW($E$12,$F$16,$F$17,$F$18,$E491,$F$20,Q$22,$H491,$F$19)</f>
        <v>0</v>
      </c>
      <c r="R491" s="36">
        <f>_xll.DBRW($E$12,$F$16,$F$17,$F$18,$E491,$F$20,R$22,$H491,$F$19)</f>
        <v>0</v>
      </c>
      <c r="S491" s="36">
        <f>_xll.DBRW($E$12,$F$16,$F$17,$F$18,$E491,$F$20,S$22,$H491,$F$19)</f>
        <v>0</v>
      </c>
      <c r="T491" s="36">
        <f>_xll.DBRW($E$12,$F$16,$F$17,$F$18,$E491,$F$20,T$22,$H491,$F$19)</f>
        <v>0</v>
      </c>
      <c r="U491" s="36">
        <f>_xll.DBRW($E$12,$F$16,$F$17,$F$18,$E491,$F$20,U$22,$H491,$F$19)</f>
        <v>19567.2</v>
      </c>
    </row>
    <row r="492" spans="4:21" s="37" customFormat="1" ht="15" outlineLevel="1" thickBot="1" x14ac:dyDescent="0.35">
      <c r="D492" s="33" t="str">
        <f>IF(_xll.TM1RPTELISCONSOLIDATED($H$34,$H492),IF(_xll.TM1RPTELLEV($H$34,$H492)&lt;=5,_xll.TM1RPTELLEV($H$34,$H492),"Default"),"Leaf")</f>
        <v>Leaf</v>
      </c>
      <c r="E492" s="42" t="s">
        <v>688</v>
      </c>
      <c r="F492" s="34" t="str">
        <f>_xll.DBR($B$18,$H492,"Account_Type")</f>
        <v>NON LABOR</v>
      </c>
      <c r="G492" s="34" t="str">
        <f>_xll.DBR($B$18,$H492,"Description")</f>
        <v>Sponsorships/Contributions</v>
      </c>
      <c r="H492" s="43" t="s">
        <v>660</v>
      </c>
      <c r="I492" s="36">
        <f>_xll.DBRW($E$12,$F$16,$F$17,$F$18,$E492,$F$20,I$22,$H492,$F$19)</f>
        <v>0</v>
      </c>
      <c r="J492" s="36">
        <f>_xll.DBRW($E$12,$F$16,$F$17,$F$18,$E492,$F$20,J$22,$H492,$F$19)</f>
        <v>0</v>
      </c>
      <c r="K492" s="36">
        <f>_xll.DBRW($E$12,$F$16,$F$17,$F$18,$E492,$F$20,K$22,$H492,$F$19)</f>
        <v>0</v>
      </c>
      <c r="L492" s="36">
        <f>_xll.DBRW($E$12,$F$16,$F$17,$F$18,$E492,$F$20,L$22,$H492,$F$19)</f>
        <v>0</v>
      </c>
      <c r="M492" s="36">
        <f>_xll.DBRW($E$12,$F$16,$F$17,$F$18,$E492,$F$20,M$22,$H492,$F$19)</f>
        <v>0</v>
      </c>
      <c r="N492" s="36">
        <f>_xll.DBRW($E$12,$F$16,$F$17,$F$18,$E492,$F$20,N$22,$H492,$F$19)</f>
        <v>2820.07</v>
      </c>
      <c r="O492" s="36">
        <f>_xll.DBRW($E$12,$F$16,$F$17,$F$18,$E492,$F$20,O$22,$H492,$F$19)</f>
        <v>0</v>
      </c>
      <c r="P492" s="36">
        <f>_xll.DBRW($E$12,$F$16,$F$17,$F$18,$E492,$F$20,P$22,$H492,$F$19)</f>
        <v>0</v>
      </c>
      <c r="Q492" s="36">
        <f>_xll.DBRW($E$12,$F$16,$F$17,$F$18,$E492,$F$20,Q$22,$H492,$F$19)</f>
        <v>0</v>
      </c>
      <c r="R492" s="36">
        <f>_xll.DBRW($E$12,$F$16,$F$17,$F$18,$E492,$F$20,R$22,$H492,$F$19)</f>
        <v>0</v>
      </c>
      <c r="S492" s="36">
        <f>_xll.DBRW($E$12,$F$16,$F$17,$F$18,$E492,$F$20,S$22,$H492,$F$19)</f>
        <v>0</v>
      </c>
      <c r="T492" s="36">
        <f>_xll.DBRW($E$12,$F$16,$F$17,$F$18,$E492,$F$20,T$22,$H492,$F$19)</f>
        <v>0</v>
      </c>
      <c r="U492" s="36">
        <f>_xll.DBRW($E$12,$F$16,$F$17,$F$18,$E492,$F$20,U$22,$H492,$F$19)</f>
        <v>2820.07</v>
      </c>
    </row>
    <row r="493" spans="4:21" s="37" customFormat="1" ht="15" outlineLevel="1" thickBot="1" x14ac:dyDescent="0.35">
      <c r="D493" s="33" t="str">
        <f>IF(_xll.TM1RPTELISCONSOLIDATED($H$34,$H493),IF(_xll.TM1RPTELLEV($H$34,$H493)&lt;=5,_xll.TM1RPTELLEV($H$34,$H493),"Default"),"Leaf")</f>
        <v>Leaf</v>
      </c>
      <c r="E493" s="42" t="s">
        <v>688</v>
      </c>
      <c r="F493" s="34" t="str">
        <f>_xll.DBR($B$18,$H493,"Account_Type")</f>
        <v>NON LABOR</v>
      </c>
      <c r="G493" s="34" t="str">
        <f>_xll.DBR($B$18,$H493,"Description")</f>
        <v>Miscellaneous Expense</v>
      </c>
      <c r="H493" s="43" t="s">
        <v>663</v>
      </c>
      <c r="I493" s="36">
        <f>_xll.DBRW($E$12,$F$16,$F$17,$F$18,$E493,$F$20,I$22,$H493,$F$19)</f>
        <v>0</v>
      </c>
      <c r="J493" s="36">
        <f>_xll.DBRW($E$12,$F$16,$F$17,$F$18,$E493,$F$20,J$22,$H493,$F$19)</f>
        <v>0</v>
      </c>
      <c r="K493" s="36">
        <f>_xll.DBRW($E$12,$F$16,$F$17,$F$18,$E493,$F$20,K$22,$H493,$F$19)</f>
        <v>0</v>
      </c>
      <c r="L493" s="36">
        <f>_xll.DBRW($E$12,$F$16,$F$17,$F$18,$E493,$F$20,L$22,$H493,$F$19)</f>
        <v>18.95</v>
      </c>
      <c r="M493" s="36">
        <f>_xll.DBRW($E$12,$F$16,$F$17,$F$18,$E493,$F$20,M$22,$H493,$F$19)</f>
        <v>0</v>
      </c>
      <c r="N493" s="36">
        <f>_xll.DBRW($E$12,$F$16,$F$17,$F$18,$E493,$F$20,N$22,$H493,$F$19)</f>
        <v>0</v>
      </c>
      <c r="O493" s="36">
        <f>_xll.DBRW($E$12,$F$16,$F$17,$F$18,$E493,$F$20,O$22,$H493,$F$19)</f>
        <v>0</v>
      </c>
      <c r="P493" s="36">
        <f>_xll.DBRW($E$12,$F$16,$F$17,$F$18,$E493,$F$20,P$22,$H493,$F$19)</f>
        <v>0</v>
      </c>
      <c r="Q493" s="36">
        <f>_xll.DBRW($E$12,$F$16,$F$17,$F$18,$E493,$F$20,Q$22,$H493,$F$19)</f>
        <v>0</v>
      </c>
      <c r="R493" s="36">
        <f>_xll.DBRW($E$12,$F$16,$F$17,$F$18,$E493,$F$20,R$22,$H493,$F$19)</f>
        <v>0</v>
      </c>
      <c r="S493" s="36">
        <f>_xll.DBRW($E$12,$F$16,$F$17,$F$18,$E493,$F$20,S$22,$H493,$F$19)</f>
        <v>0</v>
      </c>
      <c r="T493" s="36">
        <f>_xll.DBRW($E$12,$F$16,$F$17,$F$18,$E493,$F$20,T$22,$H493,$F$19)</f>
        <v>0</v>
      </c>
      <c r="U493" s="36">
        <f>_xll.DBRW($E$12,$F$16,$F$17,$F$18,$E493,$F$20,U$22,$H493,$F$19)</f>
        <v>18.95</v>
      </c>
    </row>
    <row r="494" spans="4:21" s="37" customFormat="1" ht="15" outlineLevel="1" thickBot="1" x14ac:dyDescent="0.35">
      <c r="D494" s="33" t="str">
        <f>IF(_xll.TM1RPTELISCONSOLIDATED($H$34,$H494),IF(_xll.TM1RPTELLEV($H$34,$H494)&lt;=5,_xll.TM1RPTELLEV($H$34,$H494),"Default"),"Leaf")</f>
        <v>Leaf</v>
      </c>
      <c r="E494" s="42" t="s">
        <v>689</v>
      </c>
      <c r="F494" s="34" t="str">
        <f>_xll.DBR($B$18,$H494,"Account_Type")</f>
        <v>NON LABOR</v>
      </c>
      <c r="G494" s="34" t="str">
        <f>_xll.DBR($B$18,$H494,"Description")</f>
        <v>Telecommunications / Internet</v>
      </c>
      <c r="H494" s="43" t="s">
        <v>132</v>
      </c>
      <c r="I494" s="36">
        <f>_xll.DBRW($E$12,$F$16,$F$17,$F$18,$E494,$F$20,I$22,$H494,$F$19)</f>
        <v>996.54</v>
      </c>
      <c r="J494" s="36">
        <f>_xll.DBRW($E$12,$F$16,$F$17,$F$18,$E494,$F$20,J$22,$H494,$F$19)</f>
        <v>378.28</v>
      </c>
      <c r="K494" s="36">
        <f>_xll.DBRW($E$12,$F$16,$F$17,$F$18,$E494,$F$20,K$22,$H494,$F$19)</f>
        <v>394.95</v>
      </c>
      <c r="L494" s="36">
        <f>_xll.DBRW($E$12,$F$16,$F$17,$F$18,$E494,$F$20,L$22,$H494,$F$19)</f>
        <v>378.22</v>
      </c>
      <c r="M494" s="36">
        <f>_xll.DBRW($E$12,$F$16,$F$17,$F$18,$E494,$F$20,M$22,$H494,$F$19)</f>
        <v>378.18</v>
      </c>
      <c r="N494" s="36">
        <f>_xll.DBRW($E$12,$F$16,$F$17,$F$18,$E494,$F$20,N$22,$H494,$F$19)</f>
        <v>392.52</v>
      </c>
      <c r="O494" s="36">
        <f>_xll.DBRW($E$12,$F$16,$F$17,$F$18,$E494,$F$20,O$22,$H494,$F$19)</f>
        <v>0</v>
      </c>
      <c r="P494" s="36">
        <f>_xll.DBRW($E$12,$F$16,$F$17,$F$18,$E494,$F$20,P$22,$H494,$F$19)</f>
        <v>0</v>
      </c>
      <c r="Q494" s="36">
        <f>_xll.DBRW($E$12,$F$16,$F$17,$F$18,$E494,$F$20,Q$22,$H494,$F$19)</f>
        <v>0</v>
      </c>
      <c r="R494" s="36">
        <f>_xll.DBRW($E$12,$F$16,$F$17,$F$18,$E494,$F$20,R$22,$H494,$F$19)</f>
        <v>0</v>
      </c>
      <c r="S494" s="36">
        <f>_xll.DBRW($E$12,$F$16,$F$17,$F$18,$E494,$F$20,S$22,$H494,$F$19)</f>
        <v>0</v>
      </c>
      <c r="T494" s="36">
        <f>_xll.DBRW($E$12,$F$16,$F$17,$F$18,$E494,$F$20,T$22,$H494,$F$19)</f>
        <v>0</v>
      </c>
      <c r="U494" s="36">
        <f>_xll.DBRW($E$12,$F$16,$F$17,$F$18,$E494,$F$20,U$22,$H494,$F$19)</f>
        <v>2918.6899999999996</v>
      </c>
    </row>
    <row r="495" spans="4:21" s="37" customFormat="1" ht="15" outlineLevel="1" thickBot="1" x14ac:dyDescent="0.35">
      <c r="D495" s="33" t="str">
        <f>IF(_xll.TM1RPTELISCONSOLIDATED($H$34,$H495),IF(_xll.TM1RPTELLEV($H$34,$H495)&lt;=5,_xll.TM1RPTELLEV($H$34,$H495),"Default"),"Leaf")</f>
        <v>Leaf</v>
      </c>
      <c r="E495" s="42" t="s">
        <v>689</v>
      </c>
      <c r="F495" s="34" t="str">
        <f>_xll.DBR($B$18,$H495,"Account_Type")</f>
        <v>NON LABOR</v>
      </c>
      <c r="G495" s="34" t="str">
        <f>_xll.DBR($B$18,$H495,"Description")</f>
        <v>Office/Computer Supplies &amp; Eqpt</v>
      </c>
      <c r="H495" s="43" t="s">
        <v>151</v>
      </c>
      <c r="I495" s="36">
        <f>_xll.DBRW($E$12,$F$16,$F$17,$F$18,$E495,$F$20,I$22,$H495,$F$19)</f>
        <v>171.87</v>
      </c>
      <c r="J495" s="36">
        <f>_xll.DBRW($E$12,$F$16,$F$17,$F$18,$E495,$F$20,J$22,$H495,$F$19)</f>
        <v>171.87</v>
      </c>
      <c r="K495" s="36">
        <f>_xll.DBRW($E$12,$F$16,$F$17,$F$18,$E495,$F$20,K$22,$H495,$F$19)</f>
        <v>171.87</v>
      </c>
      <c r="L495" s="36">
        <f>_xll.DBRW($E$12,$F$16,$F$17,$F$18,$E495,$F$20,L$22,$H495,$F$19)</f>
        <v>171.87</v>
      </c>
      <c r="M495" s="36">
        <f>_xll.DBRW($E$12,$F$16,$F$17,$F$18,$E495,$F$20,M$22,$H495,$F$19)</f>
        <v>305.14999999999998</v>
      </c>
      <c r="N495" s="36">
        <f>_xll.DBRW($E$12,$F$16,$F$17,$F$18,$E495,$F$20,N$22,$H495,$F$19)</f>
        <v>343.74</v>
      </c>
      <c r="O495" s="36">
        <f>_xll.DBRW($E$12,$F$16,$F$17,$F$18,$E495,$F$20,O$22,$H495,$F$19)</f>
        <v>0</v>
      </c>
      <c r="P495" s="36">
        <f>_xll.DBRW($E$12,$F$16,$F$17,$F$18,$E495,$F$20,P$22,$H495,$F$19)</f>
        <v>0</v>
      </c>
      <c r="Q495" s="36">
        <f>_xll.DBRW($E$12,$F$16,$F$17,$F$18,$E495,$F$20,Q$22,$H495,$F$19)</f>
        <v>0</v>
      </c>
      <c r="R495" s="36">
        <f>_xll.DBRW($E$12,$F$16,$F$17,$F$18,$E495,$F$20,R$22,$H495,$F$19)</f>
        <v>0</v>
      </c>
      <c r="S495" s="36">
        <f>_xll.DBRW($E$12,$F$16,$F$17,$F$18,$E495,$F$20,S$22,$H495,$F$19)</f>
        <v>0</v>
      </c>
      <c r="T495" s="36">
        <f>_xll.DBRW($E$12,$F$16,$F$17,$F$18,$E495,$F$20,T$22,$H495,$F$19)</f>
        <v>0</v>
      </c>
      <c r="U495" s="36">
        <f>_xll.DBRW($E$12,$F$16,$F$17,$F$18,$E495,$F$20,U$22,$H495,$F$19)</f>
        <v>1336.37</v>
      </c>
    </row>
    <row r="496" spans="4:21" s="37" customFormat="1" ht="15" outlineLevel="1" thickBot="1" x14ac:dyDescent="0.35">
      <c r="D496" s="33" t="str">
        <f>IF(_xll.TM1RPTELISCONSOLIDATED($H$34,$H496),IF(_xll.TM1RPTELLEV($H$34,$H496)&lt;=5,_xll.TM1RPTELLEV($H$34,$H496),"Default"),"Leaf")</f>
        <v>Leaf</v>
      </c>
      <c r="E496" s="42" t="s">
        <v>689</v>
      </c>
      <c r="F496" s="34" t="str">
        <f>_xll.DBR($B$18,$H496,"Account_Type")</f>
        <v>NON LABOR</v>
      </c>
      <c r="G496" s="34" t="str">
        <f>_xll.DBR($B$18,$H496,"Description")</f>
        <v>Postage &amp; Courier Fees</v>
      </c>
      <c r="H496" s="43" t="s">
        <v>166</v>
      </c>
      <c r="I496" s="36">
        <f>_xll.DBRW($E$12,$F$16,$F$17,$F$18,$E496,$F$20,I$22,$H496,$F$19)</f>
        <v>0</v>
      </c>
      <c r="J496" s="36">
        <f>_xll.DBRW($E$12,$F$16,$F$17,$F$18,$E496,$F$20,J$22,$H496,$F$19)</f>
        <v>0</v>
      </c>
      <c r="K496" s="36">
        <f>_xll.DBRW($E$12,$F$16,$F$17,$F$18,$E496,$F$20,K$22,$H496,$F$19)</f>
        <v>0</v>
      </c>
      <c r="L496" s="36">
        <f>_xll.DBRW($E$12,$F$16,$F$17,$F$18,$E496,$F$20,L$22,$H496,$F$19)</f>
        <v>35</v>
      </c>
      <c r="M496" s="36">
        <f>_xll.DBRW($E$12,$F$16,$F$17,$F$18,$E496,$F$20,M$22,$H496,$F$19)</f>
        <v>0</v>
      </c>
      <c r="N496" s="36">
        <f>_xll.DBRW($E$12,$F$16,$F$17,$F$18,$E496,$F$20,N$22,$H496,$F$19)</f>
        <v>0</v>
      </c>
      <c r="O496" s="36">
        <f>_xll.DBRW($E$12,$F$16,$F$17,$F$18,$E496,$F$20,O$22,$H496,$F$19)</f>
        <v>0</v>
      </c>
      <c r="P496" s="36">
        <f>_xll.DBRW($E$12,$F$16,$F$17,$F$18,$E496,$F$20,P$22,$H496,$F$19)</f>
        <v>0</v>
      </c>
      <c r="Q496" s="36">
        <f>_xll.DBRW($E$12,$F$16,$F$17,$F$18,$E496,$F$20,Q$22,$H496,$F$19)</f>
        <v>0</v>
      </c>
      <c r="R496" s="36">
        <f>_xll.DBRW($E$12,$F$16,$F$17,$F$18,$E496,$F$20,R$22,$H496,$F$19)</f>
        <v>0</v>
      </c>
      <c r="S496" s="36">
        <f>_xll.DBRW($E$12,$F$16,$F$17,$F$18,$E496,$F$20,S$22,$H496,$F$19)</f>
        <v>0</v>
      </c>
      <c r="T496" s="36">
        <f>_xll.DBRW($E$12,$F$16,$F$17,$F$18,$E496,$F$20,T$22,$H496,$F$19)</f>
        <v>0</v>
      </c>
      <c r="U496" s="36">
        <f>_xll.DBRW($E$12,$F$16,$F$17,$F$18,$E496,$F$20,U$22,$H496,$F$19)</f>
        <v>35</v>
      </c>
    </row>
    <row r="497" spans="4:21" s="37" customFormat="1" ht="15" outlineLevel="1" thickBot="1" x14ac:dyDescent="0.35">
      <c r="D497" s="33" t="str">
        <f>IF(_xll.TM1RPTELISCONSOLIDATED($H$34,$H497),IF(_xll.TM1RPTELLEV($H$34,$H497)&lt;=5,_xll.TM1RPTELLEV($H$34,$H497),"Default"),"Leaf")</f>
        <v>Leaf</v>
      </c>
      <c r="E497" s="42" t="s">
        <v>689</v>
      </c>
      <c r="F497" s="34" t="str">
        <f>_xll.DBR($B$18,$H497,"Account_Type")</f>
        <v>NON LABOR</v>
      </c>
      <c r="G497" s="34" t="str">
        <f>_xll.DBR($B$18,$H497,"Description")</f>
        <v>Utilities</v>
      </c>
      <c r="H497" s="43" t="s">
        <v>223</v>
      </c>
      <c r="I497" s="36">
        <f>_xll.DBRW($E$12,$F$16,$F$17,$F$18,$E497,$F$20,I$22,$H497,$F$19)</f>
        <v>1764.92</v>
      </c>
      <c r="J497" s="36">
        <f>_xll.DBRW($E$12,$F$16,$F$17,$F$18,$E497,$F$20,J$22,$H497,$F$19)</f>
        <v>1133.52</v>
      </c>
      <c r="K497" s="36">
        <f>_xll.DBRW($E$12,$F$16,$F$17,$F$18,$E497,$F$20,K$22,$H497,$F$19)</f>
        <v>1542.67</v>
      </c>
      <c r="L497" s="36">
        <f>_xll.DBRW($E$12,$F$16,$F$17,$F$18,$E497,$F$20,L$22,$H497,$F$19)</f>
        <v>3257.73</v>
      </c>
      <c r="M497" s="36">
        <f>_xll.DBRW($E$12,$F$16,$F$17,$F$18,$E497,$F$20,M$22,$H497,$F$19)</f>
        <v>571.29999999999995</v>
      </c>
      <c r="N497" s="36">
        <f>_xll.DBRW($E$12,$F$16,$F$17,$F$18,$E497,$F$20,N$22,$H497,$F$19)</f>
        <v>1966.93</v>
      </c>
      <c r="O497" s="36">
        <f>_xll.DBRW($E$12,$F$16,$F$17,$F$18,$E497,$F$20,O$22,$H497,$F$19)</f>
        <v>0</v>
      </c>
      <c r="P497" s="36">
        <f>_xll.DBRW($E$12,$F$16,$F$17,$F$18,$E497,$F$20,P$22,$H497,$F$19)</f>
        <v>0</v>
      </c>
      <c r="Q497" s="36">
        <f>_xll.DBRW($E$12,$F$16,$F$17,$F$18,$E497,$F$20,Q$22,$H497,$F$19)</f>
        <v>0</v>
      </c>
      <c r="R497" s="36">
        <f>_xll.DBRW($E$12,$F$16,$F$17,$F$18,$E497,$F$20,R$22,$H497,$F$19)</f>
        <v>0</v>
      </c>
      <c r="S497" s="36">
        <f>_xll.DBRW($E$12,$F$16,$F$17,$F$18,$E497,$F$20,S$22,$H497,$F$19)</f>
        <v>0</v>
      </c>
      <c r="T497" s="36">
        <f>_xll.DBRW($E$12,$F$16,$F$17,$F$18,$E497,$F$20,T$22,$H497,$F$19)</f>
        <v>0</v>
      </c>
      <c r="U497" s="36">
        <f>_xll.DBRW($E$12,$F$16,$F$17,$F$18,$E497,$F$20,U$22,$H497,$F$19)</f>
        <v>10237.07</v>
      </c>
    </row>
    <row r="498" spans="4:21" s="37" customFormat="1" ht="15" outlineLevel="1" thickBot="1" x14ac:dyDescent="0.35">
      <c r="D498" s="33" t="str">
        <f>IF(_xll.TM1RPTELISCONSOLIDATED($H$34,$H498),IF(_xll.TM1RPTELLEV($H$34,$H498)&lt;=5,_xll.TM1RPTELLEV($H$34,$H498),"Default"),"Leaf")</f>
        <v>Leaf</v>
      </c>
      <c r="E498" s="42" t="s">
        <v>689</v>
      </c>
      <c r="F498" s="34" t="str">
        <f>_xll.DBR($B$18,$H498,"Account_Type")</f>
        <v>NON LABOR</v>
      </c>
      <c r="G498" s="34" t="str">
        <f>_xll.DBR($B$18,$H498,"Description")</f>
        <v>Security / Janitorial Charges</v>
      </c>
      <c r="H498" s="43" t="s">
        <v>232</v>
      </c>
      <c r="I498" s="36">
        <f>_xll.DBRW($E$12,$F$16,$F$17,$F$18,$E498,$F$20,I$22,$H498,$F$19)</f>
        <v>432.98</v>
      </c>
      <c r="J498" s="36">
        <f>_xll.DBRW($E$12,$F$16,$F$17,$F$18,$E498,$F$20,J$22,$H498,$F$19)</f>
        <v>161.26</v>
      </c>
      <c r="K498" s="36">
        <f>_xll.DBRW($E$12,$F$16,$F$17,$F$18,$E498,$F$20,K$22,$H498,$F$19)</f>
        <v>510.14</v>
      </c>
      <c r="L498" s="36">
        <f>_xll.DBRW($E$12,$F$16,$F$17,$F$18,$E498,$F$20,L$22,$H498,$F$19)</f>
        <v>0</v>
      </c>
      <c r="M498" s="36">
        <f>_xll.DBRW($E$12,$F$16,$F$17,$F$18,$E498,$F$20,M$22,$H498,$F$19)</f>
        <v>80.069999999999993</v>
      </c>
      <c r="N498" s="36">
        <f>_xll.DBRW($E$12,$F$16,$F$17,$F$18,$E498,$F$20,N$22,$H498,$F$19)</f>
        <v>80.069999999999993</v>
      </c>
      <c r="O498" s="36">
        <f>_xll.DBRW($E$12,$F$16,$F$17,$F$18,$E498,$F$20,O$22,$H498,$F$19)</f>
        <v>0</v>
      </c>
      <c r="P498" s="36">
        <f>_xll.DBRW($E$12,$F$16,$F$17,$F$18,$E498,$F$20,P$22,$H498,$F$19)</f>
        <v>0</v>
      </c>
      <c r="Q498" s="36">
        <f>_xll.DBRW($E$12,$F$16,$F$17,$F$18,$E498,$F$20,Q$22,$H498,$F$19)</f>
        <v>0</v>
      </c>
      <c r="R498" s="36">
        <f>_xll.DBRW($E$12,$F$16,$F$17,$F$18,$E498,$F$20,R$22,$H498,$F$19)</f>
        <v>0</v>
      </c>
      <c r="S498" s="36">
        <f>_xll.DBRW($E$12,$F$16,$F$17,$F$18,$E498,$F$20,S$22,$H498,$F$19)</f>
        <v>0</v>
      </c>
      <c r="T498" s="36">
        <f>_xll.DBRW($E$12,$F$16,$F$17,$F$18,$E498,$F$20,T$22,$H498,$F$19)</f>
        <v>0</v>
      </c>
      <c r="U498" s="36">
        <f>_xll.DBRW($E$12,$F$16,$F$17,$F$18,$E498,$F$20,U$22,$H498,$F$19)</f>
        <v>1264.52</v>
      </c>
    </row>
    <row r="499" spans="4:21" s="37" customFormat="1" ht="15" outlineLevel="1" thickBot="1" x14ac:dyDescent="0.35">
      <c r="D499" s="33" t="str">
        <f>IF(_xll.TM1RPTELISCONSOLIDATED($H$34,$H499),IF(_xll.TM1RPTELLEV($H$34,$H499)&lt;=5,_xll.TM1RPTELLEV($H$34,$H499),"Default"),"Leaf")</f>
        <v>Leaf</v>
      </c>
      <c r="E499" s="42" t="s">
        <v>689</v>
      </c>
      <c r="F499" s="34" t="str">
        <f>_xll.DBR($B$18,$H499,"Account_Type")</f>
        <v>NON LABOR</v>
      </c>
      <c r="G499" s="34" t="str">
        <f>_xll.DBR($B$18,$H499,"Description")</f>
        <v>Facility Maintenance</v>
      </c>
      <c r="H499" s="43" t="s">
        <v>241</v>
      </c>
      <c r="I499" s="36">
        <f>_xll.DBRW($E$12,$F$16,$F$17,$F$18,$E499,$F$20,I$22,$H499,$F$19)</f>
        <v>216.5</v>
      </c>
      <c r="J499" s="36">
        <f>_xll.DBRW($E$12,$F$16,$F$17,$F$18,$E499,$F$20,J$22,$H499,$F$19)</f>
        <v>9199.92</v>
      </c>
      <c r="K499" s="36">
        <f>_xll.DBRW($E$12,$F$16,$F$17,$F$18,$E499,$F$20,K$22,$H499,$F$19)</f>
        <v>499.66</v>
      </c>
      <c r="L499" s="36">
        <f>_xll.DBRW($E$12,$F$16,$F$17,$F$18,$E499,$F$20,L$22,$H499,$F$19)</f>
        <v>180.63</v>
      </c>
      <c r="M499" s="36">
        <f>_xll.DBRW($E$12,$F$16,$F$17,$F$18,$E499,$F$20,M$22,$H499,$F$19)</f>
        <v>2691.6</v>
      </c>
      <c r="N499" s="36">
        <f>_xll.DBRW($E$12,$F$16,$F$17,$F$18,$E499,$F$20,N$22,$H499,$F$19)</f>
        <v>874.82</v>
      </c>
      <c r="O499" s="36">
        <f>_xll.DBRW($E$12,$F$16,$F$17,$F$18,$E499,$F$20,O$22,$H499,$F$19)</f>
        <v>-326.89999999999998</v>
      </c>
      <c r="P499" s="36">
        <f>_xll.DBRW($E$12,$F$16,$F$17,$F$18,$E499,$F$20,P$22,$H499,$F$19)</f>
        <v>0</v>
      </c>
      <c r="Q499" s="36">
        <f>_xll.DBRW($E$12,$F$16,$F$17,$F$18,$E499,$F$20,Q$22,$H499,$F$19)</f>
        <v>0</v>
      </c>
      <c r="R499" s="36">
        <f>_xll.DBRW($E$12,$F$16,$F$17,$F$18,$E499,$F$20,R$22,$H499,$F$19)</f>
        <v>0</v>
      </c>
      <c r="S499" s="36">
        <f>_xll.DBRW($E$12,$F$16,$F$17,$F$18,$E499,$F$20,S$22,$H499,$F$19)</f>
        <v>0</v>
      </c>
      <c r="T499" s="36">
        <f>_xll.DBRW($E$12,$F$16,$F$17,$F$18,$E499,$F$20,T$22,$H499,$F$19)</f>
        <v>0</v>
      </c>
      <c r="U499" s="36">
        <f>_xll.DBRW($E$12,$F$16,$F$17,$F$18,$E499,$F$20,U$22,$H499,$F$19)</f>
        <v>13336.23</v>
      </c>
    </row>
    <row r="500" spans="4:21" s="37" customFormat="1" ht="15" outlineLevel="1" thickBot="1" x14ac:dyDescent="0.35">
      <c r="D500" s="33" t="str">
        <f>IF(_xll.TM1RPTELISCONSOLIDATED($H$34,$H500),IF(_xll.TM1RPTELLEV($H$34,$H500)&lt;=5,_xll.TM1RPTELLEV($H$34,$H500),"Default"),"Leaf")</f>
        <v>Leaf</v>
      </c>
      <c r="E500" s="42" t="s">
        <v>689</v>
      </c>
      <c r="F500" s="34" t="str">
        <f>_xll.DBR($B$18,$H500,"Account_Type")</f>
        <v>NON LABOR</v>
      </c>
      <c r="G500" s="34" t="str">
        <f>_xll.DBR($B$18,$H500,"Description")</f>
        <v>Professional Services / Consultants</v>
      </c>
      <c r="H500" s="43" t="s">
        <v>246</v>
      </c>
      <c r="I500" s="36">
        <f>_xll.DBRW($E$12,$F$16,$F$17,$F$18,$E500,$F$20,I$22,$H500,$F$19)</f>
        <v>6397.02</v>
      </c>
      <c r="J500" s="36">
        <f>_xll.DBRW($E$12,$F$16,$F$17,$F$18,$E500,$F$20,J$22,$H500,$F$19)</f>
        <v>0</v>
      </c>
      <c r="K500" s="36">
        <f>_xll.DBRW($E$12,$F$16,$F$17,$F$18,$E500,$F$20,K$22,$H500,$F$19)</f>
        <v>0</v>
      </c>
      <c r="L500" s="36">
        <f>_xll.DBRW($E$12,$F$16,$F$17,$F$18,$E500,$F$20,L$22,$H500,$F$19)</f>
        <v>0</v>
      </c>
      <c r="M500" s="36">
        <f>_xll.DBRW($E$12,$F$16,$F$17,$F$18,$E500,$F$20,M$22,$H500,$F$19)</f>
        <v>0</v>
      </c>
      <c r="N500" s="36">
        <f>_xll.DBRW($E$12,$F$16,$F$17,$F$18,$E500,$F$20,N$22,$H500,$F$19)</f>
        <v>6397.02</v>
      </c>
      <c r="O500" s="36">
        <f>_xll.DBRW($E$12,$F$16,$F$17,$F$18,$E500,$F$20,O$22,$H500,$F$19)</f>
        <v>-6397.02</v>
      </c>
      <c r="P500" s="36">
        <f>_xll.DBRW($E$12,$F$16,$F$17,$F$18,$E500,$F$20,P$22,$H500,$F$19)</f>
        <v>0</v>
      </c>
      <c r="Q500" s="36">
        <f>_xll.DBRW($E$12,$F$16,$F$17,$F$18,$E500,$F$20,Q$22,$H500,$F$19)</f>
        <v>0</v>
      </c>
      <c r="R500" s="36">
        <f>_xll.DBRW($E$12,$F$16,$F$17,$F$18,$E500,$F$20,R$22,$H500,$F$19)</f>
        <v>0</v>
      </c>
      <c r="S500" s="36">
        <f>_xll.DBRW($E$12,$F$16,$F$17,$F$18,$E500,$F$20,S$22,$H500,$F$19)</f>
        <v>0</v>
      </c>
      <c r="T500" s="36">
        <f>_xll.DBRW($E$12,$F$16,$F$17,$F$18,$E500,$F$20,T$22,$H500,$F$19)</f>
        <v>0</v>
      </c>
      <c r="U500" s="36">
        <f>_xll.DBRW($E$12,$F$16,$F$17,$F$18,$E500,$F$20,U$22,$H500,$F$19)</f>
        <v>6397.02</v>
      </c>
    </row>
    <row r="501" spans="4:21" s="37" customFormat="1" ht="15" outlineLevel="1" thickBot="1" x14ac:dyDescent="0.35">
      <c r="D501" s="33" t="str">
        <f>IF(_xll.TM1RPTELISCONSOLIDATED($H$34,$H501),IF(_xll.TM1RPTELLEV($H$34,$H501)&lt;=5,_xll.TM1RPTELLEV($H$34,$H501),"Default"),"Leaf")</f>
        <v>Leaf</v>
      </c>
      <c r="E501" s="42" t="s">
        <v>689</v>
      </c>
      <c r="F501" s="34" t="str">
        <f>_xll.DBR($B$18,$H501,"Account_Type")</f>
        <v>NON LABOR</v>
      </c>
      <c r="G501" s="34" t="str">
        <f>_xll.DBR($B$18,$H501,"Description")</f>
        <v>Environmental / Disposal Fees</v>
      </c>
      <c r="H501" s="43" t="s">
        <v>254</v>
      </c>
      <c r="I501" s="36">
        <f>_xll.DBRW($E$12,$F$16,$F$17,$F$18,$E501,$F$20,I$22,$H501,$F$19)</f>
        <v>478.47</v>
      </c>
      <c r="J501" s="36">
        <f>_xll.DBRW($E$12,$F$16,$F$17,$F$18,$E501,$F$20,J$22,$H501,$F$19)</f>
        <v>480.72</v>
      </c>
      <c r="K501" s="36">
        <f>_xll.DBRW($E$12,$F$16,$F$17,$F$18,$E501,$F$20,K$22,$H501,$F$19)</f>
        <v>478.47</v>
      </c>
      <c r="L501" s="36">
        <f>_xll.DBRW($E$12,$F$16,$F$17,$F$18,$E501,$F$20,L$22,$H501,$F$19)</f>
        <v>585.41999999999996</v>
      </c>
      <c r="M501" s="36">
        <f>_xll.DBRW($E$12,$F$16,$F$17,$F$18,$E501,$F$20,M$22,$H501,$F$19)</f>
        <v>585.41999999999996</v>
      </c>
      <c r="N501" s="36">
        <f>_xll.DBRW($E$12,$F$16,$F$17,$F$18,$E501,$F$20,N$22,$H501,$F$19)</f>
        <v>0</v>
      </c>
      <c r="O501" s="36">
        <f>_xll.DBRW($E$12,$F$16,$F$17,$F$18,$E501,$F$20,O$22,$H501,$F$19)</f>
        <v>0</v>
      </c>
      <c r="P501" s="36">
        <f>_xll.DBRW($E$12,$F$16,$F$17,$F$18,$E501,$F$20,P$22,$H501,$F$19)</f>
        <v>0</v>
      </c>
      <c r="Q501" s="36">
        <f>_xll.DBRW($E$12,$F$16,$F$17,$F$18,$E501,$F$20,Q$22,$H501,$F$19)</f>
        <v>0</v>
      </c>
      <c r="R501" s="36">
        <f>_xll.DBRW($E$12,$F$16,$F$17,$F$18,$E501,$F$20,R$22,$H501,$F$19)</f>
        <v>0</v>
      </c>
      <c r="S501" s="36">
        <f>_xll.DBRW($E$12,$F$16,$F$17,$F$18,$E501,$F$20,S$22,$H501,$F$19)</f>
        <v>0</v>
      </c>
      <c r="T501" s="36">
        <f>_xll.DBRW($E$12,$F$16,$F$17,$F$18,$E501,$F$20,T$22,$H501,$F$19)</f>
        <v>0</v>
      </c>
      <c r="U501" s="36">
        <f>_xll.DBRW($E$12,$F$16,$F$17,$F$18,$E501,$F$20,U$22,$H501,$F$19)</f>
        <v>2608.5</v>
      </c>
    </row>
    <row r="502" spans="4:21" s="37" customFormat="1" ht="15" outlineLevel="1" thickBot="1" x14ac:dyDescent="0.35">
      <c r="D502" s="33" t="str">
        <f>IF(_xll.TM1RPTELISCONSOLIDATED($H$34,$H502),IF(_xll.TM1RPTELLEV($H$34,$H502)&lt;=5,_xll.TM1RPTELLEV($H$34,$H502),"Default"),"Leaf")</f>
        <v>Leaf</v>
      </c>
      <c r="E502" s="42" t="s">
        <v>689</v>
      </c>
      <c r="F502" s="34" t="str">
        <f>_xll.DBR($B$18,$H502,"Account_Type")</f>
        <v>NON LABOR</v>
      </c>
      <c r="G502" s="34" t="str">
        <f>_xll.DBR($B$18,$H502,"Description")</f>
        <v>Uniforms</v>
      </c>
      <c r="H502" s="43" t="s">
        <v>290</v>
      </c>
      <c r="I502" s="36">
        <f>_xll.DBRW($E$12,$F$16,$F$17,$F$18,$E502,$F$20,I$22,$H502,$F$19)</f>
        <v>-18.420000000000002</v>
      </c>
      <c r="J502" s="36">
        <f>_xll.DBRW($E$12,$F$16,$F$17,$F$18,$E502,$F$20,J$22,$H502,$F$19)</f>
        <v>-23.88</v>
      </c>
      <c r="K502" s="36">
        <f>_xll.DBRW($E$12,$F$16,$F$17,$F$18,$E502,$F$20,K$22,$H502,$F$19)</f>
        <v>-19.63</v>
      </c>
      <c r="L502" s="36">
        <f>_xll.DBRW($E$12,$F$16,$F$17,$F$18,$E502,$F$20,L$22,$H502,$F$19)</f>
        <v>-18.309999999999999</v>
      </c>
      <c r="M502" s="36">
        <f>_xll.DBRW($E$12,$F$16,$F$17,$F$18,$E502,$F$20,M$22,$H502,$F$19)</f>
        <v>-21.99</v>
      </c>
      <c r="N502" s="36">
        <f>_xll.DBRW($E$12,$F$16,$F$17,$F$18,$E502,$F$20,N$22,$H502,$F$19)</f>
        <v>0</v>
      </c>
      <c r="O502" s="36">
        <f>_xll.DBRW($E$12,$F$16,$F$17,$F$18,$E502,$F$20,O$22,$H502,$F$19)</f>
        <v>0</v>
      </c>
      <c r="P502" s="36">
        <f>_xll.DBRW($E$12,$F$16,$F$17,$F$18,$E502,$F$20,P$22,$H502,$F$19)</f>
        <v>0</v>
      </c>
      <c r="Q502" s="36">
        <f>_xll.DBRW($E$12,$F$16,$F$17,$F$18,$E502,$F$20,Q$22,$H502,$F$19)</f>
        <v>0</v>
      </c>
      <c r="R502" s="36">
        <f>_xll.DBRW($E$12,$F$16,$F$17,$F$18,$E502,$F$20,R$22,$H502,$F$19)</f>
        <v>0</v>
      </c>
      <c r="S502" s="36">
        <f>_xll.DBRW($E$12,$F$16,$F$17,$F$18,$E502,$F$20,S$22,$H502,$F$19)</f>
        <v>0</v>
      </c>
      <c r="T502" s="36">
        <f>_xll.DBRW($E$12,$F$16,$F$17,$F$18,$E502,$F$20,T$22,$H502,$F$19)</f>
        <v>0</v>
      </c>
      <c r="U502" s="36">
        <f>_xll.DBRW($E$12,$F$16,$F$17,$F$18,$E502,$F$20,U$22,$H502,$F$19)</f>
        <v>-102.22999999999999</v>
      </c>
    </row>
    <row r="503" spans="4:21" s="37" customFormat="1" ht="15" outlineLevel="1" thickBot="1" x14ac:dyDescent="0.35">
      <c r="D503" s="33" t="str">
        <f>IF(_xll.TM1RPTELISCONSOLIDATED($H$34,$H503),IF(_xll.TM1RPTELLEV($H$34,$H503)&lt;=5,_xll.TM1RPTELLEV($H$34,$H503),"Default"),"Leaf")</f>
        <v>Leaf</v>
      </c>
      <c r="E503" s="42" t="s">
        <v>689</v>
      </c>
      <c r="F503" s="34" t="str">
        <f>_xll.DBR($B$18,$H503,"Account_Type")</f>
        <v>NON LABOR</v>
      </c>
      <c r="G503" s="34" t="str">
        <f>_xll.DBR($B$18,$H503,"Description")</f>
        <v>Safety</v>
      </c>
      <c r="H503" s="43" t="s">
        <v>297</v>
      </c>
      <c r="I503" s="36">
        <f>_xll.DBRW($E$12,$F$16,$F$17,$F$18,$E503,$F$20,I$22,$H503,$F$19)</f>
        <v>286.56</v>
      </c>
      <c r="J503" s="36">
        <f>_xll.DBRW($E$12,$F$16,$F$17,$F$18,$E503,$F$20,J$22,$H503,$F$19)</f>
        <v>0</v>
      </c>
      <c r="K503" s="36">
        <f>_xll.DBRW($E$12,$F$16,$F$17,$F$18,$E503,$F$20,K$22,$H503,$F$19)</f>
        <v>63.26</v>
      </c>
      <c r="L503" s="36">
        <f>_xll.DBRW($E$12,$F$16,$F$17,$F$18,$E503,$F$20,L$22,$H503,$F$19)</f>
        <v>19.62</v>
      </c>
      <c r="M503" s="36">
        <f>_xll.DBRW($E$12,$F$16,$F$17,$F$18,$E503,$F$20,M$22,$H503,$F$19)</f>
        <v>112.2</v>
      </c>
      <c r="N503" s="36">
        <f>_xll.DBRW($E$12,$F$16,$F$17,$F$18,$E503,$F$20,N$22,$H503,$F$19)</f>
        <v>22.08</v>
      </c>
      <c r="O503" s="36">
        <f>_xll.DBRW($E$12,$F$16,$F$17,$F$18,$E503,$F$20,O$22,$H503,$F$19)</f>
        <v>0</v>
      </c>
      <c r="P503" s="36">
        <f>_xll.DBRW($E$12,$F$16,$F$17,$F$18,$E503,$F$20,P$22,$H503,$F$19)</f>
        <v>0</v>
      </c>
      <c r="Q503" s="36">
        <f>_xll.DBRW($E$12,$F$16,$F$17,$F$18,$E503,$F$20,Q$22,$H503,$F$19)</f>
        <v>0</v>
      </c>
      <c r="R503" s="36">
        <f>_xll.DBRW($E$12,$F$16,$F$17,$F$18,$E503,$F$20,R$22,$H503,$F$19)</f>
        <v>0</v>
      </c>
      <c r="S503" s="36">
        <f>_xll.DBRW($E$12,$F$16,$F$17,$F$18,$E503,$F$20,S$22,$H503,$F$19)</f>
        <v>0</v>
      </c>
      <c r="T503" s="36">
        <f>_xll.DBRW($E$12,$F$16,$F$17,$F$18,$E503,$F$20,T$22,$H503,$F$19)</f>
        <v>0</v>
      </c>
      <c r="U503" s="36">
        <f>_xll.DBRW($E$12,$F$16,$F$17,$F$18,$E503,$F$20,U$22,$H503,$F$19)</f>
        <v>503.71999999999997</v>
      </c>
    </row>
    <row r="504" spans="4:21" s="37" customFormat="1" ht="15" outlineLevel="1" thickBot="1" x14ac:dyDescent="0.35">
      <c r="D504" s="33" t="str">
        <f>IF(_xll.TM1RPTELISCONSOLIDATED($H$34,$H504),IF(_xll.TM1RPTELLEV($H$34,$H504)&lt;=5,_xll.TM1RPTELLEV($H$34,$H504),"Default"),"Leaf")</f>
        <v>Leaf</v>
      </c>
      <c r="E504" s="42" t="s">
        <v>689</v>
      </c>
      <c r="F504" s="34" t="str">
        <f>_xll.DBR($B$18,$H504,"Account_Type")</f>
        <v>NON LABOR</v>
      </c>
      <c r="G504" s="34" t="str">
        <f>_xll.DBR($B$18,$H504,"Description")</f>
        <v>Toolroom Consumables Applied</v>
      </c>
      <c r="H504" s="43" t="s">
        <v>343</v>
      </c>
      <c r="I504" s="36">
        <f>_xll.DBRW($E$12,$F$16,$F$17,$F$18,$E504,$F$20,I$22,$H504,$F$19)</f>
        <v>0</v>
      </c>
      <c r="J504" s="36">
        <f>_xll.DBRW($E$12,$F$16,$F$17,$F$18,$E504,$F$20,J$22,$H504,$F$19)</f>
        <v>327.60000000000002</v>
      </c>
      <c r="K504" s="36">
        <f>_xll.DBRW($E$12,$F$16,$F$17,$F$18,$E504,$F$20,K$22,$H504,$F$19)</f>
        <v>0</v>
      </c>
      <c r="L504" s="36">
        <f>_xll.DBRW($E$12,$F$16,$F$17,$F$18,$E504,$F$20,L$22,$H504,$F$19)</f>
        <v>178.8</v>
      </c>
      <c r="M504" s="36">
        <f>_xll.DBRW($E$12,$F$16,$F$17,$F$18,$E504,$F$20,M$22,$H504,$F$19)</f>
        <v>0</v>
      </c>
      <c r="N504" s="36">
        <f>_xll.DBRW($E$12,$F$16,$F$17,$F$18,$E504,$F$20,N$22,$H504,$F$19)</f>
        <v>444.48</v>
      </c>
      <c r="O504" s="36">
        <f>_xll.DBRW($E$12,$F$16,$F$17,$F$18,$E504,$F$20,O$22,$H504,$F$19)</f>
        <v>0</v>
      </c>
      <c r="P504" s="36">
        <f>_xll.DBRW($E$12,$F$16,$F$17,$F$18,$E504,$F$20,P$22,$H504,$F$19)</f>
        <v>0</v>
      </c>
      <c r="Q504" s="36">
        <f>_xll.DBRW($E$12,$F$16,$F$17,$F$18,$E504,$F$20,Q$22,$H504,$F$19)</f>
        <v>0</v>
      </c>
      <c r="R504" s="36">
        <f>_xll.DBRW($E$12,$F$16,$F$17,$F$18,$E504,$F$20,R$22,$H504,$F$19)</f>
        <v>0</v>
      </c>
      <c r="S504" s="36">
        <f>_xll.DBRW($E$12,$F$16,$F$17,$F$18,$E504,$F$20,S$22,$H504,$F$19)</f>
        <v>0</v>
      </c>
      <c r="T504" s="36">
        <f>_xll.DBRW($E$12,$F$16,$F$17,$F$18,$E504,$F$20,T$22,$H504,$F$19)</f>
        <v>0</v>
      </c>
      <c r="U504" s="36">
        <f>_xll.DBRW($E$12,$F$16,$F$17,$F$18,$E504,$F$20,U$22,$H504,$F$19)</f>
        <v>950.88000000000011</v>
      </c>
    </row>
    <row r="505" spans="4:21" s="37" customFormat="1" ht="15" outlineLevel="1" thickBot="1" x14ac:dyDescent="0.35">
      <c r="D505" s="33" t="str">
        <f>IF(_xll.TM1RPTELISCONSOLIDATED($H$34,$H505),IF(_xll.TM1RPTELLEV($H$34,$H505)&lt;=5,_xll.TM1RPTELLEV($H$34,$H505),"Default"),"Leaf")</f>
        <v>Leaf</v>
      </c>
      <c r="E505" s="42" t="s">
        <v>689</v>
      </c>
      <c r="F505" s="34" t="str">
        <f>_xll.DBR($B$18,$H505,"Account_Type")</f>
        <v>NON LABOR</v>
      </c>
      <c r="G505" s="34" t="str">
        <f>_xll.DBR($B$18,$H505,"Description")</f>
        <v>STC/Eqpt Maintenance &amp; Repair</v>
      </c>
      <c r="H505" s="43" t="s">
        <v>352</v>
      </c>
      <c r="I505" s="36">
        <f>_xll.DBRW($E$12,$F$16,$F$17,$F$18,$E505,$F$20,I$22,$H505,$F$19)</f>
        <v>646.04</v>
      </c>
      <c r="J505" s="36">
        <f>_xll.DBRW($E$12,$F$16,$F$17,$F$18,$E505,$F$20,J$22,$H505,$F$19)</f>
        <v>0</v>
      </c>
      <c r="K505" s="36">
        <f>_xll.DBRW($E$12,$F$16,$F$17,$F$18,$E505,$F$20,K$22,$H505,$F$19)</f>
        <v>748.25</v>
      </c>
      <c r="L505" s="36">
        <f>_xll.DBRW($E$12,$F$16,$F$17,$F$18,$E505,$F$20,L$22,$H505,$F$19)</f>
        <v>0</v>
      </c>
      <c r="M505" s="36">
        <f>_xll.DBRW($E$12,$F$16,$F$17,$F$18,$E505,$F$20,M$22,$H505,$F$19)</f>
        <v>0</v>
      </c>
      <c r="N505" s="36">
        <f>_xll.DBRW($E$12,$F$16,$F$17,$F$18,$E505,$F$20,N$22,$H505,$F$19)</f>
        <v>0</v>
      </c>
      <c r="O505" s="36">
        <f>_xll.DBRW($E$12,$F$16,$F$17,$F$18,$E505,$F$20,O$22,$H505,$F$19)</f>
        <v>0</v>
      </c>
      <c r="P505" s="36">
        <f>_xll.DBRW($E$12,$F$16,$F$17,$F$18,$E505,$F$20,P$22,$H505,$F$19)</f>
        <v>0</v>
      </c>
      <c r="Q505" s="36">
        <f>_xll.DBRW($E$12,$F$16,$F$17,$F$18,$E505,$F$20,Q$22,$H505,$F$19)</f>
        <v>0</v>
      </c>
      <c r="R505" s="36">
        <f>_xll.DBRW($E$12,$F$16,$F$17,$F$18,$E505,$F$20,R$22,$H505,$F$19)</f>
        <v>0</v>
      </c>
      <c r="S505" s="36">
        <f>_xll.DBRW($E$12,$F$16,$F$17,$F$18,$E505,$F$20,S$22,$H505,$F$19)</f>
        <v>0</v>
      </c>
      <c r="T505" s="36">
        <f>_xll.DBRW($E$12,$F$16,$F$17,$F$18,$E505,$F$20,T$22,$H505,$F$19)</f>
        <v>0</v>
      </c>
      <c r="U505" s="36">
        <f>_xll.DBRW($E$12,$F$16,$F$17,$F$18,$E505,$F$20,U$22,$H505,$F$19)</f>
        <v>1394.29</v>
      </c>
    </row>
    <row r="506" spans="4:21" s="37" customFormat="1" ht="15" outlineLevel="1" thickBot="1" x14ac:dyDescent="0.35">
      <c r="D506" s="33" t="str">
        <f>IF(_xll.TM1RPTELISCONSOLIDATED($H$34,$H506),IF(_xll.TM1RPTELLEV($H$34,$H506)&lt;=5,_xll.TM1RPTELLEV($H$34,$H506),"Default"),"Leaf")</f>
        <v>Leaf</v>
      </c>
      <c r="E506" s="42" t="s">
        <v>689</v>
      </c>
      <c r="F506" s="34" t="str">
        <f>_xll.DBR($B$18,$H506,"Account_Type")</f>
        <v>NON LABOR</v>
      </c>
      <c r="G506" s="34" t="str">
        <f>_xll.DBR($B$18,$H506,"Description")</f>
        <v>Employee Leased Vehicles</v>
      </c>
      <c r="H506" s="43" t="s">
        <v>370</v>
      </c>
      <c r="I506" s="36">
        <f>_xll.DBRW($E$12,$F$16,$F$17,$F$18,$E506,$F$20,I$22,$H506,$F$19)</f>
        <v>24.34</v>
      </c>
      <c r="J506" s="36">
        <f>_xll.DBRW($E$12,$F$16,$F$17,$F$18,$E506,$F$20,J$22,$H506,$F$19)</f>
        <v>24.34</v>
      </c>
      <c r="K506" s="36">
        <f>_xll.DBRW($E$12,$F$16,$F$17,$F$18,$E506,$F$20,K$22,$H506,$F$19)</f>
        <v>0</v>
      </c>
      <c r="L506" s="36">
        <f>_xll.DBRW($E$12,$F$16,$F$17,$F$18,$E506,$F$20,L$22,$H506,$F$19)</f>
        <v>24.34</v>
      </c>
      <c r="M506" s="36">
        <f>_xll.DBRW($E$12,$F$16,$F$17,$F$18,$E506,$F$20,M$22,$H506,$F$19)</f>
        <v>0</v>
      </c>
      <c r="N506" s="36">
        <f>_xll.DBRW($E$12,$F$16,$F$17,$F$18,$E506,$F$20,N$22,$H506,$F$19)</f>
        <v>0</v>
      </c>
      <c r="O506" s="36">
        <f>_xll.DBRW($E$12,$F$16,$F$17,$F$18,$E506,$F$20,O$22,$H506,$F$19)</f>
        <v>0</v>
      </c>
      <c r="P506" s="36">
        <f>_xll.DBRW($E$12,$F$16,$F$17,$F$18,$E506,$F$20,P$22,$H506,$F$19)</f>
        <v>0</v>
      </c>
      <c r="Q506" s="36">
        <f>_xll.DBRW($E$12,$F$16,$F$17,$F$18,$E506,$F$20,Q$22,$H506,$F$19)</f>
        <v>0</v>
      </c>
      <c r="R506" s="36">
        <f>_xll.DBRW($E$12,$F$16,$F$17,$F$18,$E506,$F$20,R$22,$H506,$F$19)</f>
        <v>0</v>
      </c>
      <c r="S506" s="36">
        <f>_xll.DBRW($E$12,$F$16,$F$17,$F$18,$E506,$F$20,S$22,$H506,$F$19)</f>
        <v>0</v>
      </c>
      <c r="T506" s="36">
        <f>_xll.DBRW($E$12,$F$16,$F$17,$F$18,$E506,$F$20,T$22,$H506,$F$19)</f>
        <v>0</v>
      </c>
      <c r="U506" s="36">
        <f>_xll.DBRW($E$12,$F$16,$F$17,$F$18,$E506,$F$20,U$22,$H506,$F$19)</f>
        <v>73.02</v>
      </c>
    </row>
    <row r="507" spans="4:21" s="37" customFormat="1" ht="15" outlineLevel="1" thickBot="1" x14ac:dyDescent="0.35">
      <c r="D507" s="33" t="str">
        <f>IF(_xll.TM1RPTELISCONSOLIDATED($H$34,$H507),IF(_xll.TM1RPTELLEV($H$34,$H507)&lt;=5,_xll.TM1RPTELLEV($H$34,$H507),"Default"),"Leaf")</f>
        <v>Leaf</v>
      </c>
      <c r="E507" s="42" t="s">
        <v>689</v>
      </c>
      <c r="F507" s="34" t="str">
        <f>_xll.DBR($B$18,$H507,"Account_Type")</f>
        <v>NON LABOR</v>
      </c>
      <c r="G507" s="34" t="str">
        <f>_xll.DBR($B$18,$H507,"Description")</f>
        <v>Company Owned Equipment</v>
      </c>
      <c r="H507" s="43" t="s">
        <v>427</v>
      </c>
      <c r="I507" s="36">
        <f>_xll.DBRW($E$12,$F$16,$F$17,$F$18,$E507,$F$20,I$22,$H507,$F$19)</f>
        <v>4425</v>
      </c>
      <c r="J507" s="36">
        <f>_xll.DBRW($E$12,$F$16,$F$17,$F$18,$E507,$F$20,J$22,$H507,$F$19)</f>
        <v>7305</v>
      </c>
      <c r="K507" s="36">
        <f>_xll.DBRW($E$12,$F$16,$F$17,$F$18,$E507,$F$20,K$22,$H507,$F$19)</f>
        <v>5495</v>
      </c>
      <c r="L507" s="36">
        <f>_xll.DBRW($E$12,$F$16,$F$17,$F$18,$E507,$F$20,L$22,$H507,$F$19)</f>
        <v>5730</v>
      </c>
      <c r="M507" s="36">
        <f>_xll.DBRW($E$12,$F$16,$F$17,$F$18,$E507,$F$20,M$22,$H507,$F$19)</f>
        <v>6165</v>
      </c>
      <c r="N507" s="36">
        <f>_xll.DBRW($E$12,$F$16,$F$17,$F$18,$E507,$F$20,N$22,$H507,$F$19)</f>
        <v>5590</v>
      </c>
      <c r="O507" s="36">
        <f>_xll.DBRW($E$12,$F$16,$F$17,$F$18,$E507,$F$20,O$22,$H507,$F$19)</f>
        <v>1615</v>
      </c>
      <c r="P507" s="36">
        <f>_xll.DBRW($E$12,$F$16,$F$17,$F$18,$E507,$F$20,P$22,$H507,$F$19)</f>
        <v>0</v>
      </c>
      <c r="Q507" s="36">
        <f>_xll.DBRW($E$12,$F$16,$F$17,$F$18,$E507,$F$20,Q$22,$H507,$F$19)</f>
        <v>0</v>
      </c>
      <c r="R507" s="36">
        <f>_xll.DBRW($E$12,$F$16,$F$17,$F$18,$E507,$F$20,R$22,$H507,$F$19)</f>
        <v>0</v>
      </c>
      <c r="S507" s="36">
        <f>_xll.DBRW($E$12,$F$16,$F$17,$F$18,$E507,$F$20,S$22,$H507,$F$19)</f>
        <v>0</v>
      </c>
      <c r="T507" s="36">
        <f>_xll.DBRW($E$12,$F$16,$F$17,$F$18,$E507,$F$20,T$22,$H507,$F$19)</f>
        <v>0</v>
      </c>
      <c r="U507" s="36">
        <f>_xll.DBRW($E$12,$F$16,$F$17,$F$18,$E507,$F$20,U$22,$H507,$F$19)</f>
        <v>36325</v>
      </c>
    </row>
    <row r="508" spans="4:21" s="37" customFormat="1" ht="15" outlineLevel="1" thickBot="1" x14ac:dyDescent="0.35">
      <c r="D508" s="33" t="str">
        <f>IF(_xll.TM1RPTELISCONSOLIDATED($H$34,$H508),IF(_xll.TM1RPTELLEV($H$34,$H508)&lt;=5,_xll.TM1RPTELLEV($H$34,$H508),"Default"),"Leaf")</f>
        <v>Leaf</v>
      </c>
      <c r="E508" s="42" t="s">
        <v>689</v>
      </c>
      <c r="F508" s="34" t="str">
        <f>_xll.DBR($B$18,$H508,"Account_Type")</f>
        <v>NON LABOR</v>
      </c>
      <c r="G508" s="34" t="str">
        <f>_xll.DBR($B$18,$H508,"Description")</f>
        <v>Fuel to Company Owned Equipment</v>
      </c>
      <c r="H508" s="43" t="s">
        <v>443</v>
      </c>
      <c r="I508" s="36">
        <f>_xll.DBRW($E$12,$F$16,$F$17,$F$18,$E508,$F$20,I$22,$H508,$F$19)</f>
        <v>549.16</v>
      </c>
      <c r="J508" s="36">
        <f>_xll.DBRW($E$12,$F$16,$F$17,$F$18,$E508,$F$20,J$22,$H508,$F$19)</f>
        <v>535.09</v>
      </c>
      <c r="K508" s="36">
        <f>_xll.DBRW($E$12,$F$16,$F$17,$F$18,$E508,$F$20,K$22,$H508,$F$19)</f>
        <v>820.71</v>
      </c>
      <c r="L508" s="36">
        <f>_xll.DBRW($E$12,$F$16,$F$17,$F$18,$E508,$F$20,L$22,$H508,$F$19)</f>
        <v>0</v>
      </c>
      <c r="M508" s="36">
        <f>_xll.DBRW($E$12,$F$16,$F$17,$F$18,$E508,$F$20,M$22,$H508,$F$19)</f>
        <v>1062.6099999999999</v>
      </c>
      <c r="N508" s="36">
        <f>_xll.DBRW($E$12,$F$16,$F$17,$F$18,$E508,$F$20,N$22,$H508,$F$19)</f>
        <v>0</v>
      </c>
      <c r="O508" s="36">
        <f>_xll.DBRW($E$12,$F$16,$F$17,$F$18,$E508,$F$20,O$22,$H508,$F$19)</f>
        <v>266.2</v>
      </c>
      <c r="P508" s="36">
        <f>_xll.DBRW($E$12,$F$16,$F$17,$F$18,$E508,$F$20,P$22,$H508,$F$19)</f>
        <v>0</v>
      </c>
      <c r="Q508" s="36">
        <f>_xll.DBRW($E$12,$F$16,$F$17,$F$18,$E508,$F$20,Q$22,$H508,$F$19)</f>
        <v>0</v>
      </c>
      <c r="R508" s="36">
        <f>_xll.DBRW($E$12,$F$16,$F$17,$F$18,$E508,$F$20,R$22,$H508,$F$19)</f>
        <v>0</v>
      </c>
      <c r="S508" s="36">
        <f>_xll.DBRW($E$12,$F$16,$F$17,$F$18,$E508,$F$20,S$22,$H508,$F$19)</f>
        <v>0</v>
      </c>
      <c r="T508" s="36">
        <f>_xll.DBRW($E$12,$F$16,$F$17,$F$18,$E508,$F$20,T$22,$H508,$F$19)</f>
        <v>0</v>
      </c>
      <c r="U508" s="36">
        <f>_xll.DBRW($E$12,$F$16,$F$17,$F$18,$E508,$F$20,U$22,$H508,$F$19)</f>
        <v>3233.7699999999995</v>
      </c>
    </row>
    <row r="509" spans="4:21" s="37" customFormat="1" ht="15" outlineLevel="1" thickBot="1" x14ac:dyDescent="0.35">
      <c r="D509" s="33" t="str">
        <f>IF(_xll.TM1RPTELISCONSOLIDATED($H$34,$H509),IF(_xll.TM1RPTELLEV($H$34,$H509)&lt;=5,_xll.TM1RPTELLEV($H$34,$H509),"Default"),"Leaf")</f>
        <v>Leaf</v>
      </c>
      <c r="E509" s="42" t="s">
        <v>689</v>
      </c>
      <c r="F509" s="34" t="str">
        <f>_xll.DBR($B$18,$H509,"Account_Type")</f>
        <v>NON LABOR</v>
      </c>
      <c r="G509" s="34" t="str">
        <f>_xll.DBR($B$18,$H509,"Description")</f>
        <v>Corporate Allocation</v>
      </c>
      <c r="H509" s="43" t="s">
        <v>463</v>
      </c>
      <c r="I509" s="36">
        <f>_xll.DBRW($E$12,$F$16,$F$17,$F$18,$E509,$F$20,I$22,$H509,$F$19)</f>
        <v>14109.2</v>
      </c>
      <c r="J509" s="36">
        <f>_xll.DBRW($E$12,$F$16,$F$17,$F$18,$E509,$F$20,J$22,$H509,$F$19)</f>
        <v>13508.37</v>
      </c>
      <c r="K509" s="36">
        <f>_xll.DBRW($E$12,$F$16,$F$17,$F$18,$E509,$F$20,K$22,$H509,$F$19)</f>
        <v>21609.85</v>
      </c>
      <c r="L509" s="36">
        <f>_xll.DBRW($E$12,$F$16,$F$17,$F$18,$E509,$F$20,L$22,$H509,$F$19)</f>
        <v>11387.88</v>
      </c>
      <c r="M509" s="36">
        <f>_xll.DBRW($E$12,$F$16,$F$17,$F$18,$E509,$F$20,M$22,$H509,$F$19)</f>
        <v>12886.4</v>
      </c>
      <c r="N509" s="36">
        <f>_xll.DBRW($E$12,$F$16,$F$17,$F$18,$E509,$F$20,N$22,$H509,$F$19)</f>
        <v>0</v>
      </c>
      <c r="O509" s="36">
        <f>_xll.DBRW($E$12,$F$16,$F$17,$F$18,$E509,$F$20,O$22,$H509,$F$19)</f>
        <v>0</v>
      </c>
      <c r="P509" s="36">
        <f>_xll.DBRW($E$12,$F$16,$F$17,$F$18,$E509,$F$20,P$22,$H509,$F$19)</f>
        <v>0</v>
      </c>
      <c r="Q509" s="36">
        <f>_xll.DBRW($E$12,$F$16,$F$17,$F$18,$E509,$F$20,Q$22,$H509,$F$19)</f>
        <v>0</v>
      </c>
      <c r="R509" s="36">
        <f>_xll.DBRW($E$12,$F$16,$F$17,$F$18,$E509,$F$20,R$22,$H509,$F$19)</f>
        <v>0</v>
      </c>
      <c r="S509" s="36">
        <f>_xll.DBRW($E$12,$F$16,$F$17,$F$18,$E509,$F$20,S$22,$H509,$F$19)</f>
        <v>0</v>
      </c>
      <c r="T509" s="36">
        <f>_xll.DBRW($E$12,$F$16,$F$17,$F$18,$E509,$F$20,T$22,$H509,$F$19)</f>
        <v>0</v>
      </c>
      <c r="U509" s="36">
        <f>_xll.DBRW($E$12,$F$16,$F$17,$F$18,$E509,$F$20,U$22,$H509,$F$19)</f>
        <v>73501.7</v>
      </c>
    </row>
    <row r="510" spans="4:21" s="37" customFormat="1" ht="15" outlineLevel="1" thickBot="1" x14ac:dyDescent="0.35">
      <c r="D510" s="33" t="str">
        <f>IF(_xll.TM1RPTELISCONSOLIDATED($H$34,$H510),IF(_xll.TM1RPTELLEV($H$34,$H510)&lt;=5,_xll.TM1RPTELLEV($H$34,$H510),"Default"),"Leaf")</f>
        <v>Leaf</v>
      </c>
      <c r="E510" s="42" t="s">
        <v>690</v>
      </c>
      <c r="F510" s="34" t="str">
        <f>_xll.DBR($B$18,$H510,"Account_Type")</f>
        <v>NON LABOR</v>
      </c>
      <c r="G510" s="34" t="str">
        <f>_xll.DBR($B$18,$H510,"Description")</f>
        <v>Travel &amp; Lodging</v>
      </c>
      <c r="H510" s="43" t="s">
        <v>75</v>
      </c>
      <c r="I510" s="36">
        <f>_xll.DBRW($E$12,$F$16,$F$17,$F$18,$E510,$F$20,I$22,$H510,$F$19)</f>
        <v>8727.01</v>
      </c>
      <c r="J510" s="36">
        <f>_xll.DBRW($E$12,$F$16,$F$17,$F$18,$E510,$F$20,J$22,$H510,$F$19)</f>
        <v>5135.3999999999996</v>
      </c>
      <c r="K510" s="36">
        <f>_xll.DBRW($E$12,$F$16,$F$17,$F$18,$E510,$F$20,K$22,$H510,$F$19)</f>
        <v>8478.64</v>
      </c>
      <c r="L510" s="36">
        <f>_xll.DBRW($E$12,$F$16,$F$17,$F$18,$E510,$F$20,L$22,$H510,$F$19)</f>
        <v>719.58</v>
      </c>
      <c r="M510" s="36">
        <f>_xll.DBRW($E$12,$F$16,$F$17,$F$18,$E510,$F$20,M$22,$H510,$F$19)</f>
        <v>817.92</v>
      </c>
      <c r="N510" s="36">
        <f>_xll.DBRW($E$12,$F$16,$F$17,$F$18,$E510,$F$20,N$22,$H510,$F$19)</f>
        <v>5608.35</v>
      </c>
      <c r="O510" s="36">
        <f>_xll.DBRW($E$12,$F$16,$F$17,$F$18,$E510,$F$20,O$22,$H510,$F$19)</f>
        <v>2400</v>
      </c>
      <c r="P510" s="36">
        <f>_xll.DBRW($E$12,$F$16,$F$17,$F$18,$E510,$F$20,P$22,$H510,$F$19)</f>
        <v>0</v>
      </c>
      <c r="Q510" s="36">
        <f>_xll.DBRW($E$12,$F$16,$F$17,$F$18,$E510,$F$20,Q$22,$H510,$F$19)</f>
        <v>0</v>
      </c>
      <c r="R510" s="36">
        <f>_xll.DBRW($E$12,$F$16,$F$17,$F$18,$E510,$F$20,R$22,$H510,$F$19)</f>
        <v>0</v>
      </c>
      <c r="S510" s="36">
        <f>_xll.DBRW($E$12,$F$16,$F$17,$F$18,$E510,$F$20,S$22,$H510,$F$19)</f>
        <v>0</v>
      </c>
      <c r="T510" s="36">
        <f>_xll.DBRW($E$12,$F$16,$F$17,$F$18,$E510,$F$20,T$22,$H510,$F$19)</f>
        <v>0</v>
      </c>
      <c r="U510" s="36">
        <f>_xll.DBRW($E$12,$F$16,$F$17,$F$18,$E510,$F$20,U$22,$H510,$F$19)</f>
        <v>31886.9</v>
      </c>
    </row>
    <row r="511" spans="4:21" s="37" customFormat="1" ht="15" outlineLevel="1" thickBot="1" x14ac:dyDescent="0.35">
      <c r="D511" s="33" t="str">
        <f>IF(_xll.TM1RPTELISCONSOLIDATED($H$34,$H511),IF(_xll.TM1RPTELLEV($H$34,$H511)&lt;=5,_xll.TM1RPTELLEV($H$34,$H511),"Default"),"Leaf")</f>
        <v>Leaf</v>
      </c>
      <c r="E511" s="42" t="s">
        <v>690</v>
      </c>
      <c r="F511" s="34" t="str">
        <f>_xll.DBR($B$18,$H511,"Account_Type")</f>
        <v>NON LABOR</v>
      </c>
      <c r="G511" s="34" t="str">
        <f>_xll.DBR($B$18,$H511,"Description")</f>
        <v>Client Development</v>
      </c>
      <c r="H511" s="43" t="s">
        <v>87</v>
      </c>
      <c r="I511" s="36">
        <f>_xll.DBRW($E$12,$F$16,$F$17,$F$18,$E511,$F$20,I$22,$H511,$F$19)</f>
        <v>64.709999999999994</v>
      </c>
      <c r="J511" s="36">
        <f>_xll.DBRW($E$12,$F$16,$F$17,$F$18,$E511,$F$20,J$22,$H511,$F$19)</f>
        <v>538.21</v>
      </c>
      <c r="K511" s="36">
        <f>_xll.DBRW($E$12,$F$16,$F$17,$F$18,$E511,$F$20,K$22,$H511,$F$19)</f>
        <v>252.94</v>
      </c>
      <c r="L511" s="36">
        <f>_xll.DBRW($E$12,$F$16,$F$17,$F$18,$E511,$F$20,L$22,$H511,$F$19)</f>
        <v>662.31</v>
      </c>
      <c r="M511" s="36">
        <f>_xll.DBRW($E$12,$F$16,$F$17,$F$18,$E511,$F$20,M$22,$H511,$F$19)</f>
        <v>360.01</v>
      </c>
      <c r="N511" s="36">
        <f>_xll.DBRW($E$12,$F$16,$F$17,$F$18,$E511,$F$20,N$22,$H511,$F$19)</f>
        <v>431.44</v>
      </c>
      <c r="O511" s="36">
        <f>_xll.DBRW($E$12,$F$16,$F$17,$F$18,$E511,$F$20,O$22,$H511,$F$19)</f>
        <v>845.75</v>
      </c>
      <c r="P511" s="36">
        <f>_xll.DBRW($E$12,$F$16,$F$17,$F$18,$E511,$F$20,P$22,$H511,$F$19)</f>
        <v>0</v>
      </c>
      <c r="Q511" s="36">
        <f>_xll.DBRW($E$12,$F$16,$F$17,$F$18,$E511,$F$20,Q$22,$H511,$F$19)</f>
        <v>0</v>
      </c>
      <c r="R511" s="36">
        <f>_xll.DBRW($E$12,$F$16,$F$17,$F$18,$E511,$F$20,R$22,$H511,$F$19)</f>
        <v>0</v>
      </c>
      <c r="S511" s="36">
        <f>_xll.DBRW($E$12,$F$16,$F$17,$F$18,$E511,$F$20,S$22,$H511,$F$19)</f>
        <v>0</v>
      </c>
      <c r="T511" s="36">
        <f>_xll.DBRW($E$12,$F$16,$F$17,$F$18,$E511,$F$20,T$22,$H511,$F$19)</f>
        <v>0</v>
      </c>
      <c r="U511" s="36">
        <f>_xll.DBRW($E$12,$F$16,$F$17,$F$18,$E511,$F$20,U$22,$H511,$F$19)</f>
        <v>3155.37</v>
      </c>
    </row>
    <row r="512" spans="4:21" s="37" customFormat="1" ht="15" outlineLevel="1" thickBot="1" x14ac:dyDescent="0.35">
      <c r="D512" s="33" t="str">
        <f>IF(_xll.TM1RPTELISCONSOLIDATED($H$34,$H512),IF(_xll.TM1RPTELLEV($H$34,$H512)&lt;=5,_xll.TM1RPTELLEV($H$34,$H512),"Default"),"Leaf")</f>
        <v>Leaf</v>
      </c>
      <c r="E512" s="42" t="s">
        <v>690</v>
      </c>
      <c r="F512" s="34" t="str">
        <f>_xll.DBR($B$18,$H512,"Account_Type")</f>
        <v>NON LABOR</v>
      </c>
      <c r="G512" s="34" t="str">
        <f>_xll.DBR($B$18,$H512,"Description")</f>
        <v>Business Meals &amp; Entertainment</v>
      </c>
      <c r="H512" s="43" t="s">
        <v>109</v>
      </c>
      <c r="I512" s="36">
        <f>_xll.DBRW($E$12,$F$16,$F$17,$F$18,$E512,$F$20,I$22,$H512,$F$19)</f>
        <v>26.52</v>
      </c>
      <c r="J512" s="36">
        <f>_xll.DBRW($E$12,$F$16,$F$17,$F$18,$E512,$F$20,J$22,$H512,$F$19)</f>
        <v>0</v>
      </c>
      <c r="K512" s="36">
        <f>_xll.DBRW($E$12,$F$16,$F$17,$F$18,$E512,$F$20,K$22,$H512,$F$19)</f>
        <v>0</v>
      </c>
      <c r="L512" s="36">
        <f>_xll.DBRW($E$12,$F$16,$F$17,$F$18,$E512,$F$20,L$22,$H512,$F$19)</f>
        <v>52.8</v>
      </c>
      <c r="M512" s="36">
        <f>_xll.DBRW($E$12,$F$16,$F$17,$F$18,$E512,$F$20,M$22,$H512,$F$19)</f>
        <v>75.13</v>
      </c>
      <c r="N512" s="36">
        <f>_xll.DBRW($E$12,$F$16,$F$17,$F$18,$E512,$F$20,N$22,$H512,$F$19)</f>
        <v>0</v>
      </c>
      <c r="O512" s="36">
        <f>_xll.DBRW($E$12,$F$16,$F$17,$F$18,$E512,$F$20,O$22,$H512,$F$19)</f>
        <v>0</v>
      </c>
      <c r="P512" s="36">
        <f>_xll.DBRW($E$12,$F$16,$F$17,$F$18,$E512,$F$20,P$22,$H512,$F$19)</f>
        <v>0</v>
      </c>
      <c r="Q512" s="36">
        <f>_xll.DBRW($E$12,$F$16,$F$17,$F$18,$E512,$F$20,Q$22,$H512,$F$19)</f>
        <v>0</v>
      </c>
      <c r="R512" s="36">
        <f>_xll.DBRW($E$12,$F$16,$F$17,$F$18,$E512,$F$20,R$22,$H512,$F$19)</f>
        <v>0</v>
      </c>
      <c r="S512" s="36">
        <f>_xll.DBRW($E$12,$F$16,$F$17,$F$18,$E512,$F$20,S$22,$H512,$F$19)</f>
        <v>0</v>
      </c>
      <c r="T512" s="36">
        <f>_xll.DBRW($E$12,$F$16,$F$17,$F$18,$E512,$F$20,T$22,$H512,$F$19)</f>
        <v>0</v>
      </c>
      <c r="U512" s="36">
        <f>_xll.DBRW($E$12,$F$16,$F$17,$F$18,$E512,$F$20,U$22,$H512,$F$19)</f>
        <v>154.44999999999999</v>
      </c>
    </row>
    <row r="513" spans="4:21" s="37" customFormat="1" ht="15" outlineLevel="1" thickBot="1" x14ac:dyDescent="0.35">
      <c r="D513" s="33" t="str">
        <f>IF(_xll.TM1RPTELISCONSOLIDATED($H$34,$H513),IF(_xll.TM1RPTELLEV($H$34,$H513)&lt;=5,_xll.TM1RPTELLEV($H$34,$H513),"Default"),"Leaf")</f>
        <v>Leaf</v>
      </c>
      <c r="E513" s="42" t="s">
        <v>690</v>
      </c>
      <c r="F513" s="34" t="str">
        <f>_xll.DBR($B$18,$H513,"Account_Type")</f>
        <v>NON LABOR</v>
      </c>
      <c r="G513" s="34" t="str">
        <f>_xll.DBR($B$18,$H513,"Description")</f>
        <v>Telecommunications / Internet</v>
      </c>
      <c r="H513" s="43" t="s">
        <v>127</v>
      </c>
      <c r="I513" s="36">
        <f>_xll.DBRW($E$12,$F$16,$F$17,$F$18,$E513,$F$20,I$22,$H513,$F$19)</f>
        <v>26002.080000000002</v>
      </c>
      <c r="J513" s="36">
        <f>_xll.DBRW($E$12,$F$16,$F$17,$F$18,$E513,$F$20,J$22,$H513,$F$19)</f>
        <v>5009.25</v>
      </c>
      <c r="K513" s="36">
        <f>_xll.DBRW($E$12,$F$16,$F$17,$F$18,$E513,$F$20,K$22,$H513,$F$19)</f>
        <v>-13914.35</v>
      </c>
      <c r="L513" s="36">
        <f>_xll.DBRW($E$12,$F$16,$F$17,$F$18,$E513,$F$20,L$22,$H513,$F$19)</f>
        <v>4413.3599999999997</v>
      </c>
      <c r="M513" s="36">
        <f>_xll.DBRW($E$12,$F$16,$F$17,$F$18,$E513,$F$20,M$22,$H513,$F$19)</f>
        <v>6740.46</v>
      </c>
      <c r="N513" s="36">
        <f>_xll.DBRW($E$12,$F$16,$F$17,$F$18,$E513,$F$20,N$22,$H513,$F$19)</f>
        <v>7819.41</v>
      </c>
      <c r="O513" s="36">
        <f>_xll.DBRW($E$12,$F$16,$F$17,$F$18,$E513,$F$20,O$22,$H513,$F$19)</f>
        <v>2205.8000000000002</v>
      </c>
      <c r="P513" s="36">
        <f>_xll.DBRW($E$12,$F$16,$F$17,$F$18,$E513,$F$20,P$22,$H513,$F$19)</f>
        <v>0</v>
      </c>
      <c r="Q513" s="36">
        <f>_xll.DBRW($E$12,$F$16,$F$17,$F$18,$E513,$F$20,Q$22,$H513,$F$19)</f>
        <v>0</v>
      </c>
      <c r="R513" s="36">
        <f>_xll.DBRW($E$12,$F$16,$F$17,$F$18,$E513,$F$20,R$22,$H513,$F$19)</f>
        <v>0</v>
      </c>
      <c r="S513" s="36">
        <f>_xll.DBRW($E$12,$F$16,$F$17,$F$18,$E513,$F$20,S$22,$H513,$F$19)</f>
        <v>0</v>
      </c>
      <c r="T513" s="36">
        <f>_xll.DBRW($E$12,$F$16,$F$17,$F$18,$E513,$F$20,T$22,$H513,$F$19)</f>
        <v>0</v>
      </c>
      <c r="U513" s="36">
        <f>_xll.DBRW($E$12,$F$16,$F$17,$F$18,$E513,$F$20,U$22,$H513,$F$19)</f>
        <v>38276.010000000009</v>
      </c>
    </row>
    <row r="514" spans="4:21" s="37" customFormat="1" ht="15" outlineLevel="1" thickBot="1" x14ac:dyDescent="0.35">
      <c r="D514" s="33" t="str">
        <f>IF(_xll.TM1RPTELISCONSOLIDATED($H$34,$H514),IF(_xll.TM1RPTELLEV($H$34,$H514)&lt;=5,_xll.TM1RPTELLEV($H$34,$H514),"Default"),"Leaf")</f>
        <v>Leaf</v>
      </c>
      <c r="E514" s="42" t="s">
        <v>690</v>
      </c>
      <c r="F514" s="34" t="str">
        <f>_xll.DBR($B$18,$H514,"Account_Type")</f>
        <v>NON LABOR</v>
      </c>
      <c r="G514" s="34" t="str">
        <f>_xll.DBR($B$18,$H514,"Description")</f>
        <v>Office/Computer Supplies &amp; Eqpt</v>
      </c>
      <c r="H514" s="43" t="s">
        <v>146</v>
      </c>
      <c r="I514" s="36">
        <f>_xll.DBRW($E$12,$F$16,$F$17,$F$18,$E514,$F$20,I$22,$H514,$F$19)</f>
        <v>5611.97</v>
      </c>
      <c r="J514" s="36">
        <f>_xll.DBRW($E$12,$F$16,$F$17,$F$18,$E514,$F$20,J$22,$H514,$F$19)</f>
        <v>5310.38</v>
      </c>
      <c r="K514" s="36">
        <f>_xll.DBRW($E$12,$F$16,$F$17,$F$18,$E514,$F$20,K$22,$H514,$F$19)</f>
        <v>6075.93</v>
      </c>
      <c r="L514" s="36">
        <f>_xll.DBRW($E$12,$F$16,$F$17,$F$18,$E514,$F$20,L$22,$H514,$F$19)</f>
        <v>4508.1899999999996</v>
      </c>
      <c r="M514" s="36">
        <f>_xll.DBRW($E$12,$F$16,$F$17,$F$18,$E514,$F$20,M$22,$H514,$F$19)</f>
        <v>3668.02</v>
      </c>
      <c r="N514" s="36">
        <f>_xll.DBRW($E$12,$F$16,$F$17,$F$18,$E514,$F$20,N$22,$H514,$F$19)</f>
        <v>3426.07</v>
      </c>
      <c r="O514" s="36">
        <f>_xll.DBRW($E$12,$F$16,$F$17,$F$18,$E514,$F$20,O$22,$H514,$F$19)</f>
        <v>181</v>
      </c>
      <c r="P514" s="36">
        <f>_xll.DBRW($E$12,$F$16,$F$17,$F$18,$E514,$F$20,P$22,$H514,$F$19)</f>
        <v>0</v>
      </c>
      <c r="Q514" s="36">
        <f>_xll.DBRW($E$12,$F$16,$F$17,$F$18,$E514,$F$20,Q$22,$H514,$F$19)</f>
        <v>0</v>
      </c>
      <c r="R514" s="36">
        <f>_xll.DBRW($E$12,$F$16,$F$17,$F$18,$E514,$F$20,R$22,$H514,$F$19)</f>
        <v>0</v>
      </c>
      <c r="S514" s="36">
        <f>_xll.DBRW($E$12,$F$16,$F$17,$F$18,$E514,$F$20,S$22,$H514,$F$19)</f>
        <v>0</v>
      </c>
      <c r="T514" s="36">
        <f>_xll.DBRW($E$12,$F$16,$F$17,$F$18,$E514,$F$20,T$22,$H514,$F$19)</f>
        <v>0</v>
      </c>
      <c r="U514" s="36">
        <f>_xll.DBRW($E$12,$F$16,$F$17,$F$18,$E514,$F$20,U$22,$H514,$F$19)</f>
        <v>28781.559999999998</v>
      </c>
    </row>
    <row r="515" spans="4:21" s="37" customFormat="1" ht="15" outlineLevel="1" thickBot="1" x14ac:dyDescent="0.35">
      <c r="D515" s="33" t="str">
        <f>IF(_xll.TM1RPTELISCONSOLIDATED($H$34,$H515),IF(_xll.TM1RPTELLEV($H$34,$H515)&lt;=5,_xll.TM1RPTELLEV($H$34,$H515),"Default"),"Leaf")</f>
        <v>Leaf</v>
      </c>
      <c r="E515" s="42" t="s">
        <v>690</v>
      </c>
      <c r="F515" s="34" t="str">
        <f>_xll.DBR($B$18,$H515,"Account_Type")</f>
        <v>NON LABOR</v>
      </c>
      <c r="G515" s="34" t="str">
        <f>_xll.DBR($B$18,$H515,"Description")</f>
        <v>Postage &amp; Courier Fees</v>
      </c>
      <c r="H515" s="43" t="s">
        <v>163</v>
      </c>
      <c r="I515" s="36">
        <f>_xll.DBRW($E$12,$F$16,$F$17,$F$18,$E515,$F$20,I$22,$H515,$F$19)</f>
        <v>131.75</v>
      </c>
      <c r="J515" s="36">
        <f>_xll.DBRW($E$12,$F$16,$F$17,$F$18,$E515,$F$20,J$22,$H515,$F$19)</f>
        <v>204.75</v>
      </c>
      <c r="K515" s="36">
        <f>_xll.DBRW($E$12,$F$16,$F$17,$F$18,$E515,$F$20,K$22,$H515,$F$19)</f>
        <v>188.09</v>
      </c>
      <c r="L515" s="36">
        <f>_xll.DBRW($E$12,$F$16,$F$17,$F$18,$E515,$F$20,L$22,$H515,$F$19)</f>
        <v>56.5</v>
      </c>
      <c r="M515" s="36">
        <f>_xll.DBRW($E$12,$F$16,$F$17,$F$18,$E515,$F$20,M$22,$H515,$F$19)</f>
        <v>55.05</v>
      </c>
      <c r="N515" s="36">
        <f>_xll.DBRW($E$12,$F$16,$F$17,$F$18,$E515,$F$20,N$22,$H515,$F$19)</f>
        <v>177.67</v>
      </c>
      <c r="O515" s="36">
        <f>_xll.DBRW($E$12,$F$16,$F$17,$F$18,$E515,$F$20,O$22,$H515,$F$19)</f>
        <v>0</v>
      </c>
      <c r="P515" s="36">
        <f>_xll.DBRW($E$12,$F$16,$F$17,$F$18,$E515,$F$20,P$22,$H515,$F$19)</f>
        <v>0</v>
      </c>
      <c r="Q515" s="36">
        <f>_xll.DBRW($E$12,$F$16,$F$17,$F$18,$E515,$F$20,Q$22,$H515,$F$19)</f>
        <v>0</v>
      </c>
      <c r="R515" s="36">
        <f>_xll.DBRW($E$12,$F$16,$F$17,$F$18,$E515,$F$20,R$22,$H515,$F$19)</f>
        <v>0</v>
      </c>
      <c r="S515" s="36">
        <f>_xll.DBRW($E$12,$F$16,$F$17,$F$18,$E515,$F$20,S$22,$H515,$F$19)</f>
        <v>0</v>
      </c>
      <c r="T515" s="36">
        <f>_xll.DBRW($E$12,$F$16,$F$17,$F$18,$E515,$F$20,T$22,$H515,$F$19)</f>
        <v>0</v>
      </c>
      <c r="U515" s="36">
        <f>_xll.DBRW($E$12,$F$16,$F$17,$F$18,$E515,$F$20,U$22,$H515,$F$19)</f>
        <v>813.81</v>
      </c>
    </row>
    <row r="516" spans="4:21" s="37" customFormat="1" ht="15" outlineLevel="1" thickBot="1" x14ac:dyDescent="0.35">
      <c r="D516" s="33" t="str">
        <f>IF(_xll.TM1RPTELISCONSOLIDATED($H$34,$H516),IF(_xll.TM1RPTELLEV($H$34,$H516)&lt;=5,_xll.TM1RPTELLEV($H$34,$H516),"Default"),"Leaf")</f>
        <v>Leaf</v>
      </c>
      <c r="E516" s="42" t="s">
        <v>690</v>
      </c>
      <c r="F516" s="34" t="str">
        <f>_xll.DBR($B$18,$H516,"Account_Type")</f>
        <v>NON LABOR</v>
      </c>
      <c r="G516" s="34" t="str">
        <f>_xll.DBR($B$18,$H516,"Description")</f>
        <v>Printing &amp; Reproduction</v>
      </c>
      <c r="H516" s="43" t="s">
        <v>171</v>
      </c>
      <c r="I516" s="36">
        <f>_xll.DBRW($E$12,$F$16,$F$17,$F$18,$E516,$F$20,I$22,$H516,$F$19)</f>
        <v>464.57</v>
      </c>
      <c r="J516" s="36">
        <f>_xll.DBRW($E$12,$F$16,$F$17,$F$18,$E516,$F$20,J$22,$H516,$F$19)</f>
        <v>294.12</v>
      </c>
      <c r="K516" s="36">
        <f>_xll.DBRW($E$12,$F$16,$F$17,$F$18,$E516,$F$20,K$22,$H516,$F$19)</f>
        <v>0</v>
      </c>
      <c r="L516" s="36">
        <f>_xll.DBRW($E$12,$F$16,$F$17,$F$18,$E516,$F$20,L$22,$H516,$F$19)</f>
        <v>0</v>
      </c>
      <c r="M516" s="36">
        <f>_xll.DBRW($E$12,$F$16,$F$17,$F$18,$E516,$F$20,M$22,$H516,$F$19)</f>
        <v>0</v>
      </c>
      <c r="N516" s="36">
        <f>_xll.DBRW($E$12,$F$16,$F$17,$F$18,$E516,$F$20,N$22,$H516,$F$19)</f>
        <v>0</v>
      </c>
      <c r="O516" s="36">
        <f>_xll.DBRW($E$12,$F$16,$F$17,$F$18,$E516,$F$20,O$22,$H516,$F$19)</f>
        <v>0</v>
      </c>
      <c r="P516" s="36">
        <f>_xll.DBRW($E$12,$F$16,$F$17,$F$18,$E516,$F$20,P$22,$H516,$F$19)</f>
        <v>0</v>
      </c>
      <c r="Q516" s="36">
        <f>_xll.DBRW($E$12,$F$16,$F$17,$F$18,$E516,$F$20,Q$22,$H516,$F$19)</f>
        <v>0</v>
      </c>
      <c r="R516" s="36">
        <f>_xll.DBRW($E$12,$F$16,$F$17,$F$18,$E516,$F$20,R$22,$H516,$F$19)</f>
        <v>0</v>
      </c>
      <c r="S516" s="36">
        <f>_xll.DBRW($E$12,$F$16,$F$17,$F$18,$E516,$F$20,S$22,$H516,$F$19)</f>
        <v>0</v>
      </c>
      <c r="T516" s="36">
        <f>_xll.DBRW($E$12,$F$16,$F$17,$F$18,$E516,$F$20,T$22,$H516,$F$19)</f>
        <v>0</v>
      </c>
      <c r="U516" s="36">
        <f>_xll.DBRW($E$12,$F$16,$F$17,$F$18,$E516,$F$20,U$22,$H516,$F$19)</f>
        <v>758.69</v>
      </c>
    </row>
    <row r="517" spans="4:21" s="37" customFormat="1" ht="15" outlineLevel="1" thickBot="1" x14ac:dyDescent="0.35">
      <c r="D517" s="33" t="str">
        <f>IF(_xll.TM1RPTELISCONSOLIDATED($H$34,$H517),IF(_xll.TM1RPTELLEV($H$34,$H517)&lt;=5,_xll.TM1RPTELLEV($H$34,$H517),"Default"),"Leaf")</f>
        <v>Leaf</v>
      </c>
      <c r="E517" s="42" t="s">
        <v>690</v>
      </c>
      <c r="F517" s="34" t="str">
        <f>_xll.DBR($B$18,$H517,"Account_Type")</f>
        <v>NON LABOR</v>
      </c>
      <c r="G517" s="34" t="str">
        <f>_xll.DBR($B$18,$H517,"Description")</f>
        <v>Education/Training/Dues/Subscriptions</v>
      </c>
      <c r="H517" s="43" t="s">
        <v>182</v>
      </c>
      <c r="I517" s="36">
        <f>_xll.DBRW($E$12,$F$16,$F$17,$F$18,$E517,$F$20,I$22,$H517,$F$19)</f>
        <v>16553.259999999998</v>
      </c>
      <c r="J517" s="36">
        <f>_xll.DBRW($E$12,$F$16,$F$17,$F$18,$E517,$F$20,J$22,$H517,$F$19)</f>
        <v>9909.41</v>
      </c>
      <c r="K517" s="36">
        <f>_xll.DBRW($E$12,$F$16,$F$17,$F$18,$E517,$F$20,K$22,$H517,$F$19)</f>
        <v>2217.11</v>
      </c>
      <c r="L517" s="36">
        <f>_xll.DBRW($E$12,$F$16,$F$17,$F$18,$E517,$F$20,L$22,$H517,$F$19)</f>
        <v>10883.86</v>
      </c>
      <c r="M517" s="36">
        <f>_xll.DBRW($E$12,$F$16,$F$17,$F$18,$E517,$F$20,M$22,$H517,$F$19)</f>
        <v>4516.4399999999996</v>
      </c>
      <c r="N517" s="36">
        <f>_xll.DBRW($E$12,$F$16,$F$17,$F$18,$E517,$F$20,N$22,$H517,$F$19)</f>
        <v>7527.45</v>
      </c>
      <c r="O517" s="36">
        <f>_xll.DBRW($E$12,$F$16,$F$17,$F$18,$E517,$F$20,O$22,$H517,$F$19)</f>
        <v>-1565.81</v>
      </c>
      <c r="P517" s="36">
        <f>_xll.DBRW($E$12,$F$16,$F$17,$F$18,$E517,$F$20,P$22,$H517,$F$19)</f>
        <v>0</v>
      </c>
      <c r="Q517" s="36">
        <f>_xll.DBRW($E$12,$F$16,$F$17,$F$18,$E517,$F$20,Q$22,$H517,$F$19)</f>
        <v>0</v>
      </c>
      <c r="R517" s="36">
        <f>_xll.DBRW($E$12,$F$16,$F$17,$F$18,$E517,$F$20,R$22,$H517,$F$19)</f>
        <v>0</v>
      </c>
      <c r="S517" s="36">
        <f>_xll.DBRW($E$12,$F$16,$F$17,$F$18,$E517,$F$20,S$22,$H517,$F$19)</f>
        <v>0</v>
      </c>
      <c r="T517" s="36">
        <f>_xll.DBRW($E$12,$F$16,$F$17,$F$18,$E517,$F$20,T$22,$H517,$F$19)</f>
        <v>0</v>
      </c>
      <c r="U517" s="36">
        <f>_xll.DBRW($E$12,$F$16,$F$17,$F$18,$E517,$F$20,U$22,$H517,$F$19)</f>
        <v>50041.72</v>
      </c>
    </row>
    <row r="518" spans="4:21" s="37" customFormat="1" ht="15" outlineLevel="1" thickBot="1" x14ac:dyDescent="0.35">
      <c r="D518" s="33" t="str">
        <f>IF(_xll.TM1RPTELISCONSOLIDATED($H$34,$H518),IF(_xll.TM1RPTELLEV($H$34,$H518)&lt;=5,_xll.TM1RPTELLEV($H$34,$H518),"Default"),"Leaf")</f>
        <v>Leaf</v>
      </c>
      <c r="E518" s="42" t="s">
        <v>690</v>
      </c>
      <c r="F518" s="34" t="str">
        <f>_xll.DBR($B$18,$H518,"Account_Type")</f>
        <v>NON LABOR</v>
      </c>
      <c r="G518" s="34" t="str">
        <f>_xll.DBR($B$18,$H518,"Description")</f>
        <v>Certificates/Licenses/Permits</v>
      </c>
      <c r="H518" s="43" t="s">
        <v>193</v>
      </c>
      <c r="I518" s="36">
        <f>_xll.DBRW($E$12,$F$16,$F$17,$F$18,$E518,$F$20,I$22,$H518,$F$19)</f>
        <v>14697.02</v>
      </c>
      <c r="J518" s="36">
        <f>_xll.DBRW($E$12,$F$16,$F$17,$F$18,$E518,$F$20,J$22,$H518,$F$19)</f>
        <v>1504.29</v>
      </c>
      <c r="K518" s="36">
        <f>_xll.DBRW($E$12,$F$16,$F$17,$F$18,$E518,$F$20,K$22,$H518,$F$19)</f>
        <v>54.75</v>
      </c>
      <c r="L518" s="36">
        <f>_xll.DBRW($E$12,$F$16,$F$17,$F$18,$E518,$F$20,L$22,$H518,$F$19)</f>
        <v>13136.34</v>
      </c>
      <c r="M518" s="36">
        <f>_xll.DBRW($E$12,$F$16,$F$17,$F$18,$E518,$F$20,M$22,$H518,$F$19)</f>
        <v>4080.23</v>
      </c>
      <c r="N518" s="36">
        <f>_xll.DBRW($E$12,$F$16,$F$17,$F$18,$E518,$F$20,N$22,$H518,$F$19)</f>
        <v>12886.85</v>
      </c>
      <c r="O518" s="36">
        <f>_xll.DBRW($E$12,$F$16,$F$17,$F$18,$E518,$F$20,O$22,$H518,$F$19)</f>
        <v>0</v>
      </c>
      <c r="P518" s="36">
        <f>_xll.DBRW($E$12,$F$16,$F$17,$F$18,$E518,$F$20,P$22,$H518,$F$19)</f>
        <v>0</v>
      </c>
      <c r="Q518" s="36">
        <f>_xll.DBRW($E$12,$F$16,$F$17,$F$18,$E518,$F$20,Q$22,$H518,$F$19)</f>
        <v>0</v>
      </c>
      <c r="R518" s="36">
        <f>_xll.DBRW($E$12,$F$16,$F$17,$F$18,$E518,$F$20,R$22,$H518,$F$19)</f>
        <v>0</v>
      </c>
      <c r="S518" s="36">
        <f>_xll.DBRW($E$12,$F$16,$F$17,$F$18,$E518,$F$20,S$22,$H518,$F$19)</f>
        <v>0</v>
      </c>
      <c r="T518" s="36">
        <f>_xll.DBRW($E$12,$F$16,$F$17,$F$18,$E518,$F$20,T$22,$H518,$F$19)</f>
        <v>0</v>
      </c>
      <c r="U518" s="36">
        <f>_xll.DBRW($E$12,$F$16,$F$17,$F$18,$E518,$F$20,U$22,$H518,$F$19)</f>
        <v>46359.48</v>
      </c>
    </row>
    <row r="519" spans="4:21" s="37" customFormat="1" ht="15" outlineLevel="1" thickBot="1" x14ac:dyDescent="0.35">
      <c r="D519" s="33" t="str">
        <f>IF(_xll.TM1RPTELISCONSOLIDATED($H$34,$H519),IF(_xll.TM1RPTELLEV($H$34,$H519)&lt;=5,_xll.TM1RPTELLEV($H$34,$H519),"Default"),"Leaf")</f>
        <v>Leaf</v>
      </c>
      <c r="E519" s="42" t="s">
        <v>690</v>
      </c>
      <c r="F519" s="34" t="str">
        <f>_xll.DBR($B$18,$H519,"Account_Type")</f>
        <v>NON LABOR</v>
      </c>
      <c r="G519" s="34" t="str">
        <f>_xll.DBR($B$18,$H519,"Description")</f>
        <v>Office Rent</v>
      </c>
      <c r="H519" s="43" t="s">
        <v>209</v>
      </c>
      <c r="I519" s="36">
        <f>_xll.DBRW($E$12,$F$16,$F$17,$F$18,$E519,$F$20,I$22,$H519,$F$19)</f>
        <v>3836.79</v>
      </c>
      <c r="J519" s="36">
        <f>_xll.DBRW($E$12,$F$16,$F$17,$F$18,$E519,$F$20,J$22,$H519,$F$19)</f>
        <v>3171.69</v>
      </c>
      <c r="K519" s="36">
        <f>_xll.DBRW($E$12,$F$16,$F$17,$F$18,$E519,$F$20,K$22,$H519,$F$19)</f>
        <v>4068.02</v>
      </c>
      <c r="L519" s="36">
        <f>_xll.DBRW($E$12,$F$16,$F$17,$F$18,$E519,$F$20,L$22,$H519,$F$19)</f>
        <v>3171.69</v>
      </c>
      <c r="M519" s="36">
        <f>_xll.DBRW($E$12,$F$16,$F$17,$F$18,$E519,$F$20,M$22,$H519,$F$19)</f>
        <v>1047.46</v>
      </c>
      <c r="N519" s="36">
        <f>_xll.DBRW($E$12,$F$16,$F$17,$F$18,$E519,$F$20,N$22,$H519,$F$19)</f>
        <v>2105.92</v>
      </c>
      <c r="O519" s="36">
        <f>_xll.DBRW($E$12,$F$16,$F$17,$F$18,$E519,$F$20,O$22,$H519,$F$19)</f>
        <v>0</v>
      </c>
      <c r="P519" s="36">
        <f>_xll.DBRW($E$12,$F$16,$F$17,$F$18,$E519,$F$20,P$22,$H519,$F$19)</f>
        <v>0</v>
      </c>
      <c r="Q519" s="36">
        <f>_xll.DBRW($E$12,$F$16,$F$17,$F$18,$E519,$F$20,Q$22,$H519,$F$19)</f>
        <v>0</v>
      </c>
      <c r="R519" s="36">
        <f>_xll.DBRW($E$12,$F$16,$F$17,$F$18,$E519,$F$20,R$22,$H519,$F$19)</f>
        <v>0</v>
      </c>
      <c r="S519" s="36">
        <f>_xll.DBRW($E$12,$F$16,$F$17,$F$18,$E519,$F$20,S$22,$H519,$F$19)</f>
        <v>0</v>
      </c>
      <c r="T519" s="36">
        <f>_xll.DBRW($E$12,$F$16,$F$17,$F$18,$E519,$F$20,T$22,$H519,$F$19)</f>
        <v>0</v>
      </c>
      <c r="U519" s="36">
        <f>_xll.DBRW($E$12,$F$16,$F$17,$F$18,$E519,$F$20,U$22,$H519,$F$19)</f>
        <v>17401.57</v>
      </c>
    </row>
    <row r="520" spans="4:21" s="37" customFormat="1" ht="15" outlineLevel="1" thickBot="1" x14ac:dyDescent="0.35">
      <c r="D520" s="33" t="str">
        <f>IF(_xll.TM1RPTELISCONSOLIDATED($H$34,$H520),IF(_xll.TM1RPTELLEV($H$34,$H520)&lt;=5,_xll.TM1RPTELLEV($H$34,$H520),"Default"),"Leaf")</f>
        <v>Leaf</v>
      </c>
      <c r="E520" s="42" t="s">
        <v>690</v>
      </c>
      <c r="F520" s="34" t="str">
        <f>_xll.DBR($B$18,$H520,"Account_Type")</f>
        <v>NON LABOR</v>
      </c>
      <c r="G520" s="34" t="str">
        <f>_xll.DBR($B$18,$H520,"Description")</f>
        <v>Utilities</v>
      </c>
      <c r="H520" s="43" t="s">
        <v>221</v>
      </c>
      <c r="I520" s="36">
        <f>_xll.DBRW($E$12,$F$16,$F$17,$F$18,$E520,$F$20,I$22,$H520,$F$19)</f>
        <v>2115.2199999999998</v>
      </c>
      <c r="J520" s="36">
        <f>_xll.DBRW($E$12,$F$16,$F$17,$F$18,$E520,$F$20,J$22,$H520,$F$19)</f>
        <v>44.09</v>
      </c>
      <c r="K520" s="36">
        <f>_xll.DBRW($E$12,$F$16,$F$17,$F$18,$E520,$F$20,K$22,$H520,$F$19)</f>
        <v>2375.19</v>
      </c>
      <c r="L520" s="36">
        <f>_xll.DBRW($E$12,$F$16,$F$17,$F$18,$E520,$F$20,L$22,$H520,$F$19)</f>
        <v>4172.87</v>
      </c>
      <c r="M520" s="36">
        <f>_xll.DBRW($E$12,$F$16,$F$17,$F$18,$E520,$F$20,M$22,$H520,$F$19)</f>
        <v>937.48</v>
      </c>
      <c r="N520" s="36">
        <f>_xll.DBRW($E$12,$F$16,$F$17,$F$18,$E520,$F$20,N$22,$H520,$F$19)</f>
        <v>2384.41</v>
      </c>
      <c r="O520" s="36">
        <f>_xll.DBRW($E$12,$F$16,$F$17,$F$18,$E520,$F$20,O$22,$H520,$F$19)</f>
        <v>0</v>
      </c>
      <c r="P520" s="36">
        <f>_xll.DBRW($E$12,$F$16,$F$17,$F$18,$E520,$F$20,P$22,$H520,$F$19)</f>
        <v>0</v>
      </c>
      <c r="Q520" s="36">
        <f>_xll.DBRW($E$12,$F$16,$F$17,$F$18,$E520,$F$20,Q$22,$H520,$F$19)</f>
        <v>0</v>
      </c>
      <c r="R520" s="36">
        <f>_xll.DBRW($E$12,$F$16,$F$17,$F$18,$E520,$F$20,R$22,$H520,$F$19)</f>
        <v>0</v>
      </c>
      <c r="S520" s="36">
        <f>_xll.DBRW($E$12,$F$16,$F$17,$F$18,$E520,$F$20,S$22,$H520,$F$19)</f>
        <v>0</v>
      </c>
      <c r="T520" s="36">
        <f>_xll.DBRW($E$12,$F$16,$F$17,$F$18,$E520,$F$20,T$22,$H520,$F$19)</f>
        <v>0</v>
      </c>
      <c r="U520" s="36">
        <f>_xll.DBRW($E$12,$F$16,$F$17,$F$18,$E520,$F$20,U$22,$H520,$F$19)</f>
        <v>12029.259999999998</v>
      </c>
    </row>
    <row r="521" spans="4:21" s="37" customFormat="1" ht="15" outlineLevel="1" thickBot="1" x14ac:dyDescent="0.35">
      <c r="D521" s="33" t="str">
        <f>IF(_xll.TM1RPTELISCONSOLIDATED($H$34,$H521),IF(_xll.TM1RPTELLEV($H$34,$H521)&lt;=5,_xll.TM1RPTELLEV($H$34,$H521),"Default"),"Leaf")</f>
        <v>Leaf</v>
      </c>
      <c r="E521" s="42" t="s">
        <v>690</v>
      </c>
      <c r="F521" s="34" t="str">
        <f>_xll.DBR($B$18,$H521,"Account_Type")</f>
        <v>NON LABOR</v>
      </c>
      <c r="G521" s="34" t="str">
        <f>_xll.DBR($B$18,$H521,"Description")</f>
        <v>Security / Janitorial Charges</v>
      </c>
      <c r="H521" s="43" t="s">
        <v>231</v>
      </c>
      <c r="I521" s="36">
        <f>_xll.DBRW($E$12,$F$16,$F$17,$F$18,$E521,$F$20,I$22,$H521,$F$19)</f>
        <v>639.94000000000005</v>
      </c>
      <c r="J521" s="36">
        <f>_xll.DBRW($E$12,$F$16,$F$17,$F$18,$E521,$F$20,J$22,$H521,$F$19)</f>
        <v>306.52999999999997</v>
      </c>
      <c r="K521" s="36">
        <f>_xll.DBRW($E$12,$F$16,$F$17,$F$18,$E521,$F$20,K$22,$H521,$F$19)</f>
        <v>190.42</v>
      </c>
      <c r="L521" s="36">
        <f>_xll.DBRW($E$12,$F$16,$F$17,$F$18,$E521,$F$20,L$22,$H521,$F$19)</f>
        <v>227.76</v>
      </c>
      <c r="M521" s="36">
        <f>_xll.DBRW($E$12,$F$16,$F$17,$F$18,$E521,$F$20,M$22,$H521,$F$19)</f>
        <v>199.85</v>
      </c>
      <c r="N521" s="36">
        <f>_xll.DBRW($E$12,$F$16,$F$17,$F$18,$E521,$F$20,N$22,$H521,$F$19)</f>
        <v>153.94999999999999</v>
      </c>
      <c r="O521" s="36">
        <f>_xll.DBRW($E$12,$F$16,$F$17,$F$18,$E521,$F$20,O$22,$H521,$F$19)</f>
        <v>-522.99</v>
      </c>
      <c r="P521" s="36">
        <f>_xll.DBRW($E$12,$F$16,$F$17,$F$18,$E521,$F$20,P$22,$H521,$F$19)</f>
        <v>0</v>
      </c>
      <c r="Q521" s="36">
        <f>_xll.DBRW($E$12,$F$16,$F$17,$F$18,$E521,$F$20,Q$22,$H521,$F$19)</f>
        <v>0</v>
      </c>
      <c r="R521" s="36">
        <f>_xll.DBRW($E$12,$F$16,$F$17,$F$18,$E521,$F$20,R$22,$H521,$F$19)</f>
        <v>0</v>
      </c>
      <c r="S521" s="36">
        <f>_xll.DBRW($E$12,$F$16,$F$17,$F$18,$E521,$F$20,S$22,$H521,$F$19)</f>
        <v>0</v>
      </c>
      <c r="T521" s="36">
        <f>_xll.DBRW($E$12,$F$16,$F$17,$F$18,$E521,$F$20,T$22,$H521,$F$19)</f>
        <v>0</v>
      </c>
      <c r="U521" s="36">
        <f>_xll.DBRW($E$12,$F$16,$F$17,$F$18,$E521,$F$20,U$22,$H521,$F$19)</f>
        <v>1195.46</v>
      </c>
    </row>
    <row r="522" spans="4:21" s="37" customFormat="1" ht="15" outlineLevel="1" thickBot="1" x14ac:dyDescent="0.35">
      <c r="D522" s="33" t="str">
        <f>IF(_xll.TM1RPTELISCONSOLIDATED($H$34,$H522),IF(_xll.TM1RPTELLEV($H$34,$H522)&lt;=5,_xll.TM1RPTELLEV($H$34,$H522),"Default"),"Leaf")</f>
        <v>Leaf</v>
      </c>
      <c r="E522" s="42" t="s">
        <v>690</v>
      </c>
      <c r="F522" s="34" t="str">
        <f>_xll.DBR($B$18,$H522,"Account_Type")</f>
        <v>NON LABOR</v>
      </c>
      <c r="G522" s="34" t="str">
        <f>_xll.DBR($B$18,$H522,"Description")</f>
        <v>Facility Maintenance</v>
      </c>
      <c r="H522" s="43" t="s">
        <v>237</v>
      </c>
      <c r="I522" s="36">
        <f>_xll.DBRW($E$12,$F$16,$F$17,$F$18,$E522,$F$20,I$22,$H522,$F$19)</f>
        <v>19541.63</v>
      </c>
      <c r="J522" s="36">
        <f>_xll.DBRW($E$12,$F$16,$F$17,$F$18,$E522,$F$20,J$22,$H522,$F$19)</f>
        <v>983.77</v>
      </c>
      <c r="K522" s="36">
        <f>_xll.DBRW($E$12,$F$16,$F$17,$F$18,$E522,$F$20,K$22,$H522,$F$19)</f>
        <v>1209.44</v>
      </c>
      <c r="L522" s="36">
        <f>_xll.DBRW($E$12,$F$16,$F$17,$F$18,$E522,$F$20,L$22,$H522,$F$19)</f>
        <v>327.29000000000002</v>
      </c>
      <c r="M522" s="36">
        <f>_xll.DBRW($E$12,$F$16,$F$17,$F$18,$E522,$F$20,M$22,$H522,$F$19)</f>
        <v>132.9</v>
      </c>
      <c r="N522" s="36">
        <f>_xll.DBRW($E$12,$F$16,$F$17,$F$18,$E522,$F$20,N$22,$H522,$F$19)</f>
        <v>1857.43</v>
      </c>
      <c r="O522" s="36">
        <f>_xll.DBRW($E$12,$F$16,$F$17,$F$18,$E522,$F$20,O$22,$H522,$F$19)</f>
        <v>0</v>
      </c>
      <c r="P522" s="36">
        <f>_xll.DBRW($E$12,$F$16,$F$17,$F$18,$E522,$F$20,P$22,$H522,$F$19)</f>
        <v>0</v>
      </c>
      <c r="Q522" s="36">
        <f>_xll.DBRW($E$12,$F$16,$F$17,$F$18,$E522,$F$20,Q$22,$H522,$F$19)</f>
        <v>0</v>
      </c>
      <c r="R522" s="36">
        <f>_xll.DBRW($E$12,$F$16,$F$17,$F$18,$E522,$F$20,R$22,$H522,$F$19)</f>
        <v>0</v>
      </c>
      <c r="S522" s="36">
        <f>_xll.DBRW($E$12,$F$16,$F$17,$F$18,$E522,$F$20,S$22,$H522,$F$19)</f>
        <v>0</v>
      </c>
      <c r="T522" s="36">
        <f>_xll.DBRW($E$12,$F$16,$F$17,$F$18,$E522,$F$20,T$22,$H522,$F$19)</f>
        <v>0</v>
      </c>
      <c r="U522" s="36">
        <f>_xll.DBRW($E$12,$F$16,$F$17,$F$18,$E522,$F$20,U$22,$H522,$F$19)</f>
        <v>24052.460000000003</v>
      </c>
    </row>
    <row r="523" spans="4:21" s="37" customFormat="1" ht="15" outlineLevel="1" thickBot="1" x14ac:dyDescent="0.35">
      <c r="D523" s="33" t="str">
        <f>IF(_xll.TM1RPTELISCONSOLIDATED($H$34,$H523),IF(_xll.TM1RPTELLEV($H$34,$H523)&lt;=5,_xll.TM1RPTELLEV($H$34,$H523),"Default"),"Leaf")</f>
        <v>Leaf</v>
      </c>
      <c r="E523" s="42" t="s">
        <v>690</v>
      </c>
      <c r="F523" s="34" t="str">
        <f>_xll.DBR($B$18,$H523,"Account_Type")</f>
        <v>NON LABOR</v>
      </c>
      <c r="G523" s="34" t="str">
        <f>_xll.DBR($B$18,$H523,"Description")</f>
        <v>Professional Services / Consultants</v>
      </c>
      <c r="H523" s="43" t="s">
        <v>245</v>
      </c>
      <c r="I523" s="36">
        <f>_xll.DBRW($E$12,$F$16,$F$17,$F$18,$E523,$F$20,I$22,$H523,$F$19)</f>
        <v>0</v>
      </c>
      <c r="J523" s="36">
        <f>_xll.DBRW($E$12,$F$16,$F$17,$F$18,$E523,$F$20,J$22,$H523,$F$19)</f>
        <v>0</v>
      </c>
      <c r="K523" s="36">
        <f>_xll.DBRW($E$12,$F$16,$F$17,$F$18,$E523,$F$20,K$22,$H523,$F$19)</f>
        <v>1313.74</v>
      </c>
      <c r="L523" s="36">
        <f>_xll.DBRW($E$12,$F$16,$F$17,$F$18,$E523,$F$20,L$22,$H523,$F$19)</f>
        <v>0</v>
      </c>
      <c r="M523" s="36">
        <f>_xll.DBRW($E$12,$F$16,$F$17,$F$18,$E523,$F$20,M$22,$H523,$F$19)</f>
        <v>0</v>
      </c>
      <c r="N523" s="36">
        <f>_xll.DBRW($E$12,$F$16,$F$17,$F$18,$E523,$F$20,N$22,$H523,$F$19)</f>
        <v>0</v>
      </c>
      <c r="O523" s="36">
        <f>_xll.DBRW($E$12,$F$16,$F$17,$F$18,$E523,$F$20,O$22,$H523,$F$19)</f>
        <v>0</v>
      </c>
      <c r="P523" s="36">
        <f>_xll.DBRW($E$12,$F$16,$F$17,$F$18,$E523,$F$20,P$22,$H523,$F$19)</f>
        <v>0</v>
      </c>
      <c r="Q523" s="36">
        <f>_xll.DBRW($E$12,$F$16,$F$17,$F$18,$E523,$F$20,Q$22,$H523,$F$19)</f>
        <v>0</v>
      </c>
      <c r="R523" s="36">
        <f>_xll.DBRW($E$12,$F$16,$F$17,$F$18,$E523,$F$20,R$22,$H523,$F$19)</f>
        <v>0</v>
      </c>
      <c r="S523" s="36">
        <f>_xll.DBRW($E$12,$F$16,$F$17,$F$18,$E523,$F$20,S$22,$H523,$F$19)</f>
        <v>0</v>
      </c>
      <c r="T523" s="36">
        <f>_xll.DBRW($E$12,$F$16,$F$17,$F$18,$E523,$F$20,T$22,$H523,$F$19)</f>
        <v>0</v>
      </c>
      <c r="U523" s="36">
        <f>_xll.DBRW($E$12,$F$16,$F$17,$F$18,$E523,$F$20,U$22,$H523,$F$19)</f>
        <v>1313.74</v>
      </c>
    </row>
    <row r="524" spans="4:21" s="37" customFormat="1" ht="15" outlineLevel="1" thickBot="1" x14ac:dyDescent="0.35">
      <c r="D524" s="33" t="str">
        <f>IF(_xll.TM1RPTELISCONSOLIDATED($H$34,$H524),IF(_xll.TM1RPTELLEV($H$34,$H524)&lt;=5,_xll.TM1RPTELLEV($H$34,$H524),"Default"),"Leaf")</f>
        <v>Leaf</v>
      </c>
      <c r="E524" s="42" t="s">
        <v>690</v>
      </c>
      <c r="F524" s="34" t="str">
        <f>_xll.DBR($B$18,$H524,"Account_Type")</f>
        <v>NON LABOR</v>
      </c>
      <c r="G524" s="34" t="str">
        <f>_xll.DBR($B$18,$H524,"Description")</f>
        <v>Environmental / Disposal Fees</v>
      </c>
      <c r="H524" s="43" t="s">
        <v>253</v>
      </c>
      <c r="I524" s="36">
        <f>_xll.DBRW($E$12,$F$16,$F$17,$F$18,$E524,$F$20,I$22,$H524,$F$19)</f>
        <v>2528.41</v>
      </c>
      <c r="J524" s="36">
        <f>_xll.DBRW($E$12,$F$16,$F$17,$F$18,$E524,$F$20,J$22,$H524,$F$19)</f>
        <v>1487.81</v>
      </c>
      <c r="K524" s="36">
        <f>_xll.DBRW($E$12,$F$16,$F$17,$F$18,$E524,$F$20,K$22,$H524,$F$19)</f>
        <v>6208.4</v>
      </c>
      <c r="L524" s="36">
        <f>_xll.DBRW($E$12,$F$16,$F$17,$F$18,$E524,$F$20,L$22,$H524,$F$19)</f>
        <v>0</v>
      </c>
      <c r="M524" s="36">
        <f>_xll.DBRW($E$12,$F$16,$F$17,$F$18,$E524,$F$20,M$22,$H524,$F$19)</f>
        <v>922.91</v>
      </c>
      <c r="N524" s="36">
        <f>_xll.DBRW($E$12,$F$16,$F$17,$F$18,$E524,$F$20,N$22,$H524,$F$19)</f>
        <v>3657.54</v>
      </c>
      <c r="O524" s="36">
        <f>_xll.DBRW($E$12,$F$16,$F$17,$F$18,$E524,$F$20,O$22,$H524,$F$19)</f>
        <v>-2659.4</v>
      </c>
      <c r="P524" s="36">
        <f>_xll.DBRW($E$12,$F$16,$F$17,$F$18,$E524,$F$20,P$22,$H524,$F$19)</f>
        <v>0</v>
      </c>
      <c r="Q524" s="36">
        <f>_xll.DBRW($E$12,$F$16,$F$17,$F$18,$E524,$F$20,Q$22,$H524,$F$19)</f>
        <v>0</v>
      </c>
      <c r="R524" s="36">
        <f>_xll.DBRW($E$12,$F$16,$F$17,$F$18,$E524,$F$20,R$22,$H524,$F$19)</f>
        <v>0</v>
      </c>
      <c r="S524" s="36">
        <f>_xll.DBRW($E$12,$F$16,$F$17,$F$18,$E524,$F$20,S$22,$H524,$F$19)</f>
        <v>0</v>
      </c>
      <c r="T524" s="36">
        <f>_xll.DBRW($E$12,$F$16,$F$17,$F$18,$E524,$F$20,T$22,$H524,$F$19)</f>
        <v>0</v>
      </c>
      <c r="U524" s="36">
        <f>_xll.DBRW($E$12,$F$16,$F$17,$F$18,$E524,$F$20,U$22,$H524,$F$19)</f>
        <v>12145.67</v>
      </c>
    </row>
    <row r="525" spans="4:21" s="37" customFormat="1" ht="15" outlineLevel="1" thickBot="1" x14ac:dyDescent="0.35">
      <c r="D525" s="33" t="str">
        <f>IF(_xll.TM1RPTELISCONSOLIDATED($H$34,$H525),IF(_xll.TM1RPTELLEV($H$34,$H525)&lt;=5,_xll.TM1RPTELLEV($H$34,$H525),"Default"),"Leaf")</f>
        <v>Leaf</v>
      </c>
      <c r="E525" s="42" t="s">
        <v>690</v>
      </c>
      <c r="F525" s="34" t="str">
        <f>_xll.DBR($B$18,$H525,"Account_Type")</f>
        <v>NON LABOR</v>
      </c>
      <c r="G525" s="34" t="str">
        <f>_xll.DBR($B$18,$H525,"Description")</f>
        <v>Fines &amp; Penalties</v>
      </c>
      <c r="H525" s="43" t="s">
        <v>262</v>
      </c>
      <c r="I525" s="36">
        <f>_xll.DBRW($E$12,$F$16,$F$17,$F$18,$E525,$F$20,I$22,$H525,$F$19)</f>
        <v>228.33</v>
      </c>
      <c r="J525" s="36">
        <f>_xll.DBRW($E$12,$F$16,$F$17,$F$18,$E525,$F$20,J$22,$H525,$F$19)</f>
        <v>13.38</v>
      </c>
      <c r="K525" s="36">
        <f>_xll.DBRW($E$12,$F$16,$F$17,$F$18,$E525,$F$20,K$22,$H525,$F$19)</f>
        <v>0</v>
      </c>
      <c r="L525" s="36">
        <f>_xll.DBRW($E$12,$F$16,$F$17,$F$18,$E525,$F$20,L$22,$H525,$F$19)</f>
        <v>2489.94</v>
      </c>
      <c r="M525" s="36">
        <f>_xll.DBRW($E$12,$F$16,$F$17,$F$18,$E525,$F$20,M$22,$H525,$F$19)</f>
        <v>767.15</v>
      </c>
      <c r="N525" s="36">
        <f>_xll.DBRW($E$12,$F$16,$F$17,$F$18,$E525,$F$20,N$22,$H525,$F$19)</f>
        <v>3174.83</v>
      </c>
      <c r="O525" s="36">
        <f>_xll.DBRW($E$12,$F$16,$F$17,$F$18,$E525,$F$20,O$22,$H525,$F$19)</f>
        <v>0</v>
      </c>
      <c r="P525" s="36">
        <f>_xll.DBRW($E$12,$F$16,$F$17,$F$18,$E525,$F$20,P$22,$H525,$F$19)</f>
        <v>0</v>
      </c>
      <c r="Q525" s="36">
        <f>_xll.DBRW($E$12,$F$16,$F$17,$F$18,$E525,$F$20,Q$22,$H525,$F$19)</f>
        <v>0</v>
      </c>
      <c r="R525" s="36">
        <f>_xll.DBRW($E$12,$F$16,$F$17,$F$18,$E525,$F$20,R$22,$H525,$F$19)</f>
        <v>0</v>
      </c>
      <c r="S525" s="36">
        <f>_xll.DBRW($E$12,$F$16,$F$17,$F$18,$E525,$F$20,S$22,$H525,$F$19)</f>
        <v>0</v>
      </c>
      <c r="T525" s="36">
        <f>_xll.DBRW($E$12,$F$16,$F$17,$F$18,$E525,$F$20,T$22,$H525,$F$19)</f>
        <v>0</v>
      </c>
      <c r="U525" s="36">
        <f>_xll.DBRW($E$12,$F$16,$F$17,$F$18,$E525,$F$20,U$22,$H525,$F$19)</f>
        <v>6673.63</v>
      </c>
    </row>
    <row r="526" spans="4:21" s="37" customFormat="1" ht="15" outlineLevel="1" thickBot="1" x14ac:dyDescent="0.35">
      <c r="D526" s="33" t="str">
        <f>IF(_xll.TM1RPTELISCONSOLIDATED($H$34,$H526),IF(_xll.TM1RPTELLEV($H$34,$H526)&lt;=5,_xll.TM1RPTELLEV($H$34,$H526),"Default"),"Leaf")</f>
        <v>Leaf</v>
      </c>
      <c r="E526" s="42" t="s">
        <v>690</v>
      </c>
      <c r="F526" s="34" t="str">
        <f>_xll.DBR($B$18,$H526,"Account_Type")</f>
        <v>NON LABOR</v>
      </c>
      <c r="G526" s="34" t="str">
        <f>_xll.DBR($B$18,$H526,"Description")</f>
        <v>Drug Testing &amp; Physicals</v>
      </c>
      <c r="H526" s="43" t="s">
        <v>275</v>
      </c>
      <c r="I526" s="36">
        <f>_xll.DBRW($E$12,$F$16,$F$17,$F$18,$E526,$F$20,I$22,$H526,$F$19)</f>
        <v>1364</v>
      </c>
      <c r="J526" s="36">
        <f>_xll.DBRW($E$12,$F$16,$F$17,$F$18,$E526,$F$20,J$22,$H526,$F$19)</f>
        <v>0</v>
      </c>
      <c r="K526" s="36">
        <f>_xll.DBRW($E$12,$F$16,$F$17,$F$18,$E526,$F$20,K$22,$H526,$F$19)</f>
        <v>102</v>
      </c>
      <c r="L526" s="36">
        <f>_xll.DBRW($E$12,$F$16,$F$17,$F$18,$E526,$F$20,L$22,$H526,$F$19)</f>
        <v>23</v>
      </c>
      <c r="M526" s="36">
        <f>_xll.DBRW($E$12,$F$16,$F$17,$F$18,$E526,$F$20,M$22,$H526,$F$19)</f>
        <v>60</v>
      </c>
      <c r="N526" s="36">
        <f>_xll.DBRW($E$12,$F$16,$F$17,$F$18,$E526,$F$20,N$22,$H526,$F$19)</f>
        <v>108.77</v>
      </c>
      <c r="O526" s="36">
        <f>_xll.DBRW($E$12,$F$16,$F$17,$F$18,$E526,$F$20,O$22,$H526,$F$19)</f>
        <v>0</v>
      </c>
      <c r="P526" s="36">
        <f>_xll.DBRW($E$12,$F$16,$F$17,$F$18,$E526,$F$20,P$22,$H526,$F$19)</f>
        <v>0</v>
      </c>
      <c r="Q526" s="36">
        <f>_xll.DBRW($E$12,$F$16,$F$17,$F$18,$E526,$F$20,Q$22,$H526,$F$19)</f>
        <v>0</v>
      </c>
      <c r="R526" s="36">
        <f>_xll.DBRW($E$12,$F$16,$F$17,$F$18,$E526,$F$20,R$22,$H526,$F$19)</f>
        <v>0</v>
      </c>
      <c r="S526" s="36">
        <f>_xll.DBRW($E$12,$F$16,$F$17,$F$18,$E526,$F$20,S$22,$H526,$F$19)</f>
        <v>0</v>
      </c>
      <c r="T526" s="36">
        <f>_xll.DBRW($E$12,$F$16,$F$17,$F$18,$E526,$F$20,T$22,$H526,$F$19)</f>
        <v>0</v>
      </c>
      <c r="U526" s="36">
        <f>_xll.DBRW($E$12,$F$16,$F$17,$F$18,$E526,$F$20,U$22,$H526,$F$19)</f>
        <v>1657.77</v>
      </c>
    </row>
    <row r="527" spans="4:21" s="37" customFormat="1" ht="15" outlineLevel="1" thickBot="1" x14ac:dyDescent="0.35">
      <c r="D527" s="33" t="str">
        <f>IF(_xll.TM1RPTELISCONSOLIDATED($H$34,$H527),IF(_xll.TM1RPTELLEV($H$34,$H527)&lt;=5,_xll.TM1RPTELLEV($H$34,$H527),"Default"),"Leaf")</f>
        <v>Leaf</v>
      </c>
      <c r="E527" s="42" t="s">
        <v>690</v>
      </c>
      <c r="F527" s="34" t="str">
        <f>_xll.DBR($B$18,$H527,"Account_Type")</f>
        <v>NON LABOR</v>
      </c>
      <c r="G527" s="34" t="str">
        <f>_xll.DBR($B$18,$H527,"Description")</f>
        <v>Uniforms</v>
      </c>
      <c r="H527" s="43" t="s">
        <v>288</v>
      </c>
      <c r="I527" s="36">
        <f>_xll.DBRW($E$12,$F$16,$F$17,$F$18,$E527,$F$20,I$22,$H527,$F$19)</f>
        <v>807.45</v>
      </c>
      <c r="J527" s="36">
        <f>_xll.DBRW($E$12,$F$16,$F$17,$F$18,$E527,$F$20,J$22,$H527,$F$19)</f>
        <v>1852.9</v>
      </c>
      <c r="K527" s="36">
        <f>_xll.DBRW($E$12,$F$16,$F$17,$F$18,$E527,$F$20,K$22,$H527,$F$19)</f>
        <v>2922.29</v>
      </c>
      <c r="L527" s="36">
        <f>_xll.DBRW($E$12,$F$16,$F$17,$F$18,$E527,$F$20,L$22,$H527,$F$19)</f>
        <v>3375.99</v>
      </c>
      <c r="M527" s="36">
        <f>_xll.DBRW($E$12,$F$16,$F$17,$F$18,$E527,$F$20,M$22,$H527,$F$19)</f>
        <v>1212.75</v>
      </c>
      <c r="N527" s="36">
        <f>_xll.DBRW($E$12,$F$16,$F$17,$F$18,$E527,$F$20,N$22,$H527,$F$19)</f>
        <v>9925.44</v>
      </c>
      <c r="O527" s="36">
        <f>_xll.DBRW($E$12,$F$16,$F$17,$F$18,$E527,$F$20,O$22,$H527,$F$19)</f>
        <v>-43697.279999999999</v>
      </c>
      <c r="P527" s="36">
        <f>_xll.DBRW($E$12,$F$16,$F$17,$F$18,$E527,$F$20,P$22,$H527,$F$19)</f>
        <v>0</v>
      </c>
      <c r="Q527" s="36">
        <f>_xll.DBRW($E$12,$F$16,$F$17,$F$18,$E527,$F$20,Q$22,$H527,$F$19)</f>
        <v>0</v>
      </c>
      <c r="R527" s="36">
        <f>_xll.DBRW($E$12,$F$16,$F$17,$F$18,$E527,$F$20,R$22,$H527,$F$19)</f>
        <v>0</v>
      </c>
      <c r="S527" s="36">
        <f>_xll.DBRW($E$12,$F$16,$F$17,$F$18,$E527,$F$20,S$22,$H527,$F$19)</f>
        <v>0</v>
      </c>
      <c r="T527" s="36">
        <f>_xll.DBRW($E$12,$F$16,$F$17,$F$18,$E527,$F$20,T$22,$H527,$F$19)</f>
        <v>0</v>
      </c>
      <c r="U527" s="36">
        <f>_xll.DBRW($E$12,$F$16,$F$17,$F$18,$E527,$F$20,U$22,$H527,$F$19)</f>
        <v>-23600.46</v>
      </c>
    </row>
    <row r="528" spans="4:21" s="37" customFormat="1" ht="15" outlineLevel="1" thickBot="1" x14ac:dyDescent="0.35">
      <c r="D528" s="33" t="str">
        <f>IF(_xll.TM1RPTELISCONSOLIDATED($H$34,$H528),IF(_xll.TM1RPTELLEV($H$34,$H528)&lt;=5,_xll.TM1RPTELLEV($H$34,$H528),"Default"),"Leaf")</f>
        <v>Leaf</v>
      </c>
      <c r="E528" s="42" t="s">
        <v>690</v>
      </c>
      <c r="F528" s="34" t="str">
        <f>_xll.DBR($B$18,$H528,"Account_Type")</f>
        <v>NON LABOR</v>
      </c>
      <c r="G528" s="34" t="str">
        <f>_xll.DBR($B$18,$H528,"Description")</f>
        <v>Safety</v>
      </c>
      <c r="H528" s="43" t="s">
        <v>296</v>
      </c>
      <c r="I528" s="36">
        <f>_xll.DBRW($E$12,$F$16,$F$17,$F$18,$E528,$F$20,I$22,$H528,$F$19)</f>
        <v>0</v>
      </c>
      <c r="J528" s="36">
        <f>_xll.DBRW($E$12,$F$16,$F$17,$F$18,$E528,$F$20,J$22,$H528,$F$19)</f>
        <v>0</v>
      </c>
      <c r="K528" s="36">
        <f>_xll.DBRW($E$12,$F$16,$F$17,$F$18,$E528,$F$20,K$22,$H528,$F$19)</f>
        <v>1290.3800000000001</v>
      </c>
      <c r="L528" s="36">
        <f>_xll.DBRW($E$12,$F$16,$F$17,$F$18,$E528,$F$20,L$22,$H528,$F$19)</f>
        <v>0</v>
      </c>
      <c r="M528" s="36">
        <f>_xll.DBRW($E$12,$F$16,$F$17,$F$18,$E528,$F$20,M$22,$H528,$F$19)</f>
        <v>0</v>
      </c>
      <c r="N528" s="36">
        <f>_xll.DBRW($E$12,$F$16,$F$17,$F$18,$E528,$F$20,N$22,$H528,$F$19)</f>
        <v>283</v>
      </c>
      <c r="O528" s="36">
        <f>_xll.DBRW($E$12,$F$16,$F$17,$F$18,$E528,$F$20,O$22,$H528,$F$19)</f>
        <v>0</v>
      </c>
      <c r="P528" s="36">
        <f>_xll.DBRW($E$12,$F$16,$F$17,$F$18,$E528,$F$20,P$22,$H528,$F$19)</f>
        <v>0</v>
      </c>
      <c r="Q528" s="36">
        <f>_xll.DBRW($E$12,$F$16,$F$17,$F$18,$E528,$F$20,Q$22,$H528,$F$19)</f>
        <v>0</v>
      </c>
      <c r="R528" s="36">
        <f>_xll.DBRW($E$12,$F$16,$F$17,$F$18,$E528,$F$20,R$22,$H528,$F$19)</f>
        <v>0</v>
      </c>
      <c r="S528" s="36">
        <f>_xll.DBRW($E$12,$F$16,$F$17,$F$18,$E528,$F$20,S$22,$H528,$F$19)</f>
        <v>0</v>
      </c>
      <c r="T528" s="36">
        <f>_xll.DBRW($E$12,$F$16,$F$17,$F$18,$E528,$F$20,T$22,$H528,$F$19)</f>
        <v>0</v>
      </c>
      <c r="U528" s="36">
        <f>_xll.DBRW($E$12,$F$16,$F$17,$F$18,$E528,$F$20,U$22,$H528,$F$19)</f>
        <v>1573.38</v>
      </c>
    </row>
    <row r="529" spans="4:21" s="37" customFormat="1" ht="15" outlineLevel="1" thickBot="1" x14ac:dyDescent="0.35">
      <c r="D529" s="33" t="str">
        <f>IF(_xll.TM1RPTELISCONSOLIDATED($H$34,$H529),IF(_xll.TM1RPTELLEV($H$34,$H529)&lt;=5,_xll.TM1RPTELLEV($H$34,$H529),"Default"),"Leaf")</f>
        <v>Leaf</v>
      </c>
      <c r="E529" s="42" t="s">
        <v>690</v>
      </c>
      <c r="F529" s="34" t="str">
        <f>_xll.DBR($B$18,$H529,"Account_Type")</f>
        <v>NON LABOR</v>
      </c>
      <c r="G529" s="34" t="str">
        <f>_xll.DBR($B$18,$H529,"Description")</f>
        <v>Employee Morale &amp; Welfare</v>
      </c>
      <c r="H529" s="43" t="s">
        <v>305</v>
      </c>
      <c r="I529" s="36">
        <f>_xll.DBRW($E$12,$F$16,$F$17,$F$18,$E529,$F$20,I$22,$H529,$F$19)</f>
        <v>151</v>
      </c>
      <c r="J529" s="36">
        <f>_xll.DBRW($E$12,$F$16,$F$17,$F$18,$E529,$F$20,J$22,$H529,$F$19)</f>
        <v>382.08</v>
      </c>
      <c r="K529" s="36">
        <f>_xll.DBRW($E$12,$F$16,$F$17,$F$18,$E529,$F$20,K$22,$H529,$F$19)</f>
        <v>279</v>
      </c>
      <c r="L529" s="36">
        <f>_xll.DBRW($E$12,$F$16,$F$17,$F$18,$E529,$F$20,L$22,$H529,$F$19)</f>
        <v>0</v>
      </c>
      <c r="M529" s="36">
        <f>_xll.DBRW($E$12,$F$16,$F$17,$F$18,$E529,$F$20,M$22,$H529,$F$19)</f>
        <v>0</v>
      </c>
      <c r="N529" s="36">
        <f>_xll.DBRW($E$12,$F$16,$F$17,$F$18,$E529,$F$20,N$22,$H529,$F$19)</f>
        <v>288.10000000000002</v>
      </c>
      <c r="O529" s="36">
        <f>_xll.DBRW($E$12,$F$16,$F$17,$F$18,$E529,$F$20,O$22,$H529,$F$19)</f>
        <v>0</v>
      </c>
      <c r="P529" s="36">
        <f>_xll.DBRW($E$12,$F$16,$F$17,$F$18,$E529,$F$20,P$22,$H529,$F$19)</f>
        <v>0</v>
      </c>
      <c r="Q529" s="36">
        <f>_xll.DBRW($E$12,$F$16,$F$17,$F$18,$E529,$F$20,Q$22,$H529,$F$19)</f>
        <v>0</v>
      </c>
      <c r="R529" s="36">
        <f>_xll.DBRW($E$12,$F$16,$F$17,$F$18,$E529,$F$20,R$22,$H529,$F$19)</f>
        <v>0</v>
      </c>
      <c r="S529" s="36">
        <f>_xll.DBRW($E$12,$F$16,$F$17,$F$18,$E529,$F$20,S$22,$H529,$F$19)</f>
        <v>0</v>
      </c>
      <c r="T529" s="36">
        <f>_xll.DBRW($E$12,$F$16,$F$17,$F$18,$E529,$F$20,T$22,$H529,$F$19)</f>
        <v>0</v>
      </c>
      <c r="U529" s="36">
        <f>_xll.DBRW($E$12,$F$16,$F$17,$F$18,$E529,$F$20,U$22,$H529,$F$19)</f>
        <v>1100.1799999999998</v>
      </c>
    </row>
    <row r="530" spans="4:21" s="37" customFormat="1" ht="15" outlineLevel="1" thickBot="1" x14ac:dyDescent="0.35">
      <c r="D530" s="33" t="str">
        <f>IF(_xll.TM1RPTELISCONSOLIDATED($H$34,$H530),IF(_xll.TM1RPTELLEV($H$34,$H530)&lt;=5,_xll.TM1RPTELLEV($H$34,$H530),"Default"),"Leaf")</f>
        <v>Leaf</v>
      </c>
      <c r="E530" s="42" t="s">
        <v>690</v>
      </c>
      <c r="F530" s="34" t="str">
        <f>_xll.DBR($B$18,$H530,"Account_Type")</f>
        <v>NON LABOR</v>
      </c>
      <c r="G530" s="34" t="str">
        <f>_xll.DBR($B$18,$H530,"Description")</f>
        <v>Small Tools</v>
      </c>
      <c r="H530" s="43" t="s">
        <v>316</v>
      </c>
      <c r="I530" s="36">
        <f>_xll.DBRW($E$12,$F$16,$F$17,$F$18,$E530,$F$20,I$22,$H530,$F$19)</f>
        <v>3962.71</v>
      </c>
      <c r="J530" s="36">
        <f>_xll.DBRW($E$12,$F$16,$F$17,$F$18,$E530,$F$20,J$22,$H530,$F$19)</f>
        <v>745.99</v>
      </c>
      <c r="K530" s="36">
        <f>_xll.DBRW($E$12,$F$16,$F$17,$F$18,$E530,$F$20,K$22,$H530,$F$19)</f>
        <v>3996.87</v>
      </c>
      <c r="L530" s="36">
        <f>_xll.DBRW($E$12,$F$16,$F$17,$F$18,$E530,$F$20,L$22,$H530,$F$19)</f>
        <v>484.9</v>
      </c>
      <c r="M530" s="36">
        <f>_xll.DBRW($E$12,$F$16,$F$17,$F$18,$E530,$F$20,M$22,$H530,$F$19)</f>
        <v>-1422.77</v>
      </c>
      <c r="N530" s="36">
        <f>_xll.DBRW($E$12,$F$16,$F$17,$F$18,$E530,$F$20,N$22,$H530,$F$19)</f>
        <v>705.68</v>
      </c>
      <c r="O530" s="36">
        <f>_xll.DBRW($E$12,$F$16,$F$17,$F$18,$E530,$F$20,O$22,$H530,$F$19)</f>
        <v>-1157.99</v>
      </c>
      <c r="P530" s="36">
        <f>_xll.DBRW($E$12,$F$16,$F$17,$F$18,$E530,$F$20,P$22,$H530,$F$19)</f>
        <v>0</v>
      </c>
      <c r="Q530" s="36">
        <f>_xll.DBRW($E$12,$F$16,$F$17,$F$18,$E530,$F$20,Q$22,$H530,$F$19)</f>
        <v>0</v>
      </c>
      <c r="R530" s="36">
        <f>_xll.DBRW($E$12,$F$16,$F$17,$F$18,$E530,$F$20,R$22,$H530,$F$19)</f>
        <v>0</v>
      </c>
      <c r="S530" s="36">
        <f>_xll.DBRW($E$12,$F$16,$F$17,$F$18,$E530,$F$20,S$22,$H530,$F$19)</f>
        <v>0</v>
      </c>
      <c r="T530" s="36">
        <f>_xll.DBRW($E$12,$F$16,$F$17,$F$18,$E530,$F$20,T$22,$H530,$F$19)</f>
        <v>0</v>
      </c>
      <c r="U530" s="36">
        <f>_xll.DBRW($E$12,$F$16,$F$17,$F$18,$E530,$F$20,U$22,$H530,$F$19)</f>
        <v>7315.3899999999994</v>
      </c>
    </row>
    <row r="531" spans="4:21" s="37" customFormat="1" ht="15" outlineLevel="1" thickBot="1" x14ac:dyDescent="0.35">
      <c r="D531" s="33" t="str">
        <f>IF(_xll.TM1RPTELISCONSOLIDATED($H$34,$H531),IF(_xll.TM1RPTELLEV($H$34,$H531)&lt;=5,_xll.TM1RPTELLEV($H$34,$H531),"Default"),"Leaf")</f>
        <v>Leaf</v>
      </c>
      <c r="E531" s="42" t="s">
        <v>690</v>
      </c>
      <c r="F531" s="34" t="str">
        <f>_xll.DBR($B$18,$H531,"Account_Type")</f>
        <v>NON LABOR</v>
      </c>
      <c r="G531" s="34" t="str">
        <f>_xll.DBR($B$18,$H531,"Description")</f>
        <v>Consumable Purchases</v>
      </c>
      <c r="H531" s="43" t="s">
        <v>328</v>
      </c>
      <c r="I531" s="36">
        <f>_xll.DBRW($E$12,$F$16,$F$17,$F$18,$E531,$F$20,I$22,$H531,$F$19)</f>
        <v>29709.91</v>
      </c>
      <c r="J531" s="36">
        <f>_xll.DBRW($E$12,$F$16,$F$17,$F$18,$E531,$F$20,J$22,$H531,$F$19)</f>
        <v>10905.66</v>
      </c>
      <c r="K531" s="36">
        <f>_xll.DBRW($E$12,$F$16,$F$17,$F$18,$E531,$F$20,K$22,$H531,$F$19)</f>
        <v>37138.25</v>
      </c>
      <c r="L531" s="36">
        <f>_xll.DBRW($E$12,$F$16,$F$17,$F$18,$E531,$F$20,L$22,$H531,$F$19)</f>
        <v>23673.37</v>
      </c>
      <c r="M531" s="36">
        <f>_xll.DBRW($E$12,$F$16,$F$17,$F$18,$E531,$F$20,M$22,$H531,$F$19)</f>
        <v>10824.83</v>
      </c>
      <c r="N531" s="36">
        <f>_xll.DBRW($E$12,$F$16,$F$17,$F$18,$E531,$F$20,N$22,$H531,$F$19)</f>
        <v>13737.41</v>
      </c>
      <c r="O531" s="36">
        <f>_xll.DBRW($E$12,$F$16,$F$17,$F$18,$E531,$F$20,O$22,$H531,$F$19)</f>
        <v>378.4</v>
      </c>
      <c r="P531" s="36">
        <f>_xll.DBRW($E$12,$F$16,$F$17,$F$18,$E531,$F$20,P$22,$H531,$F$19)</f>
        <v>0</v>
      </c>
      <c r="Q531" s="36">
        <f>_xll.DBRW($E$12,$F$16,$F$17,$F$18,$E531,$F$20,Q$22,$H531,$F$19)</f>
        <v>0</v>
      </c>
      <c r="R531" s="36">
        <f>_xll.DBRW($E$12,$F$16,$F$17,$F$18,$E531,$F$20,R$22,$H531,$F$19)</f>
        <v>0</v>
      </c>
      <c r="S531" s="36">
        <f>_xll.DBRW($E$12,$F$16,$F$17,$F$18,$E531,$F$20,S$22,$H531,$F$19)</f>
        <v>0</v>
      </c>
      <c r="T531" s="36">
        <f>_xll.DBRW($E$12,$F$16,$F$17,$F$18,$E531,$F$20,T$22,$H531,$F$19)</f>
        <v>0</v>
      </c>
      <c r="U531" s="36">
        <f>_xll.DBRW($E$12,$F$16,$F$17,$F$18,$E531,$F$20,U$22,$H531,$F$19)</f>
        <v>126367.83</v>
      </c>
    </row>
    <row r="532" spans="4:21" s="37" customFormat="1" ht="15" outlineLevel="1" thickBot="1" x14ac:dyDescent="0.35">
      <c r="D532" s="33" t="str">
        <f>IF(_xll.TM1RPTELISCONSOLIDATED($H$34,$H532),IF(_xll.TM1RPTELLEV($H$34,$H532)&lt;=5,_xll.TM1RPTELLEV($H$34,$H532),"Default"),"Leaf")</f>
        <v>Leaf</v>
      </c>
      <c r="E532" s="42" t="s">
        <v>690</v>
      </c>
      <c r="F532" s="34" t="str">
        <f>_xll.DBR($B$18,$H532,"Account_Type")</f>
        <v>NON LABOR</v>
      </c>
      <c r="G532" s="34" t="str">
        <f>_xll.DBR($B$18,$H532,"Description")</f>
        <v>Rigging/Shackles/Slings</v>
      </c>
      <c r="H532" s="43" t="s">
        <v>336</v>
      </c>
      <c r="I532" s="36">
        <f>_xll.DBRW($E$12,$F$16,$F$17,$F$18,$E532,$F$20,I$22,$H532,$F$19)</f>
        <v>0</v>
      </c>
      <c r="J532" s="36">
        <f>_xll.DBRW($E$12,$F$16,$F$17,$F$18,$E532,$F$20,J$22,$H532,$F$19)</f>
        <v>0</v>
      </c>
      <c r="K532" s="36">
        <f>_xll.DBRW($E$12,$F$16,$F$17,$F$18,$E532,$F$20,K$22,$H532,$F$19)</f>
        <v>1461.04</v>
      </c>
      <c r="L532" s="36">
        <f>_xll.DBRW($E$12,$F$16,$F$17,$F$18,$E532,$F$20,L$22,$H532,$F$19)</f>
        <v>0</v>
      </c>
      <c r="M532" s="36">
        <f>_xll.DBRW($E$12,$F$16,$F$17,$F$18,$E532,$F$20,M$22,$H532,$F$19)</f>
        <v>0</v>
      </c>
      <c r="N532" s="36">
        <f>_xll.DBRW($E$12,$F$16,$F$17,$F$18,$E532,$F$20,N$22,$H532,$F$19)</f>
        <v>0</v>
      </c>
      <c r="O532" s="36">
        <f>_xll.DBRW($E$12,$F$16,$F$17,$F$18,$E532,$F$20,O$22,$H532,$F$19)</f>
        <v>0</v>
      </c>
      <c r="P532" s="36">
        <f>_xll.DBRW($E$12,$F$16,$F$17,$F$18,$E532,$F$20,P$22,$H532,$F$19)</f>
        <v>0</v>
      </c>
      <c r="Q532" s="36">
        <f>_xll.DBRW($E$12,$F$16,$F$17,$F$18,$E532,$F$20,Q$22,$H532,$F$19)</f>
        <v>0</v>
      </c>
      <c r="R532" s="36">
        <f>_xll.DBRW($E$12,$F$16,$F$17,$F$18,$E532,$F$20,R$22,$H532,$F$19)</f>
        <v>0</v>
      </c>
      <c r="S532" s="36">
        <f>_xll.DBRW($E$12,$F$16,$F$17,$F$18,$E532,$F$20,S$22,$H532,$F$19)</f>
        <v>0</v>
      </c>
      <c r="T532" s="36">
        <f>_xll.DBRW($E$12,$F$16,$F$17,$F$18,$E532,$F$20,T$22,$H532,$F$19)</f>
        <v>0</v>
      </c>
      <c r="U532" s="36">
        <f>_xll.DBRW($E$12,$F$16,$F$17,$F$18,$E532,$F$20,U$22,$H532,$F$19)</f>
        <v>1461.04</v>
      </c>
    </row>
    <row r="533" spans="4:21" s="37" customFormat="1" ht="15" outlineLevel="1" thickBot="1" x14ac:dyDescent="0.35">
      <c r="D533" s="33" t="str">
        <f>IF(_xll.TM1RPTELISCONSOLIDATED($H$34,$H533),IF(_xll.TM1RPTELLEV($H$34,$H533)&lt;=5,_xll.TM1RPTELLEV($H$34,$H533),"Default"),"Leaf")</f>
        <v>Leaf</v>
      </c>
      <c r="E533" s="42" t="s">
        <v>690</v>
      </c>
      <c r="F533" s="34" t="str">
        <f>_xll.DBR($B$18,$H533,"Account_Type")</f>
        <v>NON LABOR</v>
      </c>
      <c r="G533" s="34" t="str">
        <f>_xll.DBR($B$18,$H533,"Description")</f>
        <v>Toolroom Consumables Applied</v>
      </c>
      <c r="H533" s="43" t="s">
        <v>341</v>
      </c>
      <c r="I533" s="36">
        <f>_xll.DBRW($E$12,$F$16,$F$17,$F$18,$E533,$F$20,I$22,$H533,$F$19)</f>
        <v>5855.15</v>
      </c>
      <c r="J533" s="36">
        <f>_xll.DBRW($E$12,$F$16,$F$17,$F$18,$E533,$F$20,J$22,$H533,$F$19)</f>
        <v>9380.4699999999993</v>
      </c>
      <c r="K533" s="36">
        <f>_xll.DBRW($E$12,$F$16,$F$17,$F$18,$E533,$F$20,K$22,$H533,$F$19)</f>
        <v>5455.53</v>
      </c>
      <c r="L533" s="36">
        <f>_xll.DBRW($E$12,$F$16,$F$17,$F$18,$E533,$F$20,L$22,$H533,$F$19)</f>
        <v>6494.23</v>
      </c>
      <c r="M533" s="36">
        <f>_xll.DBRW($E$12,$F$16,$F$17,$F$18,$E533,$F$20,M$22,$H533,$F$19)</f>
        <v>2224.09</v>
      </c>
      <c r="N533" s="36">
        <f>_xll.DBRW($E$12,$F$16,$F$17,$F$18,$E533,$F$20,N$22,$H533,$F$19)</f>
        <v>3842.73</v>
      </c>
      <c r="O533" s="36">
        <f>_xll.DBRW($E$12,$F$16,$F$17,$F$18,$E533,$F$20,O$22,$H533,$F$19)</f>
        <v>0</v>
      </c>
      <c r="P533" s="36">
        <f>_xll.DBRW($E$12,$F$16,$F$17,$F$18,$E533,$F$20,P$22,$H533,$F$19)</f>
        <v>0</v>
      </c>
      <c r="Q533" s="36">
        <f>_xll.DBRW($E$12,$F$16,$F$17,$F$18,$E533,$F$20,Q$22,$H533,$F$19)</f>
        <v>0</v>
      </c>
      <c r="R533" s="36">
        <f>_xll.DBRW($E$12,$F$16,$F$17,$F$18,$E533,$F$20,R$22,$H533,$F$19)</f>
        <v>0</v>
      </c>
      <c r="S533" s="36">
        <f>_xll.DBRW($E$12,$F$16,$F$17,$F$18,$E533,$F$20,S$22,$H533,$F$19)</f>
        <v>0</v>
      </c>
      <c r="T533" s="36">
        <f>_xll.DBRW($E$12,$F$16,$F$17,$F$18,$E533,$F$20,T$22,$H533,$F$19)</f>
        <v>0</v>
      </c>
      <c r="U533" s="36">
        <f>_xll.DBRW($E$12,$F$16,$F$17,$F$18,$E533,$F$20,U$22,$H533,$F$19)</f>
        <v>33252.199999999997</v>
      </c>
    </row>
    <row r="534" spans="4:21" s="37" customFormat="1" ht="15" outlineLevel="1" thickBot="1" x14ac:dyDescent="0.35">
      <c r="D534" s="33" t="str">
        <f>IF(_xll.TM1RPTELISCONSOLIDATED($H$34,$H534),IF(_xll.TM1RPTELLEV($H$34,$H534)&lt;=5,_xll.TM1RPTELLEV($H$34,$H534),"Default"),"Leaf")</f>
        <v>Leaf</v>
      </c>
      <c r="E534" s="42" t="s">
        <v>690</v>
      </c>
      <c r="F534" s="34" t="str">
        <f>_xll.DBR($B$18,$H534,"Account_Type")</f>
        <v>NON LABOR</v>
      </c>
      <c r="G534" s="34" t="str">
        <f>_xll.DBR($B$18,$H534,"Description")</f>
        <v>STC/Eqpt Maintenance &amp; Repair</v>
      </c>
      <c r="H534" s="43" t="s">
        <v>349</v>
      </c>
      <c r="I534" s="36">
        <f>_xll.DBRW($E$12,$F$16,$F$17,$F$18,$E534,$F$20,I$22,$H534,$F$19)</f>
        <v>34332.42</v>
      </c>
      <c r="J534" s="36">
        <f>_xll.DBRW($E$12,$F$16,$F$17,$F$18,$E534,$F$20,J$22,$H534,$F$19)</f>
        <v>12817.37</v>
      </c>
      <c r="K534" s="36">
        <f>_xll.DBRW($E$12,$F$16,$F$17,$F$18,$E534,$F$20,K$22,$H534,$F$19)</f>
        <v>30658.52</v>
      </c>
      <c r="L534" s="36">
        <f>_xll.DBRW($E$12,$F$16,$F$17,$F$18,$E534,$F$20,L$22,$H534,$F$19)</f>
        <v>30175.79</v>
      </c>
      <c r="M534" s="36">
        <f>_xll.DBRW($E$12,$F$16,$F$17,$F$18,$E534,$F$20,M$22,$H534,$F$19)</f>
        <v>56079.67</v>
      </c>
      <c r="N534" s="36">
        <f>_xll.DBRW($E$12,$F$16,$F$17,$F$18,$E534,$F$20,N$22,$H534,$F$19)</f>
        <v>36120.78</v>
      </c>
      <c r="O534" s="36">
        <f>_xll.DBRW($E$12,$F$16,$F$17,$F$18,$E534,$F$20,O$22,$H534,$F$19)</f>
        <v>-10713.67</v>
      </c>
      <c r="P534" s="36">
        <f>_xll.DBRW($E$12,$F$16,$F$17,$F$18,$E534,$F$20,P$22,$H534,$F$19)</f>
        <v>0</v>
      </c>
      <c r="Q534" s="36">
        <f>_xll.DBRW($E$12,$F$16,$F$17,$F$18,$E534,$F$20,Q$22,$H534,$F$19)</f>
        <v>0</v>
      </c>
      <c r="R534" s="36">
        <f>_xll.DBRW($E$12,$F$16,$F$17,$F$18,$E534,$F$20,R$22,$H534,$F$19)</f>
        <v>0</v>
      </c>
      <c r="S534" s="36">
        <f>_xll.DBRW($E$12,$F$16,$F$17,$F$18,$E534,$F$20,S$22,$H534,$F$19)</f>
        <v>0</v>
      </c>
      <c r="T534" s="36">
        <f>_xll.DBRW($E$12,$F$16,$F$17,$F$18,$E534,$F$20,T$22,$H534,$F$19)</f>
        <v>0</v>
      </c>
      <c r="U534" s="36">
        <f>_xll.DBRW($E$12,$F$16,$F$17,$F$18,$E534,$F$20,U$22,$H534,$F$19)</f>
        <v>189470.88</v>
      </c>
    </row>
    <row r="535" spans="4:21" s="37" customFormat="1" ht="15" outlineLevel="1" thickBot="1" x14ac:dyDescent="0.35">
      <c r="D535" s="33" t="str">
        <f>IF(_xll.TM1RPTELISCONSOLIDATED($H$34,$H535),IF(_xll.TM1RPTELLEV($H$34,$H535)&lt;=5,_xll.TM1RPTELLEV($H$34,$H535),"Default"),"Leaf")</f>
        <v>Leaf</v>
      </c>
      <c r="E535" s="42" t="s">
        <v>690</v>
      </c>
      <c r="F535" s="34" t="str">
        <f>_xll.DBR($B$18,$H535,"Account_Type")</f>
        <v>NON LABOR</v>
      </c>
      <c r="G535" s="34" t="str">
        <f>_xll.DBR($B$18,$H535,"Description")</f>
        <v>Employee Leased Vehicles</v>
      </c>
      <c r="H535" s="43" t="s">
        <v>364</v>
      </c>
      <c r="I535" s="36">
        <f>_xll.DBRW($E$12,$F$16,$F$17,$F$18,$E535,$F$20,I$22,$H535,$F$19)</f>
        <v>9550</v>
      </c>
      <c r="J535" s="36">
        <f>_xll.DBRW($E$12,$F$16,$F$17,$F$18,$E535,$F$20,J$22,$H535,$F$19)</f>
        <v>6200</v>
      </c>
      <c r="K535" s="36">
        <f>_xll.DBRW($E$12,$F$16,$F$17,$F$18,$E535,$F$20,K$22,$H535,$F$19)</f>
        <v>9527.42</v>
      </c>
      <c r="L535" s="36">
        <f>_xll.DBRW($E$12,$F$16,$F$17,$F$18,$E535,$F$20,L$22,$H535,$F$19)</f>
        <v>7167.74</v>
      </c>
      <c r="M535" s="36">
        <f>_xll.DBRW($E$12,$F$16,$F$17,$F$18,$E535,$F$20,M$22,$H535,$F$19)</f>
        <v>9950</v>
      </c>
      <c r="N535" s="36">
        <f>_xll.DBRW($E$12,$F$16,$F$17,$F$18,$E535,$F$20,N$22,$H535,$F$19)</f>
        <v>3450</v>
      </c>
      <c r="O535" s="36">
        <f>_xll.DBRW($E$12,$F$16,$F$17,$F$18,$E535,$F$20,O$22,$H535,$F$19)</f>
        <v>3450</v>
      </c>
      <c r="P535" s="36">
        <f>_xll.DBRW($E$12,$F$16,$F$17,$F$18,$E535,$F$20,P$22,$H535,$F$19)</f>
        <v>0</v>
      </c>
      <c r="Q535" s="36">
        <f>_xll.DBRW($E$12,$F$16,$F$17,$F$18,$E535,$F$20,Q$22,$H535,$F$19)</f>
        <v>0</v>
      </c>
      <c r="R535" s="36">
        <f>_xll.DBRW($E$12,$F$16,$F$17,$F$18,$E535,$F$20,R$22,$H535,$F$19)</f>
        <v>0</v>
      </c>
      <c r="S535" s="36">
        <f>_xll.DBRW($E$12,$F$16,$F$17,$F$18,$E535,$F$20,S$22,$H535,$F$19)</f>
        <v>0</v>
      </c>
      <c r="T535" s="36">
        <f>_xll.DBRW($E$12,$F$16,$F$17,$F$18,$E535,$F$20,T$22,$H535,$F$19)</f>
        <v>0</v>
      </c>
      <c r="U535" s="36">
        <f>_xll.DBRW($E$12,$F$16,$F$17,$F$18,$E535,$F$20,U$22,$H535,$F$19)</f>
        <v>49295.159999999996</v>
      </c>
    </row>
    <row r="536" spans="4:21" s="37" customFormat="1" ht="15" outlineLevel="1" thickBot="1" x14ac:dyDescent="0.35">
      <c r="D536" s="33" t="str">
        <f>IF(_xll.TM1RPTELISCONSOLIDATED($H$34,$H536),IF(_xll.TM1RPTELLEV($H$34,$H536)&lt;=5,_xll.TM1RPTELLEV($H$34,$H536),"Default"),"Leaf")</f>
        <v>Leaf</v>
      </c>
      <c r="E536" s="42" t="s">
        <v>690</v>
      </c>
      <c r="F536" s="34" t="str">
        <f>_xll.DBR($B$18,$H536,"Account_Type")</f>
        <v>NON LABOR</v>
      </c>
      <c r="G536" s="34" t="str">
        <f>_xll.DBR($B$18,$H536,"Description")</f>
        <v>Fleet Leased Vehicle Expense</v>
      </c>
      <c r="H536" s="43" t="s">
        <v>378</v>
      </c>
      <c r="I536" s="36">
        <f>_xll.DBRW($E$12,$F$16,$F$17,$F$18,$E536,$F$20,I$22,$H536,$F$19)</f>
        <v>93</v>
      </c>
      <c r="J536" s="36">
        <f>_xll.DBRW($E$12,$F$16,$F$17,$F$18,$E536,$F$20,J$22,$H536,$F$19)</f>
        <v>185.25</v>
      </c>
      <c r="K536" s="36">
        <f>_xll.DBRW($E$12,$F$16,$F$17,$F$18,$E536,$F$20,K$22,$H536,$F$19)</f>
        <v>120.6</v>
      </c>
      <c r="L536" s="36">
        <f>_xll.DBRW($E$12,$F$16,$F$17,$F$18,$E536,$F$20,L$22,$H536,$F$19)</f>
        <v>784.61</v>
      </c>
      <c r="M536" s="36">
        <f>_xll.DBRW($E$12,$F$16,$F$17,$F$18,$E536,$F$20,M$22,$H536,$F$19)</f>
        <v>0</v>
      </c>
      <c r="N536" s="36">
        <f>_xll.DBRW($E$12,$F$16,$F$17,$F$18,$E536,$F$20,N$22,$H536,$F$19)</f>
        <v>96</v>
      </c>
      <c r="O536" s="36">
        <f>_xll.DBRW($E$12,$F$16,$F$17,$F$18,$E536,$F$20,O$22,$H536,$F$19)</f>
        <v>0</v>
      </c>
      <c r="P536" s="36">
        <f>_xll.DBRW($E$12,$F$16,$F$17,$F$18,$E536,$F$20,P$22,$H536,$F$19)</f>
        <v>0</v>
      </c>
      <c r="Q536" s="36">
        <f>_xll.DBRW($E$12,$F$16,$F$17,$F$18,$E536,$F$20,Q$22,$H536,$F$19)</f>
        <v>0</v>
      </c>
      <c r="R536" s="36">
        <f>_xll.DBRW($E$12,$F$16,$F$17,$F$18,$E536,$F$20,R$22,$H536,$F$19)</f>
        <v>0</v>
      </c>
      <c r="S536" s="36">
        <f>_xll.DBRW($E$12,$F$16,$F$17,$F$18,$E536,$F$20,S$22,$H536,$F$19)</f>
        <v>0</v>
      </c>
      <c r="T536" s="36">
        <f>_xll.DBRW($E$12,$F$16,$F$17,$F$18,$E536,$F$20,T$22,$H536,$F$19)</f>
        <v>0</v>
      </c>
      <c r="U536" s="36">
        <f>_xll.DBRW($E$12,$F$16,$F$17,$F$18,$E536,$F$20,U$22,$H536,$F$19)</f>
        <v>1279.46</v>
      </c>
    </row>
    <row r="537" spans="4:21" s="37" customFormat="1" ht="15" outlineLevel="1" thickBot="1" x14ac:dyDescent="0.35">
      <c r="D537" s="33" t="str">
        <f>IF(_xll.TM1RPTELISCONSOLIDATED($H$34,$H537),IF(_xll.TM1RPTELLEV($H$34,$H537)&lt;=5,_xll.TM1RPTELLEV($H$34,$H537),"Default"),"Leaf")</f>
        <v>Leaf</v>
      </c>
      <c r="E537" s="42" t="s">
        <v>690</v>
      </c>
      <c r="F537" s="34" t="str">
        <f>_xll.DBR($B$18,$H537,"Account_Type")</f>
        <v>NON LABOR</v>
      </c>
      <c r="G537" s="34" t="str">
        <f>_xll.DBR($B$18,$H537,"Description")</f>
        <v>Fleet Leased Vehicle Expense</v>
      </c>
      <c r="H537" s="43" t="s">
        <v>387</v>
      </c>
      <c r="I537" s="36">
        <f>_xll.DBRW($E$12,$F$16,$F$17,$F$18,$E537,$F$20,I$22,$H537,$F$19)</f>
        <v>1377.99</v>
      </c>
      <c r="J537" s="36">
        <f>_xll.DBRW($E$12,$F$16,$F$17,$F$18,$E537,$F$20,J$22,$H537,$F$19)</f>
        <v>723.06</v>
      </c>
      <c r="K537" s="36">
        <f>_xll.DBRW($E$12,$F$16,$F$17,$F$18,$E537,$F$20,K$22,$H537,$F$19)</f>
        <v>0</v>
      </c>
      <c r="L537" s="36">
        <f>_xll.DBRW($E$12,$F$16,$F$17,$F$18,$E537,$F$20,L$22,$H537,$F$19)</f>
        <v>-676.91</v>
      </c>
      <c r="M537" s="36">
        <f>_xll.DBRW($E$12,$F$16,$F$17,$F$18,$E537,$F$20,M$22,$H537,$F$19)</f>
        <v>0</v>
      </c>
      <c r="N537" s="36">
        <f>_xll.DBRW($E$12,$F$16,$F$17,$F$18,$E537,$F$20,N$22,$H537,$F$19)</f>
        <v>450.29</v>
      </c>
      <c r="O537" s="36">
        <f>_xll.DBRW($E$12,$F$16,$F$17,$F$18,$E537,$F$20,O$22,$H537,$F$19)</f>
        <v>0</v>
      </c>
      <c r="P537" s="36">
        <f>_xll.DBRW($E$12,$F$16,$F$17,$F$18,$E537,$F$20,P$22,$H537,$F$19)</f>
        <v>0</v>
      </c>
      <c r="Q537" s="36">
        <f>_xll.DBRW($E$12,$F$16,$F$17,$F$18,$E537,$F$20,Q$22,$H537,$F$19)</f>
        <v>0</v>
      </c>
      <c r="R537" s="36">
        <f>_xll.DBRW($E$12,$F$16,$F$17,$F$18,$E537,$F$20,R$22,$H537,$F$19)</f>
        <v>0</v>
      </c>
      <c r="S537" s="36">
        <f>_xll.DBRW($E$12,$F$16,$F$17,$F$18,$E537,$F$20,S$22,$H537,$F$19)</f>
        <v>0</v>
      </c>
      <c r="T537" s="36">
        <f>_xll.DBRW($E$12,$F$16,$F$17,$F$18,$E537,$F$20,T$22,$H537,$F$19)</f>
        <v>0</v>
      </c>
      <c r="U537" s="36">
        <f>_xll.DBRW($E$12,$F$16,$F$17,$F$18,$E537,$F$20,U$22,$H537,$F$19)</f>
        <v>1874.4300000000003</v>
      </c>
    </row>
    <row r="538" spans="4:21" s="37" customFormat="1" ht="15" outlineLevel="1" thickBot="1" x14ac:dyDescent="0.35">
      <c r="D538" s="33" t="str">
        <f>IF(_xll.TM1RPTELISCONSOLIDATED($H$34,$H538),IF(_xll.TM1RPTELLEV($H$34,$H538)&lt;=5,_xll.TM1RPTELLEV($H$34,$H538),"Default"),"Leaf")</f>
        <v>Leaf</v>
      </c>
      <c r="E538" s="42" t="s">
        <v>690</v>
      </c>
      <c r="F538" s="34" t="str">
        <f>_xll.DBR($B$18,$H538,"Account_Type")</f>
        <v>NON LABOR</v>
      </c>
      <c r="G538" s="34" t="str">
        <f>_xll.DBR($B$18,$H538,"Description")</f>
        <v>Fuel to Leased Vehicles</v>
      </c>
      <c r="H538" s="43" t="s">
        <v>400</v>
      </c>
      <c r="I538" s="36">
        <f>_xll.DBRW($E$12,$F$16,$F$17,$F$18,$E538,$F$20,I$22,$H538,$F$19)</f>
        <v>8820.3799999999992</v>
      </c>
      <c r="J538" s="36">
        <f>_xll.DBRW($E$12,$F$16,$F$17,$F$18,$E538,$F$20,J$22,$H538,$F$19)</f>
        <v>3786.62</v>
      </c>
      <c r="K538" s="36">
        <f>_xll.DBRW($E$12,$F$16,$F$17,$F$18,$E538,$F$20,K$22,$H538,$F$19)</f>
        <v>2819.38</v>
      </c>
      <c r="L538" s="36">
        <f>_xll.DBRW($E$12,$F$16,$F$17,$F$18,$E538,$F$20,L$22,$H538,$F$19)</f>
        <v>6567.15</v>
      </c>
      <c r="M538" s="36">
        <f>_xll.DBRW($E$12,$F$16,$F$17,$F$18,$E538,$F$20,M$22,$H538,$F$19)</f>
        <v>5196.12</v>
      </c>
      <c r="N538" s="36">
        <f>_xll.DBRW($E$12,$F$16,$F$17,$F$18,$E538,$F$20,N$22,$H538,$F$19)</f>
        <v>0</v>
      </c>
      <c r="O538" s="36">
        <f>_xll.DBRW($E$12,$F$16,$F$17,$F$18,$E538,$F$20,O$22,$H538,$F$19)</f>
        <v>0</v>
      </c>
      <c r="P538" s="36">
        <f>_xll.DBRW($E$12,$F$16,$F$17,$F$18,$E538,$F$20,P$22,$H538,$F$19)</f>
        <v>0</v>
      </c>
      <c r="Q538" s="36">
        <f>_xll.DBRW($E$12,$F$16,$F$17,$F$18,$E538,$F$20,Q$22,$H538,$F$19)</f>
        <v>0</v>
      </c>
      <c r="R538" s="36">
        <f>_xll.DBRW($E$12,$F$16,$F$17,$F$18,$E538,$F$20,R$22,$H538,$F$19)</f>
        <v>0</v>
      </c>
      <c r="S538" s="36">
        <f>_xll.DBRW($E$12,$F$16,$F$17,$F$18,$E538,$F$20,S$22,$H538,$F$19)</f>
        <v>0</v>
      </c>
      <c r="T538" s="36">
        <f>_xll.DBRW($E$12,$F$16,$F$17,$F$18,$E538,$F$20,T$22,$H538,$F$19)</f>
        <v>0</v>
      </c>
      <c r="U538" s="36">
        <f>_xll.DBRW($E$12,$F$16,$F$17,$F$18,$E538,$F$20,U$22,$H538,$F$19)</f>
        <v>27189.649999999998</v>
      </c>
    </row>
    <row r="539" spans="4:21" s="37" customFormat="1" ht="15" outlineLevel="1" thickBot="1" x14ac:dyDescent="0.35">
      <c r="D539" s="33" t="str">
        <f>IF(_xll.TM1RPTELISCONSOLIDATED($H$34,$H539),IF(_xll.TM1RPTELLEV($H$34,$H539)&lt;=5,_xll.TM1RPTELLEV($H$34,$H539),"Default"),"Leaf")</f>
        <v>Leaf</v>
      </c>
      <c r="E539" s="42" t="s">
        <v>690</v>
      </c>
      <c r="F539" s="34" t="str">
        <f>_xll.DBR($B$18,$H539,"Account_Type")</f>
        <v>NON LABOR</v>
      </c>
      <c r="G539" s="34" t="str">
        <f>_xll.DBR($B$18,$H539,"Description")</f>
        <v>Fuel Purchases to Leased Vehicles</v>
      </c>
      <c r="H539" s="43" t="s">
        <v>410</v>
      </c>
      <c r="I539" s="36">
        <f>_xll.DBRW($E$12,$F$16,$F$17,$F$18,$E539,$F$20,I$22,$H539,$F$19)</f>
        <v>0</v>
      </c>
      <c r="J539" s="36">
        <f>_xll.DBRW($E$12,$F$16,$F$17,$F$18,$E539,$F$20,J$22,$H539,$F$19)</f>
        <v>172.7</v>
      </c>
      <c r="K539" s="36">
        <f>_xll.DBRW($E$12,$F$16,$F$17,$F$18,$E539,$F$20,K$22,$H539,$F$19)</f>
        <v>300.2</v>
      </c>
      <c r="L539" s="36">
        <f>_xll.DBRW($E$12,$F$16,$F$17,$F$18,$E539,$F$20,L$22,$H539,$F$19)</f>
        <v>159.21</v>
      </c>
      <c r="M539" s="36">
        <f>_xll.DBRW($E$12,$F$16,$F$17,$F$18,$E539,$F$20,M$22,$H539,$F$19)</f>
        <v>170.3</v>
      </c>
      <c r="N539" s="36">
        <f>_xll.DBRW($E$12,$F$16,$F$17,$F$18,$E539,$F$20,N$22,$H539,$F$19)</f>
        <v>187.49</v>
      </c>
      <c r="O539" s="36">
        <f>_xll.DBRW($E$12,$F$16,$F$17,$F$18,$E539,$F$20,O$22,$H539,$F$19)</f>
        <v>224.75</v>
      </c>
      <c r="P539" s="36">
        <f>_xll.DBRW($E$12,$F$16,$F$17,$F$18,$E539,$F$20,P$22,$H539,$F$19)</f>
        <v>0</v>
      </c>
      <c r="Q539" s="36">
        <f>_xll.DBRW($E$12,$F$16,$F$17,$F$18,$E539,$F$20,Q$22,$H539,$F$19)</f>
        <v>0</v>
      </c>
      <c r="R539" s="36">
        <f>_xll.DBRW($E$12,$F$16,$F$17,$F$18,$E539,$F$20,R$22,$H539,$F$19)</f>
        <v>0</v>
      </c>
      <c r="S539" s="36">
        <f>_xll.DBRW($E$12,$F$16,$F$17,$F$18,$E539,$F$20,S$22,$H539,$F$19)</f>
        <v>0</v>
      </c>
      <c r="T539" s="36">
        <f>_xll.DBRW($E$12,$F$16,$F$17,$F$18,$E539,$F$20,T$22,$H539,$F$19)</f>
        <v>0</v>
      </c>
      <c r="U539" s="36">
        <f>_xll.DBRW($E$12,$F$16,$F$17,$F$18,$E539,$F$20,U$22,$H539,$F$19)</f>
        <v>1214.6500000000001</v>
      </c>
    </row>
    <row r="540" spans="4:21" s="37" customFormat="1" ht="15" outlineLevel="1" thickBot="1" x14ac:dyDescent="0.35">
      <c r="D540" s="33" t="str">
        <f>IF(_xll.TM1RPTELISCONSOLIDATED($H$34,$H540),IF(_xll.TM1RPTELLEV($H$34,$H540)&lt;=5,_xll.TM1RPTELLEV($H$34,$H540),"Default"),"Leaf")</f>
        <v>Leaf</v>
      </c>
      <c r="E540" s="42" t="s">
        <v>690</v>
      </c>
      <c r="F540" s="34" t="str">
        <f>_xll.DBR($B$18,$H540,"Account_Type")</f>
        <v>NON LABOR</v>
      </c>
      <c r="G540" s="34" t="str">
        <f>_xll.DBR($B$18,$H540,"Description")</f>
        <v>Company Owned Equipment</v>
      </c>
      <c r="H540" s="43" t="s">
        <v>424</v>
      </c>
      <c r="I540" s="36">
        <f>_xll.DBRW($E$12,$F$16,$F$17,$F$18,$E540,$F$20,I$22,$H540,$F$19)</f>
        <v>40365</v>
      </c>
      <c r="J540" s="36">
        <f>_xll.DBRW($E$12,$F$16,$F$17,$F$18,$E540,$F$20,J$22,$H540,$F$19)</f>
        <v>0</v>
      </c>
      <c r="K540" s="36">
        <f>_xll.DBRW($E$12,$F$16,$F$17,$F$18,$E540,$F$20,K$22,$H540,$F$19)</f>
        <v>10180</v>
      </c>
      <c r="L540" s="36">
        <f>_xll.DBRW($E$12,$F$16,$F$17,$F$18,$E540,$F$20,L$22,$H540,$F$19)</f>
        <v>390</v>
      </c>
      <c r="M540" s="36">
        <f>_xll.DBRW($E$12,$F$16,$F$17,$F$18,$E540,$F$20,M$22,$H540,$F$19)</f>
        <v>390</v>
      </c>
      <c r="N540" s="36">
        <f>_xll.DBRW($E$12,$F$16,$F$17,$F$18,$E540,$F$20,N$22,$H540,$F$19)</f>
        <v>1195</v>
      </c>
      <c r="O540" s="36">
        <f>_xll.DBRW($E$12,$F$16,$F$17,$F$18,$E540,$F$20,O$22,$H540,$F$19)</f>
        <v>390</v>
      </c>
      <c r="P540" s="36">
        <f>_xll.DBRW($E$12,$F$16,$F$17,$F$18,$E540,$F$20,P$22,$H540,$F$19)</f>
        <v>0</v>
      </c>
      <c r="Q540" s="36">
        <f>_xll.DBRW($E$12,$F$16,$F$17,$F$18,$E540,$F$20,Q$22,$H540,$F$19)</f>
        <v>0</v>
      </c>
      <c r="R540" s="36">
        <f>_xll.DBRW($E$12,$F$16,$F$17,$F$18,$E540,$F$20,R$22,$H540,$F$19)</f>
        <v>0</v>
      </c>
      <c r="S540" s="36">
        <f>_xll.DBRW($E$12,$F$16,$F$17,$F$18,$E540,$F$20,S$22,$H540,$F$19)</f>
        <v>0</v>
      </c>
      <c r="T540" s="36">
        <f>_xll.DBRW($E$12,$F$16,$F$17,$F$18,$E540,$F$20,T$22,$H540,$F$19)</f>
        <v>0</v>
      </c>
      <c r="U540" s="36">
        <f>_xll.DBRW($E$12,$F$16,$F$17,$F$18,$E540,$F$20,U$22,$H540,$F$19)</f>
        <v>52910</v>
      </c>
    </row>
    <row r="541" spans="4:21" s="37" customFormat="1" ht="15" outlineLevel="1" thickBot="1" x14ac:dyDescent="0.35">
      <c r="D541" s="33" t="str">
        <f>IF(_xll.TM1RPTELISCONSOLIDATED($H$34,$H541),IF(_xll.TM1RPTELLEV($H$34,$H541)&lt;=5,_xll.TM1RPTELLEV($H$34,$H541),"Default"),"Leaf")</f>
        <v>Leaf</v>
      </c>
      <c r="E541" s="42" t="s">
        <v>690</v>
      </c>
      <c r="F541" s="34" t="str">
        <f>_xll.DBR($B$18,$H541,"Account_Type")</f>
        <v>NON LABOR</v>
      </c>
      <c r="G541" s="34" t="str">
        <f>_xll.DBR($B$18,$H541,"Description")</f>
        <v>Fuel to Company Owned Equipment</v>
      </c>
      <c r="H541" s="43" t="s">
        <v>440</v>
      </c>
      <c r="I541" s="36">
        <f>_xll.DBRW($E$12,$F$16,$F$17,$F$18,$E541,$F$20,I$22,$H541,$F$19)</f>
        <v>14319.62</v>
      </c>
      <c r="J541" s="36">
        <f>_xll.DBRW($E$12,$F$16,$F$17,$F$18,$E541,$F$20,J$22,$H541,$F$19)</f>
        <v>32794.57</v>
      </c>
      <c r="K541" s="36">
        <f>_xll.DBRW($E$12,$F$16,$F$17,$F$18,$E541,$F$20,K$22,$H541,$F$19)</f>
        <v>23657.38</v>
      </c>
      <c r="L541" s="36">
        <f>_xll.DBRW($E$12,$F$16,$F$17,$F$18,$E541,$F$20,L$22,$H541,$F$19)</f>
        <v>31401.47</v>
      </c>
      <c r="M541" s="36">
        <f>_xll.DBRW($E$12,$F$16,$F$17,$F$18,$E541,$F$20,M$22,$H541,$F$19)</f>
        <v>30772.85</v>
      </c>
      <c r="N541" s="36">
        <f>_xll.DBRW($E$12,$F$16,$F$17,$F$18,$E541,$F$20,N$22,$H541,$F$19)</f>
        <v>9586.76</v>
      </c>
      <c r="O541" s="36">
        <f>_xll.DBRW($E$12,$F$16,$F$17,$F$18,$E541,$F$20,O$22,$H541,$F$19)</f>
        <v>4327.7299999999996</v>
      </c>
      <c r="P541" s="36">
        <f>_xll.DBRW($E$12,$F$16,$F$17,$F$18,$E541,$F$20,P$22,$H541,$F$19)</f>
        <v>0</v>
      </c>
      <c r="Q541" s="36">
        <f>_xll.DBRW($E$12,$F$16,$F$17,$F$18,$E541,$F$20,Q$22,$H541,$F$19)</f>
        <v>0</v>
      </c>
      <c r="R541" s="36">
        <f>_xll.DBRW($E$12,$F$16,$F$17,$F$18,$E541,$F$20,R$22,$H541,$F$19)</f>
        <v>0</v>
      </c>
      <c r="S541" s="36">
        <f>_xll.DBRW($E$12,$F$16,$F$17,$F$18,$E541,$F$20,S$22,$H541,$F$19)</f>
        <v>0</v>
      </c>
      <c r="T541" s="36">
        <f>_xll.DBRW($E$12,$F$16,$F$17,$F$18,$E541,$F$20,T$22,$H541,$F$19)</f>
        <v>0</v>
      </c>
      <c r="U541" s="36">
        <f>_xll.DBRW($E$12,$F$16,$F$17,$F$18,$E541,$F$20,U$22,$H541,$F$19)</f>
        <v>146860.38000000003</v>
      </c>
    </row>
    <row r="542" spans="4:21" s="37" customFormat="1" ht="15" outlineLevel="1" thickBot="1" x14ac:dyDescent="0.35">
      <c r="D542" s="33" t="str">
        <f>IF(_xll.TM1RPTELISCONSOLIDATED($H$34,$H542),IF(_xll.TM1RPTELLEV($H$34,$H542)&lt;=5,_xll.TM1RPTELLEV($H$34,$H542),"Default"),"Leaf")</f>
        <v>Leaf</v>
      </c>
      <c r="E542" s="42" t="s">
        <v>690</v>
      </c>
      <c r="F542" s="34" t="str">
        <f>_xll.DBR($B$18,$H542,"Account_Type")</f>
        <v>NON LABOR</v>
      </c>
      <c r="G542" s="34" t="str">
        <f>_xll.DBR($B$18,$H542,"Description")</f>
        <v>Company Aircraft Usage</v>
      </c>
      <c r="H542" s="43" t="s">
        <v>446</v>
      </c>
      <c r="I542" s="36">
        <f>_xll.DBRW($E$12,$F$16,$F$17,$F$18,$E542,$F$20,I$22,$H542,$F$19)</f>
        <v>0</v>
      </c>
      <c r="J542" s="36">
        <f>_xll.DBRW($E$12,$F$16,$F$17,$F$18,$E542,$F$20,J$22,$H542,$F$19)</f>
        <v>0</v>
      </c>
      <c r="K542" s="36">
        <f>_xll.DBRW($E$12,$F$16,$F$17,$F$18,$E542,$F$20,K$22,$H542,$F$19)</f>
        <v>0</v>
      </c>
      <c r="L542" s="36">
        <f>_xll.DBRW($E$12,$F$16,$F$17,$F$18,$E542,$F$20,L$22,$H542,$F$19)</f>
        <v>0</v>
      </c>
      <c r="M542" s="36">
        <f>_xll.DBRW($E$12,$F$16,$F$17,$F$18,$E542,$F$20,M$22,$H542,$F$19)</f>
        <v>1464.32</v>
      </c>
      <c r="N542" s="36">
        <f>_xll.DBRW($E$12,$F$16,$F$17,$F$18,$E542,$F$20,N$22,$H542,$F$19)</f>
        <v>0</v>
      </c>
      <c r="O542" s="36">
        <f>_xll.DBRW($E$12,$F$16,$F$17,$F$18,$E542,$F$20,O$22,$H542,$F$19)</f>
        <v>0</v>
      </c>
      <c r="P542" s="36">
        <f>_xll.DBRW($E$12,$F$16,$F$17,$F$18,$E542,$F$20,P$22,$H542,$F$19)</f>
        <v>0</v>
      </c>
      <c r="Q542" s="36">
        <f>_xll.DBRW($E$12,$F$16,$F$17,$F$18,$E542,$F$20,Q$22,$H542,$F$19)</f>
        <v>0</v>
      </c>
      <c r="R542" s="36">
        <f>_xll.DBRW($E$12,$F$16,$F$17,$F$18,$E542,$F$20,R$22,$H542,$F$19)</f>
        <v>0</v>
      </c>
      <c r="S542" s="36">
        <f>_xll.DBRW($E$12,$F$16,$F$17,$F$18,$E542,$F$20,S$22,$H542,$F$19)</f>
        <v>0</v>
      </c>
      <c r="T542" s="36">
        <f>_xll.DBRW($E$12,$F$16,$F$17,$F$18,$E542,$F$20,T$22,$H542,$F$19)</f>
        <v>0</v>
      </c>
      <c r="U542" s="36">
        <f>_xll.DBRW($E$12,$F$16,$F$17,$F$18,$E542,$F$20,U$22,$H542,$F$19)</f>
        <v>1464.32</v>
      </c>
    </row>
    <row r="543" spans="4:21" s="37" customFormat="1" ht="15" outlineLevel="1" thickBot="1" x14ac:dyDescent="0.35">
      <c r="D543" s="33" t="str">
        <f>IF(_xll.TM1RPTELISCONSOLIDATED($H$34,$H543),IF(_xll.TM1RPTELLEV($H$34,$H543)&lt;=5,_xll.TM1RPTELLEV($H$34,$H543),"Default"),"Leaf")</f>
        <v>Leaf</v>
      </c>
      <c r="E543" s="42" t="s">
        <v>690</v>
      </c>
      <c r="F543" s="34" t="str">
        <f>_xll.DBR($B$18,$H543,"Account_Type")</f>
        <v>NON LABOR</v>
      </c>
      <c r="G543" s="34" t="str">
        <f>_xll.DBR($B$18,$H543,"Description")</f>
        <v>Miscellaneous Expense</v>
      </c>
      <c r="H543" s="43" t="s">
        <v>451</v>
      </c>
      <c r="I543" s="36">
        <f>_xll.DBRW($E$12,$F$16,$F$17,$F$18,$E543,$F$20,I$22,$H543,$F$19)</f>
        <v>1042</v>
      </c>
      <c r="J543" s="36">
        <f>_xll.DBRW($E$12,$F$16,$F$17,$F$18,$E543,$F$20,J$22,$H543,$F$19)</f>
        <v>1042</v>
      </c>
      <c r="K543" s="36">
        <f>_xll.DBRW($E$12,$F$16,$F$17,$F$18,$E543,$F$20,K$22,$H543,$F$19)</f>
        <v>1042</v>
      </c>
      <c r="L543" s="36">
        <f>_xll.DBRW($E$12,$F$16,$F$17,$F$18,$E543,$F$20,L$22,$H543,$F$19)</f>
        <v>1042</v>
      </c>
      <c r="M543" s="36">
        <f>_xll.DBRW($E$12,$F$16,$F$17,$F$18,$E543,$F$20,M$22,$H543,$F$19)</f>
        <v>0</v>
      </c>
      <c r="N543" s="36">
        <f>_xll.DBRW($E$12,$F$16,$F$17,$F$18,$E543,$F$20,N$22,$H543,$F$19)</f>
        <v>1585.75</v>
      </c>
      <c r="O543" s="36">
        <f>_xll.DBRW($E$12,$F$16,$F$17,$F$18,$E543,$F$20,O$22,$H543,$F$19)</f>
        <v>0</v>
      </c>
      <c r="P543" s="36">
        <f>_xll.DBRW($E$12,$F$16,$F$17,$F$18,$E543,$F$20,P$22,$H543,$F$19)</f>
        <v>0</v>
      </c>
      <c r="Q543" s="36">
        <f>_xll.DBRW($E$12,$F$16,$F$17,$F$18,$E543,$F$20,Q$22,$H543,$F$19)</f>
        <v>0</v>
      </c>
      <c r="R543" s="36">
        <f>_xll.DBRW($E$12,$F$16,$F$17,$F$18,$E543,$F$20,R$22,$H543,$F$19)</f>
        <v>0</v>
      </c>
      <c r="S543" s="36">
        <f>_xll.DBRW($E$12,$F$16,$F$17,$F$18,$E543,$F$20,S$22,$H543,$F$19)</f>
        <v>0</v>
      </c>
      <c r="T543" s="36">
        <f>_xll.DBRW($E$12,$F$16,$F$17,$F$18,$E543,$F$20,T$22,$H543,$F$19)</f>
        <v>0</v>
      </c>
      <c r="U543" s="36">
        <f>_xll.DBRW($E$12,$F$16,$F$17,$F$18,$E543,$F$20,U$22,$H543,$F$19)</f>
        <v>5753.75</v>
      </c>
    </row>
    <row r="544" spans="4:21" s="37" customFormat="1" ht="15" outlineLevel="1" thickBot="1" x14ac:dyDescent="0.35">
      <c r="D544" s="33" t="str">
        <f>IF(_xll.TM1RPTELISCONSOLIDATED($H$34,$H544),IF(_xll.TM1RPTELLEV($H$34,$H544)&lt;=5,_xll.TM1RPTELLEV($H$34,$H544),"Default"),"Leaf")</f>
        <v>Leaf</v>
      </c>
      <c r="E544" s="42" t="s">
        <v>690</v>
      </c>
      <c r="F544" s="34" t="str">
        <f>_xll.DBR($B$18,$H544,"Account_Type")</f>
        <v>NON LABOR</v>
      </c>
      <c r="G544" s="34" t="str">
        <f>_xll.DBR($B$18,$H544,"Description")</f>
        <v>Corporate Allocation</v>
      </c>
      <c r="H544" s="43" t="s">
        <v>459</v>
      </c>
      <c r="I544" s="36">
        <f>_xll.DBRW($E$12,$F$16,$F$17,$F$18,$E544,$F$20,I$22,$H544,$F$19)</f>
        <v>144206.76999999999</v>
      </c>
      <c r="J544" s="36">
        <f>_xll.DBRW($E$12,$F$16,$F$17,$F$18,$E544,$F$20,J$22,$H544,$F$19)</f>
        <v>138065.76999999999</v>
      </c>
      <c r="K544" s="36">
        <f>_xll.DBRW($E$12,$F$16,$F$17,$F$18,$E544,$F$20,K$22,$H544,$F$19)</f>
        <v>220869.09</v>
      </c>
      <c r="L544" s="36">
        <f>_xll.DBRW($E$12,$F$16,$F$17,$F$18,$E544,$F$20,L$22,$H544,$F$19)</f>
        <v>98136.6</v>
      </c>
      <c r="M544" s="36">
        <f>_xll.DBRW($E$12,$F$16,$F$17,$F$18,$E544,$F$20,M$22,$H544,$F$19)</f>
        <v>111050.21</v>
      </c>
      <c r="N544" s="36">
        <f>_xll.DBRW($E$12,$F$16,$F$17,$F$18,$E544,$F$20,N$22,$H544,$F$19)</f>
        <v>0</v>
      </c>
      <c r="O544" s="36">
        <f>_xll.DBRW($E$12,$F$16,$F$17,$F$18,$E544,$F$20,O$22,$H544,$F$19)</f>
        <v>0</v>
      </c>
      <c r="P544" s="36">
        <f>_xll.DBRW($E$12,$F$16,$F$17,$F$18,$E544,$F$20,P$22,$H544,$F$19)</f>
        <v>0</v>
      </c>
      <c r="Q544" s="36">
        <f>_xll.DBRW($E$12,$F$16,$F$17,$F$18,$E544,$F$20,Q$22,$H544,$F$19)</f>
        <v>0</v>
      </c>
      <c r="R544" s="36">
        <f>_xll.DBRW($E$12,$F$16,$F$17,$F$18,$E544,$F$20,R$22,$H544,$F$19)</f>
        <v>0</v>
      </c>
      <c r="S544" s="36">
        <f>_xll.DBRW($E$12,$F$16,$F$17,$F$18,$E544,$F$20,S$22,$H544,$F$19)</f>
        <v>0</v>
      </c>
      <c r="T544" s="36">
        <f>_xll.DBRW($E$12,$F$16,$F$17,$F$18,$E544,$F$20,T$22,$H544,$F$19)</f>
        <v>0</v>
      </c>
      <c r="U544" s="36">
        <f>_xll.DBRW($E$12,$F$16,$F$17,$F$18,$E544,$F$20,U$22,$H544,$F$19)</f>
        <v>712328.44</v>
      </c>
    </row>
    <row r="545" spans="4:21" s="37" customFormat="1" ht="15" outlineLevel="1" thickBot="1" x14ac:dyDescent="0.35">
      <c r="D545" s="33" t="str">
        <f>IF(_xll.TM1RPTELISCONSOLIDATED($H$34,$H545),IF(_xll.TM1RPTELLEV($H$34,$H545)&lt;=5,_xll.TM1RPTELLEV($H$34,$H545),"Default"),"Leaf")</f>
        <v>Leaf</v>
      </c>
      <c r="E545" s="42" t="s">
        <v>691</v>
      </c>
      <c r="F545" s="34" t="str">
        <f>_xll.DBR($B$18,$H545,"Account_Type")</f>
        <v>NON LABOR</v>
      </c>
      <c r="G545" s="34" t="str">
        <f>_xll.DBR($B$18,$H545,"Description")</f>
        <v>Certificates/Licenses/Permits</v>
      </c>
      <c r="H545" s="43" t="s">
        <v>196</v>
      </c>
      <c r="I545" s="36">
        <f>_xll.DBRW($E$12,$F$16,$F$17,$F$18,$E545,$F$20,I$22,$H545,$F$19)</f>
        <v>0</v>
      </c>
      <c r="J545" s="36">
        <f>_xll.DBRW($E$12,$F$16,$F$17,$F$18,$E545,$F$20,J$22,$H545,$F$19)</f>
        <v>0</v>
      </c>
      <c r="K545" s="36">
        <f>_xll.DBRW($E$12,$F$16,$F$17,$F$18,$E545,$F$20,K$22,$H545,$F$19)</f>
        <v>207.25</v>
      </c>
      <c r="L545" s="36">
        <f>_xll.DBRW($E$12,$F$16,$F$17,$F$18,$E545,$F$20,L$22,$H545,$F$19)</f>
        <v>0</v>
      </c>
      <c r="M545" s="36">
        <f>_xll.DBRW($E$12,$F$16,$F$17,$F$18,$E545,$F$20,M$22,$H545,$F$19)</f>
        <v>0</v>
      </c>
      <c r="N545" s="36">
        <f>_xll.DBRW($E$12,$F$16,$F$17,$F$18,$E545,$F$20,N$22,$H545,$F$19)</f>
        <v>0</v>
      </c>
      <c r="O545" s="36">
        <f>_xll.DBRW($E$12,$F$16,$F$17,$F$18,$E545,$F$20,O$22,$H545,$F$19)</f>
        <v>0</v>
      </c>
      <c r="P545" s="36">
        <f>_xll.DBRW($E$12,$F$16,$F$17,$F$18,$E545,$F$20,P$22,$H545,$F$19)</f>
        <v>0</v>
      </c>
      <c r="Q545" s="36">
        <f>_xll.DBRW($E$12,$F$16,$F$17,$F$18,$E545,$F$20,Q$22,$H545,$F$19)</f>
        <v>0</v>
      </c>
      <c r="R545" s="36">
        <f>_xll.DBRW($E$12,$F$16,$F$17,$F$18,$E545,$F$20,R$22,$H545,$F$19)</f>
        <v>0</v>
      </c>
      <c r="S545" s="36">
        <f>_xll.DBRW($E$12,$F$16,$F$17,$F$18,$E545,$F$20,S$22,$H545,$F$19)</f>
        <v>0</v>
      </c>
      <c r="T545" s="36">
        <f>_xll.DBRW($E$12,$F$16,$F$17,$F$18,$E545,$F$20,T$22,$H545,$F$19)</f>
        <v>0</v>
      </c>
      <c r="U545" s="36">
        <f>_xll.DBRW($E$12,$F$16,$F$17,$F$18,$E545,$F$20,U$22,$H545,$F$19)</f>
        <v>207.25</v>
      </c>
    </row>
    <row r="546" spans="4:21" s="37" customFormat="1" ht="15" outlineLevel="1" thickBot="1" x14ac:dyDescent="0.35">
      <c r="D546" s="33" t="str">
        <f>IF(_xll.TM1RPTELISCONSOLIDATED($H$34,$H546),IF(_xll.TM1RPTELLEV($H$34,$H546)&lt;=5,_xll.TM1RPTELLEV($H$34,$H546),"Default"),"Leaf")</f>
        <v>Leaf</v>
      </c>
      <c r="E546" s="42" t="s">
        <v>691</v>
      </c>
      <c r="F546" s="34" t="str">
        <f>_xll.DBR($B$18,$H546,"Account_Type")</f>
        <v>NON LABOR</v>
      </c>
      <c r="G546" s="34" t="str">
        <f>_xll.DBR($B$18,$H546,"Description")</f>
        <v>Company Owned Equipment</v>
      </c>
      <c r="H546" s="43" t="s">
        <v>428</v>
      </c>
      <c r="I546" s="36">
        <f>_xll.DBRW($E$12,$F$16,$F$17,$F$18,$E546,$F$20,I$22,$H546,$F$19)</f>
        <v>1000</v>
      </c>
      <c r="J546" s="36">
        <f>_xll.DBRW($E$12,$F$16,$F$17,$F$18,$E546,$F$20,J$22,$H546,$F$19)</f>
        <v>1000</v>
      </c>
      <c r="K546" s="36">
        <f>_xll.DBRW($E$12,$F$16,$F$17,$F$18,$E546,$F$20,K$22,$H546,$F$19)</f>
        <v>1000</v>
      </c>
      <c r="L546" s="36">
        <f>_xll.DBRW($E$12,$F$16,$F$17,$F$18,$E546,$F$20,L$22,$H546,$F$19)</f>
        <v>1000</v>
      </c>
      <c r="M546" s="36">
        <f>_xll.DBRW($E$12,$F$16,$F$17,$F$18,$E546,$F$20,M$22,$H546,$F$19)</f>
        <v>750</v>
      </c>
      <c r="N546" s="36">
        <f>_xll.DBRW($E$12,$F$16,$F$17,$F$18,$E546,$F$20,N$22,$H546,$F$19)</f>
        <v>375</v>
      </c>
      <c r="O546" s="36">
        <f>_xll.DBRW($E$12,$F$16,$F$17,$F$18,$E546,$F$20,O$22,$H546,$F$19)</f>
        <v>0</v>
      </c>
      <c r="P546" s="36">
        <f>_xll.DBRW($E$12,$F$16,$F$17,$F$18,$E546,$F$20,P$22,$H546,$F$19)</f>
        <v>0</v>
      </c>
      <c r="Q546" s="36">
        <f>_xll.DBRW($E$12,$F$16,$F$17,$F$18,$E546,$F$20,Q$22,$H546,$F$19)</f>
        <v>0</v>
      </c>
      <c r="R546" s="36">
        <f>_xll.DBRW($E$12,$F$16,$F$17,$F$18,$E546,$F$20,R$22,$H546,$F$19)</f>
        <v>0</v>
      </c>
      <c r="S546" s="36">
        <f>_xll.DBRW($E$12,$F$16,$F$17,$F$18,$E546,$F$20,S$22,$H546,$F$19)</f>
        <v>0</v>
      </c>
      <c r="T546" s="36">
        <f>_xll.DBRW($E$12,$F$16,$F$17,$F$18,$E546,$F$20,T$22,$H546,$F$19)</f>
        <v>0</v>
      </c>
      <c r="U546" s="36">
        <f>_xll.DBRW($E$12,$F$16,$F$17,$F$18,$E546,$F$20,U$22,$H546,$F$19)</f>
        <v>5125</v>
      </c>
    </row>
    <row r="547" spans="4:21" s="37" customFormat="1" ht="15" outlineLevel="1" thickBot="1" x14ac:dyDescent="0.35">
      <c r="D547" s="33" t="str">
        <f>IF(_xll.TM1RPTELISCONSOLIDATED($H$34,$H547),IF(_xll.TM1RPTELLEV($H$34,$H547)&lt;=5,_xll.TM1RPTELLEV($H$34,$H547),"Default"),"Leaf")</f>
        <v>Leaf</v>
      </c>
      <c r="E547" s="42" t="s">
        <v>692</v>
      </c>
      <c r="F547" s="34" t="str">
        <f>_xll.DBR($B$18,$H547,"Account_Type")</f>
        <v>NON LABOR</v>
      </c>
      <c r="G547" s="34" t="str">
        <f>_xll.DBR($B$18,$H547,"Description")</f>
        <v>Travel &amp; Lodging</v>
      </c>
      <c r="H547" s="43" t="s">
        <v>77</v>
      </c>
      <c r="I547" s="36">
        <f>_xll.DBRW($E$12,$F$16,$F$17,$F$18,$E547,$F$20,I$22,$H547,$F$19)</f>
        <v>2232</v>
      </c>
      <c r="J547" s="36">
        <f>_xll.DBRW($E$12,$F$16,$F$17,$F$18,$E547,$F$20,J$22,$H547,$F$19)</f>
        <v>2232</v>
      </c>
      <c r="K547" s="36">
        <f>_xll.DBRW($E$12,$F$16,$F$17,$F$18,$E547,$F$20,K$22,$H547,$F$19)</f>
        <v>2254</v>
      </c>
      <c r="L547" s="36">
        <f>_xll.DBRW($E$12,$F$16,$F$17,$F$18,$E547,$F$20,L$22,$H547,$F$19)</f>
        <v>2232</v>
      </c>
      <c r="M547" s="36">
        <f>_xll.DBRW($E$12,$F$16,$F$17,$F$18,$E547,$F$20,M$22,$H547,$F$19)</f>
        <v>13284.52</v>
      </c>
      <c r="N547" s="36">
        <f>_xll.DBRW($E$12,$F$16,$F$17,$F$18,$E547,$F$20,N$22,$H547,$F$19)</f>
        <v>2702.95</v>
      </c>
      <c r="O547" s="36">
        <f>_xll.DBRW($E$12,$F$16,$F$17,$F$18,$E547,$F$20,O$22,$H547,$F$19)</f>
        <v>0</v>
      </c>
      <c r="P547" s="36">
        <f>_xll.DBRW($E$12,$F$16,$F$17,$F$18,$E547,$F$20,P$22,$H547,$F$19)</f>
        <v>0</v>
      </c>
      <c r="Q547" s="36">
        <f>_xll.DBRW($E$12,$F$16,$F$17,$F$18,$E547,$F$20,Q$22,$H547,$F$19)</f>
        <v>0</v>
      </c>
      <c r="R547" s="36">
        <f>_xll.DBRW($E$12,$F$16,$F$17,$F$18,$E547,$F$20,R$22,$H547,$F$19)</f>
        <v>0</v>
      </c>
      <c r="S547" s="36">
        <f>_xll.DBRW($E$12,$F$16,$F$17,$F$18,$E547,$F$20,S$22,$H547,$F$19)</f>
        <v>0</v>
      </c>
      <c r="T547" s="36">
        <f>_xll.DBRW($E$12,$F$16,$F$17,$F$18,$E547,$F$20,T$22,$H547,$F$19)</f>
        <v>0</v>
      </c>
      <c r="U547" s="36">
        <f>_xll.DBRW($E$12,$F$16,$F$17,$F$18,$E547,$F$20,U$22,$H547,$F$19)</f>
        <v>24937.47</v>
      </c>
    </row>
    <row r="548" spans="4:21" s="37" customFormat="1" ht="15" outlineLevel="1" thickBot="1" x14ac:dyDescent="0.35">
      <c r="D548" s="33" t="str">
        <f>IF(_xll.TM1RPTELISCONSOLIDATED($H$34,$H548),IF(_xll.TM1RPTELLEV($H$34,$H548)&lt;=5,_xll.TM1RPTELLEV($H$34,$H548),"Default"),"Leaf")</f>
        <v>Leaf</v>
      </c>
      <c r="E548" s="42" t="s">
        <v>692</v>
      </c>
      <c r="F548" s="34" t="str">
        <f>_xll.DBR($B$18,$H548,"Account_Type")</f>
        <v>NON LABOR</v>
      </c>
      <c r="G548" s="34" t="str">
        <f>_xll.DBR($B$18,$H548,"Description")</f>
        <v>Client Development</v>
      </c>
      <c r="H548" s="43" t="s">
        <v>89</v>
      </c>
      <c r="I548" s="36">
        <f>_xll.DBRW($E$12,$F$16,$F$17,$F$18,$E548,$F$20,I$22,$H548,$F$19)</f>
        <v>0</v>
      </c>
      <c r="J548" s="36">
        <f>_xll.DBRW($E$12,$F$16,$F$17,$F$18,$E548,$F$20,J$22,$H548,$F$19)</f>
        <v>1006.95</v>
      </c>
      <c r="K548" s="36">
        <f>_xll.DBRW($E$12,$F$16,$F$17,$F$18,$E548,$F$20,K$22,$H548,$F$19)</f>
        <v>54.16</v>
      </c>
      <c r="L548" s="36">
        <f>_xll.DBRW($E$12,$F$16,$F$17,$F$18,$E548,$F$20,L$22,$H548,$F$19)</f>
        <v>0</v>
      </c>
      <c r="M548" s="36">
        <f>_xll.DBRW($E$12,$F$16,$F$17,$F$18,$E548,$F$20,M$22,$H548,$F$19)</f>
        <v>0</v>
      </c>
      <c r="N548" s="36">
        <f>_xll.DBRW($E$12,$F$16,$F$17,$F$18,$E548,$F$20,N$22,$H548,$F$19)</f>
        <v>0</v>
      </c>
      <c r="O548" s="36">
        <f>_xll.DBRW($E$12,$F$16,$F$17,$F$18,$E548,$F$20,O$22,$H548,$F$19)</f>
        <v>0</v>
      </c>
      <c r="P548" s="36">
        <f>_xll.DBRW($E$12,$F$16,$F$17,$F$18,$E548,$F$20,P$22,$H548,$F$19)</f>
        <v>0</v>
      </c>
      <c r="Q548" s="36">
        <f>_xll.DBRW($E$12,$F$16,$F$17,$F$18,$E548,$F$20,Q$22,$H548,$F$19)</f>
        <v>0</v>
      </c>
      <c r="R548" s="36">
        <f>_xll.DBRW($E$12,$F$16,$F$17,$F$18,$E548,$F$20,R$22,$H548,$F$19)</f>
        <v>0</v>
      </c>
      <c r="S548" s="36">
        <f>_xll.DBRW($E$12,$F$16,$F$17,$F$18,$E548,$F$20,S$22,$H548,$F$19)</f>
        <v>0</v>
      </c>
      <c r="T548" s="36">
        <f>_xll.DBRW($E$12,$F$16,$F$17,$F$18,$E548,$F$20,T$22,$H548,$F$19)</f>
        <v>0</v>
      </c>
      <c r="U548" s="36">
        <f>_xll.DBRW($E$12,$F$16,$F$17,$F$18,$E548,$F$20,U$22,$H548,$F$19)</f>
        <v>1061.1100000000001</v>
      </c>
    </row>
    <row r="549" spans="4:21" s="37" customFormat="1" ht="15" outlineLevel="1" thickBot="1" x14ac:dyDescent="0.35">
      <c r="D549" s="33" t="str">
        <f>IF(_xll.TM1RPTELISCONSOLIDATED($H$34,$H549),IF(_xll.TM1RPTELLEV($H$34,$H549)&lt;=5,_xll.TM1RPTELLEV($H$34,$H549),"Default"),"Leaf")</f>
        <v>Leaf</v>
      </c>
      <c r="E549" s="42" t="s">
        <v>692</v>
      </c>
      <c r="F549" s="34" t="str">
        <f>_xll.DBR($B$18,$H549,"Account_Type")</f>
        <v>NON LABOR</v>
      </c>
      <c r="G549" s="34" t="str">
        <f>_xll.DBR($B$18,$H549,"Description")</f>
        <v>Business Meals &amp; Entertainment</v>
      </c>
      <c r="H549" s="43" t="s">
        <v>111</v>
      </c>
      <c r="I549" s="36">
        <f>_xll.DBRW($E$12,$F$16,$F$17,$F$18,$E549,$F$20,I$22,$H549,$F$19)</f>
        <v>0</v>
      </c>
      <c r="J549" s="36">
        <f>_xll.DBRW($E$12,$F$16,$F$17,$F$18,$E549,$F$20,J$22,$H549,$F$19)</f>
        <v>0</v>
      </c>
      <c r="K549" s="36">
        <f>_xll.DBRW($E$12,$F$16,$F$17,$F$18,$E549,$F$20,K$22,$H549,$F$19)</f>
        <v>0</v>
      </c>
      <c r="L549" s="36">
        <f>_xll.DBRW($E$12,$F$16,$F$17,$F$18,$E549,$F$20,L$22,$H549,$F$19)</f>
        <v>80.430000000000007</v>
      </c>
      <c r="M549" s="36">
        <f>_xll.DBRW($E$12,$F$16,$F$17,$F$18,$E549,$F$20,M$22,$H549,$F$19)</f>
        <v>39.15</v>
      </c>
      <c r="N549" s="36">
        <f>_xll.DBRW($E$12,$F$16,$F$17,$F$18,$E549,$F$20,N$22,$H549,$F$19)</f>
        <v>40.92</v>
      </c>
      <c r="O549" s="36">
        <f>_xll.DBRW($E$12,$F$16,$F$17,$F$18,$E549,$F$20,O$22,$H549,$F$19)</f>
        <v>0</v>
      </c>
      <c r="P549" s="36">
        <f>_xll.DBRW($E$12,$F$16,$F$17,$F$18,$E549,$F$20,P$22,$H549,$F$19)</f>
        <v>0</v>
      </c>
      <c r="Q549" s="36">
        <f>_xll.DBRW($E$12,$F$16,$F$17,$F$18,$E549,$F$20,Q$22,$H549,$F$19)</f>
        <v>0</v>
      </c>
      <c r="R549" s="36">
        <f>_xll.DBRW($E$12,$F$16,$F$17,$F$18,$E549,$F$20,R$22,$H549,$F$19)</f>
        <v>0</v>
      </c>
      <c r="S549" s="36">
        <f>_xll.DBRW($E$12,$F$16,$F$17,$F$18,$E549,$F$20,S$22,$H549,$F$19)</f>
        <v>0</v>
      </c>
      <c r="T549" s="36">
        <f>_xll.DBRW($E$12,$F$16,$F$17,$F$18,$E549,$F$20,T$22,$H549,$F$19)</f>
        <v>0</v>
      </c>
      <c r="U549" s="36">
        <f>_xll.DBRW($E$12,$F$16,$F$17,$F$18,$E549,$F$20,U$22,$H549,$F$19)</f>
        <v>160.5</v>
      </c>
    </row>
    <row r="550" spans="4:21" s="37" customFormat="1" ht="15" outlineLevel="1" thickBot="1" x14ac:dyDescent="0.35">
      <c r="D550" s="33" t="str">
        <f>IF(_xll.TM1RPTELISCONSOLIDATED($H$34,$H550),IF(_xll.TM1RPTELLEV($H$34,$H550)&lt;=5,_xll.TM1RPTELLEV($H$34,$H550),"Default"),"Leaf")</f>
        <v>Leaf</v>
      </c>
      <c r="E550" s="42" t="s">
        <v>692</v>
      </c>
      <c r="F550" s="34" t="str">
        <f>_xll.DBR($B$18,$H550,"Account_Type")</f>
        <v>NON LABOR</v>
      </c>
      <c r="G550" s="34" t="str">
        <f>_xll.DBR($B$18,$H550,"Description")</f>
        <v>Business Meals &amp; Entertainment</v>
      </c>
      <c r="H550" s="43" t="s">
        <v>112</v>
      </c>
      <c r="I550" s="36">
        <f>_xll.DBRW($E$12,$F$16,$F$17,$F$18,$E550,$F$20,I$22,$H550,$F$19)</f>
        <v>155.22999999999999</v>
      </c>
      <c r="J550" s="36">
        <f>_xll.DBRW($E$12,$F$16,$F$17,$F$18,$E550,$F$20,J$22,$H550,$F$19)</f>
        <v>293.86</v>
      </c>
      <c r="K550" s="36">
        <f>_xll.DBRW($E$12,$F$16,$F$17,$F$18,$E550,$F$20,K$22,$H550,$F$19)</f>
        <v>0</v>
      </c>
      <c r="L550" s="36">
        <f>_xll.DBRW($E$12,$F$16,$F$17,$F$18,$E550,$F$20,L$22,$H550,$F$19)</f>
        <v>80.41</v>
      </c>
      <c r="M550" s="36">
        <f>_xll.DBRW($E$12,$F$16,$F$17,$F$18,$E550,$F$20,M$22,$H550,$F$19)</f>
        <v>39.14</v>
      </c>
      <c r="N550" s="36">
        <f>_xll.DBRW($E$12,$F$16,$F$17,$F$18,$E550,$F$20,N$22,$H550,$F$19)</f>
        <v>853.26</v>
      </c>
      <c r="O550" s="36">
        <f>_xll.DBRW($E$12,$F$16,$F$17,$F$18,$E550,$F$20,O$22,$H550,$F$19)</f>
        <v>0</v>
      </c>
      <c r="P550" s="36">
        <f>_xll.DBRW($E$12,$F$16,$F$17,$F$18,$E550,$F$20,P$22,$H550,$F$19)</f>
        <v>0</v>
      </c>
      <c r="Q550" s="36">
        <f>_xll.DBRW($E$12,$F$16,$F$17,$F$18,$E550,$F$20,Q$22,$H550,$F$19)</f>
        <v>0</v>
      </c>
      <c r="R550" s="36">
        <f>_xll.DBRW($E$12,$F$16,$F$17,$F$18,$E550,$F$20,R$22,$H550,$F$19)</f>
        <v>0</v>
      </c>
      <c r="S550" s="36">
        <f>_xll.DBRW($E$12,$F$16,$F$17,$F$18,$E550,$F$20,S$22,$H550,$F$19)</f>
        <v>0</v>
      </c>
      <c r="T550" s="36">
        <f>_xll.DBRW($E$12,$F$16,$F$17,$F$18,$E550,$F$20,T$22,$H550,$F$19)</f>
        <v>0</v>
      </c>
      <c r="U550" s="36">
        <f>_xll.DBRW($E$12,$F$16,$F$17,$F$18,$E550,$F$20,U$22,$H550,$F$19)</f>
        <v>1421.9</v>
      </c>
    </row>
    <row r="551" spans="4:21" s="37" customFormat="1" ht="15" outlineLevel="1" thickBot="1" x14ac:dyDescent="0.35">
      <c r="D551" s="33" t="str">
        <f>IF(_xll.TM1RPTELISCONSOLIDATED($H$34,$H551),IF(_xll.TM1RPTELLEV($H$34,$H551)&lt;=5,_xll.TM1RPTELLEV($H$34,$H551),"Default"),"Leaf")</f>
        <v>Leaf</v>
      </c>
      <c r="E551" s="42" t="s">
        <v>692</v>
      </c>
      <c r="F551" s="34" t="str">
        <f>_xll.DBR($B$18,$H551,"Account_Type")</f>
        <v>NON LABOR</v>
      </c>
      <c r="G551" s="34" t="str">
        <f>_xll.DBR($B$18,$H551,"Description")</f>
        <v>Telecommunications / Internet</v>
      </c>
      <c r="H551" s="43" t="s">
        <v>130</v>
      </c>
      <c r="I551" s="36">
        <f>_xll.DBRW($E$12,$F$16,$F$17,$F$18,$E551,$F$20,I$22,$H551,$F$19)</f>
        <v>100.91</v>
      </c>
      <c r="J551" s="36">
        <f>_xll.DBRW($E$12,$F$16,$F$17,$F$18,$E551,$F$20,J$22,$H551,$F$19)</f>
        <v>100.68</v>
      </c>
      <c r="K551" s="36">
        <f>_xll.DBRW($E$12,$F$16,$F$17,$F$18,$E551,$F$20,K$22,$H551,$F$19)</f>
        <v>100.89</v>
      </c>
      <c r="L551" s="36">
        <f>_xll.DBRW($E$12,$F$16,$F$17,$F$18,$E551,$F$20,L$22,$H551,$F$19)</f>
        <v>100.68</v>
      </c>
      <c r="M551" s="36">
        <f>_xll.DBRW($E$12,$F$16,$F$17,$F$18,$E551,$F$20,M$22,$H551,$F$19)</f>
        <v>100.67</v>
      </c>
      <c r="N551" s="36">
        <f>_xll.DBRW($E$12,$F$16,$F$17,$F$18,$E551,$F$20,N$22,$H551,$F$19)</f>
        <v>82.93</v>
      </c>
      <c r="O551" s="36">
        <f>_xll.DBRW($E$12,$F$16,$F$17,$F$18,$E551,$F$20,O$22,$H551,$F$19)</f>
        <v>0</v>
      </c>
      <c r="P551" s="36">
        <f>_xll.DBRW($E$12,$F$16,$F$17,$F$18,$E551,$F$20,P$22,$H551,$F$19)</f>
        <v>0</v>
      </c>
      <c r="Q551" s="36">
        <f>_xll.DBRW($E$12,$F$16,$F$17,$F$18,$E551,$F$20,Q$22,$H551,$F$19)</f>
        <v>0</v>
      </c>
      <c r="R551" s="36">
        <f>_xll.DBRW($E$12,$F$16,$F$17,$F$18,$E551,$F$20,R$22,$H551,$F$19)</f>
        <v>0</v>
      </c>
      <c r="S551" s="36">
        <f>_xll.DBRW($E$12,$F$16,$F$17,$F$18,$E551,$F$20,S$22,$H551,$F$19)</f>
        <v>0</v>
      </c>
      <c r="T551" s="36">
        <f>_xll.DBRW($E$12,$F$16,$F$17,$F$18,$E551,$F$20,T$22,$H551,$F$19)</f>
        <v>0</v>
      </c>
      <c r="U551" s="36">
        <f>_xll.DBRW($E$12,$F$16,$F$17,$F$18,$E551,$F$20,U$22,$H551,$F$19)</f>
        <v>586.76</v>
      </c>
    </row>
    <row r="552" spans="4:21" s="37" customFormat="1" ht="15" outlineLevel="1" thickBot="1" x14ac:dyDescent="0.35">
      <c r="D552" s="33" t="str">
        <f>IF(_xll.TM1RPTELISCONSOLIDATED($H$34,$H552),IF(_xll.TM1RPTELLEV($H$34,$H552)&lt;=5,_xll.TM1RPTELLEV($H$34,$H552),"Default"),"Leaf")</f>
        <v>Leaf</v>
      </c>
      <c r="E552" s="42" t="s">
        <v>692</v>
      </c>
      <c r="F552" s="34" t="str">
        <f>_xll.DBR($B$18,$H552,"Account_Type")</f>
        <v>NON LABOR</v>
      </c>
      <c r="G552" s="34" t="str">
        <f>_xll.DBR($B$18,$H552,"Description")</f>
        <v>Office/Computer Supplies &amp; Eqpt</v>
      </c>
      <c r="H552" s="43" t="s">
        <v>149</v>
      </c>
      <c r="I552" s="36">
        <f>_xll.DBRW($E$12,$F$16,$F$17,$F$18,$E552,$F$20,I$22,$H552,$F$19)</f>
        <v>0</v>
      </c>
      <c r="J552" s="36">
        <f>_xll.DBRW($E$12,$F$16,$F$17,$F$18,$E552,$F$20,J$22,$H552,$F$19)</f>
        <v>53.02</v>
      </c>
      <c r="K552" s="36">
        <f>_xll.DBRW($E$12,$F$16,$F$17,$F$18,$E552,$F$20,K$22,$H552,$F$19)</f>
        <v>174.78</v>
      </c>
      <c r="L552" s="36">
        <f>_xll.DBRW($E$12,$F$16,$F$17,$F$18,$E552,$F$20,L$22,$H552,$F$19)</f>
        <v>0</v>
      </c>
      <c r="M552" s="36">
        <f>_xll.DBRW($E$12,$F$16,$F$17,$F$18,$E552,$F$20,M$22,$H552,$F$19)</f>
        <v>0</v>
      </c>
      <c r="N552" s="36">
        <f>_xll.DBRW($E$12,$F$16,$F$17,$F$18,$E552,$F$20,N$22,$H552,$F$19)</f>
        <v>32.409999999999997</v>
      </c>
      <c r="O552" s="36">
        <f>_xll.DBRW($E$12,$F$16,$F$17,$F$18,$E552,$F$20,O$22,$H552,$F$19)</f>
        <v>0</v>
      </c>
      <c r="P552" s="36">
        <f>_xll.DBRW($E$12,$F$16,$F$17,$F$18,$E552,$F$20,P$22,$H552,$F$19)</f>
        <v>0</v>
      </c>
      <c r="Q552" s="36">
        <f>_xll.DBRW($E$12,$F$16,$F$17,$F$18,$E552,$F$20,Q$22,$H552,$F$19)</f>
        <v>0</v>
      </c>
      <c r="R552" s="36">
        <f>_xll.DBRW($E$12,$F$16,$F$17,$F$18,$E552,$F$20,R$22,$H552,$F$19)</f>
        <v>0</v>
      </c>
      <c r="S552" s="36">
        <f>_xll.DBRW($E$12,$F$16,$F$17,$F$18,$E552,$F$20,S$22,$H552,$F$19)</f>
        <v>0</v>
      </c>
      <c r="T552" s="36">
        <f>_xll.DBRW($E$12,$F$16,$F$17,$F$18,$E552,$F$20,T$22,$H552,$F$19)</f>
        <v>0</v>
      </c>
      <c r="U552" s="36">
        <f>_xll.DBRW($E$12,$F$16,$F$17,$F$18,$E552,$F$20,U$22,$H552,$F$19)</f>
        <v>260.21000000000004</v>
      </c>
    </row>
    <row r="553" spans="4:21" s="37" customFormat="1" ht="15" outlineLevel="1" thickBot="1" x14ac:dyDescent="0.35">
      <c r="D553" s="33" t="str">
        <f>IF(_xll.TM1RPTELISCONSOLIDATED($H$34,$H553),IF(_xll.TM1RPTELLEV($H$34,$H553)&lt;=5,_xll.TM1RPTELLEV($H$34,$H553),"Default"),"Leaf")</f>
        <v>Leaf</v>
      </c>
      <c r="E553" s="42" t="s">
        <v>692</v>
      </c>
      <c r="F553" s="34" t="str">
        <f>_xll.DBR($B$18,$H553,"Account_Type")</f>
        <v>NON LABOR</v>
      </c>
      <c r="G553" s="34" t="str">
        <f>_xll.DBR($B$18,$H553,"Description")</f>
        <v>Postage &amp; Courier Fees</v>
      </c>
      <c r="H553" s="43" t="s">
        <v>164</v>
      </c>
      <c r="I553" s="36">
        <f>_xll.DBRW($E$12,$F$16,$F$17,$F$18,$E553,$F$20,I$22,$H553,$F$19)</f>
        <v>33.24</v>
      </c>
      <c r="J553" s="36">
        <f>_xll.DBRW($E$12,$F$16,$F$17,$F$18,$E553,$F$20,J$22,$H553,$F$19)</f>
        <v>88.16</v>
      </c>
      <c r="K553" s="36">
        <f>_xll.DBRW($E$12,$F$16,$F$17,$F$18,$E553,$F$20,K$22,$H553,$F$19)</f>
        <v>0</v>
      </c>
      <c r="L553" s="36">
        <f>_xll.DBRW($E$12,$F$16,$F$17,$F$18,$E553,$F$20,L$22,$H553,$F$19)</f>
        <v>0</v>
      </c>
      <c r="M553" s="36">
        <f>_xll.DBRW($E$12,$F$16,$F$17,$F$18,$E553,$F$20,M$22,$H553,$F$19)</f>
        <v>0</v>
      </c>
      <c r="N553" s="36">
        <f>_xll.DBRW($E$12,$F$16,$F$17,$F$18,$E553,$F$20,N$22,$H553,$F$19)</f>
        <v>0</v>
      </c>
      <c r="O553" s="36">
        <f>_xll.DBRW($E$12,$F$16,$F$17,$F$18,$E553,$F$20,O$22,$H553,$F$19)</f>
        <v>0</v>
      </c>
      <c r="P553" s="36">
        <f>_xll.DBRW($E$12,$F$16,$F$17,$F$18,$E553,$F$20,P$22,$H553,$F$19)</f>
        <v>0</v>
      </c>
      <c r="Q553" s="36">
        <f>_xll.DBRW($E$12,$F$16,$F$17,$F$18,$E553,$F$20,Q$22,$H553,$F$19)</f>
        <v>0</v>
      </c>
      <c r="R553" s="36">
        <f>_xll.DBRW($E$12,$F$16,$F$17,$F$18,$E553,$F$20,R$22,$H553,$F$19)</f>
        <v>0</v>
      </c>
      <c r="S553" s="36">
        <f>_xll.DBRW($E$12,$F$16,$F$17,$F$18,$E553,$F$20,S$22,$H553,$F$19)</f>
        <v>0</v>
      </c>
      <c r="T553" s="36">
        <f>_xll.DBRW($E$12,$F$16,$F$17,$F$18,$E553,$F$20,T$22,$H553,$F$19)</f>
        <v>0</v>
      </c>
      <c r="U553" s="36">
        <f>_xll.DBRW($E$12,$F$16,$F$17,$F$18,$E553,$F$20,U$22,$H553,$F$19)</f>
        <v>121.4</v>
      </c>
    </row>
    <row r="554" spans="4:21" s="37" customFormat="1" ht="15" outlineLevel="1" thickBot="1" x14ac:dyDescent="0.35">
      <c r="D554" s="33" t="str">
        <f>IF(_xll.TM1RPTELISCONSOLIDATED($H$34,$H554),IF(_xll.TM1RPTELLEV($H$34,$H554)&lt;=5,_xll.TM1RPTELLEV($H$34,$H554),"Default"),"Leaf")</f>
        <v>Leaf</v>
      </c>
      <c r="E554" s="42" t="s">
        <v>692</v>
      </c>
      <c r="F554" s="34" t="str">
        <f>_xll.DBR($B$18,$H554,"Account_Type")</f>
        <v>NON LABOR</v>
      </c>
      <c r="G554" s="34" t="str">
        <f>_xll.DBR($B$18,$H554,"Description")</f>
        <v>Education/Training/Dues/Subscriptions</v>
      </c>
      <c r="H554" s="43" t="s">
        <v>185</v>
      </c>
      <c r="I554" s="36">
        <f>_xll.DBRW($E$12,$F$16,$F$17,$F$18,$E554,$F$20,I$22,$H554,$F$19)</f>
        <v>0</v>
      </c>
      <c r="J554" s="36">
        <f>_xll.DBRW($E$12,$F$16,$F$17,$F$18,$E554,$F$20,J$22,$H554,$F$19)</f>
        <v>0</v>
      </c>
      <c r="K554" s="36">
        <f>_xll.DBRW($E$12,$F$16,$F$17,$F$18,$E554,$F$20,K$22,$H554,$F$19)</f>
        <v>0</v>
      </c>
      <c r="L554" s="36">
        <f>_xll.DBRW($E$12,$F$16,$F$17,$F$18,$E554,$F$20,L$22,$H554,$F$19)</f>
        <v>0</v>
      </c>
      <c r="M554" s="36">
        <f>_xll.DBRW($E$12,$F$16,$F$17,$F$18,$E554,$F$20,M$22,$H554,$F$19)</f>
        <v>-12.3</v>
      </c>
      <c r="N554" s="36">
        <f>_xll.DBRW($E$12,$F$16,$F$17,$F$18,$E554,$F$20,N$22,$H554,$F$19)</f>
        <v>0</v>
      </c>
      <c r="O554" s="36">
        <f>_xll.DBRW($E$12,$F$16,$F$17,$F$18,$E554,$F$20,O$22,$H554,$F$19)</f>
        <v>0</v>
      </c>
      <c r="P554" s="36">
        <f>_xll.DBRW($E$12,$F$16,$F$17,$F$18,$E554,$F$20,P$22,$H554,$F$19)</f>
        <v>0</v>
      </c>
      <c r="Q554" s="36">
        <f>_xll.DBRW($E$12,$F$16,$F$17,$F$18,$E554,$F$20,Q$22,$H554,$F$19)</f>
        <v>0</v>
      </c>
      <c r="R554" s="36">
        <f>_xll.DBRW($E$12,$F$16,$F$17,$F$18,$E554,$F$20,R$22,$H554,$F$19)</f>
        <v>0</v>
      </c>
      <c r="S554" s="36">
        <f>_xll.DBRW($E$12,$F$16,$F$17,$F$18,$E554,$F$20,S$22,$H554,$F$19)</f>
        <v>0</v>
      </c>
      <c r="T554" s="36">
        <f>_xll.DBRW($E$12,$F$16,$F$17,$F$18,$E554,$F$20,T$22,$H554,$F$19)</f>
        <v>0</v>
      </c>
      <c r="U554" s="36">
        <f>_xll.DBRW($E$12,$F$16,$F$17,$F$18,$E554,$F$20,U$22,$H554,$F$19)</f>
        <v>-12.3</v>
      </c>
    </row>
    <row r="555" spans="4:21" s="37" customFormat="1" ht="15" outlineLevel="1" thickBot="1" x14ac:dyDescent="0.35">
      <c r="D555" s="33" t="str">
        <f>IF(_xll.TM1RPTELISCONSOLIDATED($H$34,$H555),IF(_xll.TM1RPTELLEV($H$34,$H555)&lt;=5,_xll.TM1RPTELLEV($H$34,$H555),"Default"),"Leaf")</f>
        <v>Leaf</v>
      </c>
      <c r="E555" s="42" t="s">
        <v>692</v>
      </c>
      <c r="F555" s="34" t="str">
        <f>_xll.DBR($B$18,$H555,"Account_Type")</f>
        <v>NON LABOR</v>
      </c>
      <c r="G555" s="34" t="str">
        <f>_xll.DBR($B$18,$H555,"Description")</f>
        <v>Office Rent</v>
      </c>
      <c r="H555" s="43" t="s">
        <v>210</v>
      </c>
      <c r="I555" s="36">
        <f>_xll.DBRW($E$12,$F$16,$F$17,$F$18,$E555,$F$20,I$22,$H555,$F$19)</f>
        <v>3668.67</v>
      </c>
      <c r="J555" s="36">
        <f>_xll.DBRW($E$12,$F$16,$F$17,$F$18,$E555,$F$20,J$22,$H555,$F$19)</f>
        <v>3028.45</v>
      </c>
      <c r="K555" s="36">
        <f>_xll.DBRW($E$12,$F$16,$F$17,$F$18,$E555,$F$20,K$22,$H555,$F$19)</f>
        <v>3958.42</v>
      </c>
      <c r="L555" s="36">
        <f>_xll.DBRW($E$12,$F$16,$F$17,$F$18,$E555,$F$20,L$22,$H555,$F$19)</f>
        <v>3028.45</v>
      </c>
      <c r="M555" s="36">
        <f>_xll.DBRW($E$12,$F$16,$F$17,$F$18,$E555,$F$20,M$22,$H555,$F$19)</f>
        <v>3028.45</v>
      </c>
      <c r="N555" s="36">
        <f>_xll.DBRW($E$12,$F$16,$F$17,$F$18,$E555,$F$20,N$22,$H555,$F$19)</f>
        <v>3028.45</v>
      </c>
      <c r="O555" s="36">
        <f>_xll.DBRW($E$12,$F$16,$F$17,$F$18,$E555,$F$20,O$22,$H555,$F$19)</f>
        <v>0</v>
      </c>
      <c r="P555" s="36">
        <f>_xll.DBRW($E$12,$F$16,$F$17,$F$18,$E555,$F$20,P$22,$H555,$F$19)</f>
        <v>0</v>
      </c>
      <c r="Q555" s="36">
        <f>_xll.DBRW($E$12,$F$16,$F$17,$F$18,$E555,$F$20,Q$22,$H555,$F$19)</f>
        <v>0</v>
      </c>
      <c r="R555" s="36">
        <f>_xll.DBRW($E$12,$F$16,$F$17,$F$18,$E555,$F$20,R$22,$H555,$F$19)</f>
        <v>0</v>
      </c>
      <c r="S555" s="36">
        <f>_xll.DBRW($E$12,$F$16,$F$17,$F$18,$E555,$F$20,S$22,$H555,$F$19)</f>
        <v>0</v>
      </c>
      <c r="T555" s="36">
        <f>_xll.DBRW($E$12,$F$16,$F$17,$F$18,$E555,$F$20,T$22,$H555,$F$19)</f>
        <v>0</v>
      </c>
      <c r="U555" s="36">
        <f>_xll.DBRW($E$12,$F$16,$F$17,$F$18,$E555,$F$20,U$22,$H555,$F$19)</f>
        <v>19740.890000000003</v>
      </c>
    </row>
    <row r="556" spans="4:21" s="37" customFormat="1" ht="15" outlineLevel="1" thickBot="1" x14ac:dyDescent="0.35">
      <c r="D556" s="33" t="str">
        <f>IF(_xll.TM1RPTELISCONSOLIDATED($H$34,$H556),IF(_xll.TM1RPTELLEV($H$34,$H556)&lt;=5,_xll.TM1RPTELLEV($H$34,$H556),"Default"),"Leaf")</f>
        <v>Leaf</v>
      </c>
      <c r="E556" s="42" t="s">
        <v>692</v>
      </c>
      <c r="F556" s="34" t="str">
        <f>_xll.DBR($B$18,$H556,"Account_Type")</f>
        <v>NON LABOR</v>
      </c>
      <c r="G556" s="34" t="str">
        <f>_xll.DBR($B$18,$H556,"Description")</f>
        <v>Facility Maintenance</v>
      </c>
      <c r="H556" s="43" t="s">
        <v>239</v>
      </c>
      <c r="I556" s="36">
        <f>_xll.DBRW($E$12,$F$16,$F$17,$F$18,$E556,$F$20,I$22,$H556,$F$19)</f>
        <v>0</v>
      </c>
      <c r="J556" s="36">
        <f>_xll.DBRW($E$12,$F$16,$F$17,$F$18,$E556,$F$20,J$22,$H556,$F$19)</f>
        <v>0</v>
      </c>
      <c r="K556" s="36">
        <f>_xll.DBRW($E$12,$F$16,$F$17,$F$18,$E556,$F$20,K$22,$H556,$F$19)</f>
        <v>0</v>
      </c>
      <c r="L556" s="36">
        <f>_xll.DBRW($E$12,$F$16,$F$17,$F$18,$E556,$F$20,L$22,$H556,$F$19)</f>
        <v>151.19</v>
      </c>
      <c r="M556" s="36">
        <f>_xll.DBRW($E$12,$F$16,$F$17,$F$18,$E556,$F$20,M$22,$H556,$F$19)</f>
        <v>0</v>
      </c>
      <c r="N556" s="36">
        <f>_xll.DBRW($E$12,$F$16,$F$17,$F$18,$E556,$F$20,N$22,$H556,$F$19)</f>
        <v>0</v>
      </c>
      <c r="O556" s="36">
        <f>_xll.DBRW($E$12,$F$16,$F$17,$F$18,$E556,$F$20,O$22,$H556,$F$19)</f>
        <v>0</v>
      </c>
      <c r="P556" s="36">
        <f>_xll.DBRW($E$12,$F$16,$F$17,$F$18,$E556,$F$20,P$22,$H556,$F$19)</f>
        <v>0</v>
      </c>
      <c r="Q556" s="36">
        <f>_xll.DBRW($E$12,$F$16,$F$17,$F$18,$E556,$F$20,Q$22,$H556,$F$19)</f>
        <v>0</v>
      </c>
      <c r="R556" s="36">
        <f>_xll.DBRW($E$12,$F$16,$F$17,$F$18,$E556,$F$20,R$22,$H556,$F$19)</f>
        <v>0</v>
      </c>
      <c r="S556" s="36">
        <f>_xll.DBRW($E$12,$F$16,$F$17,$F$18,$E556,$F$20,S$22,$H556,$F$19)</f>
        <v>0</v>
      </c>
      <c r="T556" s="36">
        <f>_xll.DBRW($E$12,$F$16,$F$17,$F$18,$E556,$F$20,T$22,$H556,$F$19)</f>
        <v>0</v>
      </c>
      <c r="U556" s="36">
        <f>_xll.DBRW($E$12,$F$16,$F$17,$F$18,$E556,$F$20,U$22,$H556,$F$19)</f>
        <v>151.19</v>
      </c>
    </row>
    <row r="557" spans="4:21" s="37" customFormat="1" ht="15" outlineLevel="1" thickBot="1" x14ac:dyDescent="0.35">
      <c r="D557" s="33" t="str">
        <f>IF(_xll.TM1RPTELISCONSOLIDATED($H$34,$H557),IF(_xll.TM1RPTELLEV($H$34,$H557)&lt;=5,_xll.TM1RPTELLEV($H$34,$H557),"Default"),"Leaf")</f>
        <v>Leaf</v>
      </c>
      <c r="E557" s="42" t="s">
        <v>692</v>
      </c>
      <c r="F557" s="34" t="str">
        <f>_xll.DBR($B$18,$H557,"Account_Type")</f>
        <v>NON LABOR</v>
      </c>
      <c r="G557" s="34" t="str">
        <f>_xll.DBR($B$18,$H557,"Description")</f>
        <v>Drug Testing &amp; Physicals</v>
      </c>
      <c r="H557" s="43" t="s">
        <v>277</v>
      </c>
      <c r="I557" s="36">
        <f>_xll.DBRW($E$12,$F$16,$F$17,$F$18,$E557,$F$20,I$22,$H557,$F$19)</f>
        <v>0</v>
      </c>
      <c r="J557" s="36">
        <f>_xll.DBRW($E$12,$F$16,$F$17,$F$18,$E557,$F$20,J$22,$H557,$F$19)</f>
        <v>0</v>
      </c>
      <c r="K557" s="36">
        <f>_xll.DBRW($E$12,$F$16,$F$17,$F$18,$E557,$F$20,K$22,$H557,$F$19)</f>
        <v>0</v>
      </c>
      <c r="L557" s="36">
        <f>_xll.DBRW($E$12,$F$16,$F$17,$F$18,$E557,$F$20,L$22,$H557,$F$19)</f>
        <v>0</v>
      </c>
      <c r="M557" s="36">
        <f>_xll.DBRW($E$12,$F$16,$F$17,$F$18,$E557,$F$20,M$22,$H557,$F$19)</f>
        <v>0</v>
      </c>
      <c r="N557" s="36">
        <f>_xll.DBRW($E$12,$F$16,$F$17,$F$18,$E557,$F$20,N$22,$H557,$F$19)</f>
        <v>107</v>
      </c>
      <c r="O557" s="36">
        <f>_xll.DBRW($E$12,$F$16,$F$17,$F$18,$E557,$F$20,O$22,$H557,$F$19)</f>
        <v>0</v>
      </c>
      <c r="P557" s="36">
        <f>_xll.DBRW($E$12,$F$16,$F$17,$F$18,$E557,$F$20,P$22,$H557,$F$19)</f>
        <v>0</v>
      </c>
      <c r="Q557" s="36">
        <f>_xll.DBRW($E$12,$F$16,$F$17,$F$18,$E557,$F$20,Q$22,$H557,$F$19)</f>
        <v>0</v>
      </c>
      <c r="R557" s="36">
        <f>_xll.DBRW($E$12,$F$16,$F$17,$F$18,$E557,$F$20,R$22,$H557,$F$19)</f>
        <v>0</v>
      </c>
      <c r="S557" s="36">
        <f>_xll.DBRW($E$12,$F$16,$F$17,$F$18,$E557,$F$20,S$22,$H557,$F$19)</f>
        <v>0</v>
      </c>
      <c r="T557" s="36">
        <f>_xll.DBRW($E$12,$F$16,$F$17,$F$18,$E557,$F$20,T$22,$H557,$F$19)</f>
        <v>0</v>
      </c>
      <c r="U557" s="36">
        <f>_xll.DBRW($E$12,$F$16,$F$17,$F$18,$E557,$F$20,U$22,$H557,$F$19)</f>
        <v>107</v>
      </c>
    </row>
    <row r="558" spans="4:21" s="37" customFormat="1" ht="15" outlineLevel="1" thickBot="1" x14ac:dyDescent="0.35">
      <c r="D558" s="33" t="str">
        <f>IF(_xll.TM1RPTELISCONSOLIDATED($H$34,$H558),IF(_xll.TM1RPTELLEV($H$34,$H558)&lt;=5,_xll.TM1RPTELLEV($H$34,$H558),"Default"),"Leaf")</f>
        <v>Leaf</v>
      </c>
      <c r="E558" s="42" t="s">
        <v>692</v>
      </c>
      <c r="F558" s="34" t="str">
        <f>_xll.DBR($B$18,$H558,"Account_Type")</f>
        <v>NON LABOR</v>
      </c>
      <c r="G558" s="34" t="str">
        <f>_xll.DBR($B$18,$H558,"Description")</f>
        <v>Small Tools</v>
      </c>
      <c r="H558" s="43" t="s">
        <v>318</v>
      </c>
      <c r="I558" s="36">
        <f>_xll.DBRW($E$12,$F$16,$F$17,$F$18,$E558,$F$20,I$22,$H558,$F$19)</f>
        <v>0</v>
      </c>
      <c r="J558" s="36">
        <f>_xll.DBRW($E$12,$F$16,$F$17,$F$18,$E558,$F$20,J$22,$H558,$F$19)</f>
        <v>0</v>
      </c>
      <c r="K558" s="36">
        <f>_xll.DBRW($E$12,$F$16,$F$17,$F$18,$E558,$F$20,K$22,$H558,$F$19)</f>
        <v>0</v>
      </c>
      <c r="L558" s="36">
        <f>_xll.DBRW($E$12,$F$16,$F$17,$F$18,$E558,$F$20,L$22,$H558,$F$19)</f>
        <v>0</v>
      </c>
      <c r="M558" s="36">
        <f>_xll.DBRW($E$12,$F$16,$F$17,$F$18,$E558,$F$20,M$22,$H558,$F$19)</f>
        <v>243.45</v>
      </c>
      <c r="N558" s="36">
        <f>_xll.DBRW($E$12,$F$16,$F$17,$F$18,$E558,$F$20,N$22,$H558,$F$19)</f>
        <v>370.14</v>
      </c>
      <c r="O558" s="36">
        <f>_xll.DBRW($E$12,$F$16,$F$17,$F$18,$E558,$F$20,O$22,$H558,$F$19)</f>
        <v>0</v>
      </c>
      <c r="P558" s="36">
        <f>_xll.DBRW($E$12,$F$16,$F$17,$F$18,$E558,$F$20,P$22,$H558,$F$19)</f>
        <v>0</v>
      </c>
      <c r="Q558" s="36">
        <f>_xll.DBRW($E$12,$F$16,$F$17,$F$18,$E558,$F$20,Q$22,$H558,$F$19)</f>
        <v>0</v>
      </c>
      <c r="R558" s="36">
        <f>_xll.DBRW($E$12,$F$16,$F$17,$F$18,$E558,$F$20,R$22,$H558,$F$19)</f>
        <v>0</v>
      </c>
      <c r="S558" s="36">
        <f>_xll.DBRW($E$12,$F$16,$F$17,$F$18,$E558,$F$20,S$22,$H558,$F$19)</f>
        <v>0</v>
      </c>
      <c r="T558" s="36">
        <f>_xll.DBRW($E$12,$F$16,$F$17,$F$18,$E558,$F$20,T$22,$H558,$F$19)</f>
        <v>0</v>
      </c>
      <c r="U558" s="36">
        <f>_xll.DBRW($E$12,$F$16,$F$17,$F$18,$E558,$F$20,U$22,$H558,$F$19)</f>
        <v>613.58999999999992</v>
      </c>
    </row>
    <row r="559" spans="4:21" s="37" customFormat="1" ht="15" outlineLevel="1" thickBot="1" x14ac:dyDescent="0.35">
      <c r="D559" s="33" t="str">
        <f>IF(_xll.TM1RPTELISCONSOLIDATED($H$34,$H559),IF(_xll.TM1RPTELLEV($H$34,$H559)&lt;=5,_xll.TM1RPTELLEV($H$34,$H559),"Default"),"Leaf")</f>
        <v>Leaf</v>
      </c>
      <c r="E559" s="42" t="s">
        <v>692</v>
      </c>
      <c r="F559" s="34" t="str">
        <f>_xll.DBR($B$18,$H559,"Account_Type")</f>
        <v>NON LABOR</v>
      </c>
      <c r="G559" s="34" t="str">
        <f>_xll.DBR($B$18,$H559,"Description")</f>
        <v>Consumable Purchases</v>
      </c>
      <c r="H559" s="43" t="s">
        <v>330</v>
      </c>
      <c r="I559" s="36">
        <f>_xll.DBRW($E$12,$F$16,$F$17,$F$18,$E559,$F$20,I$22,$H559,$F$19)</f>
        <v>137.32</v>
      </c>
      <c r="J559" s="36">
        <f>_xll.DBRW($E$12,$F$16,$F$17,$F$18,$E559,$F$20,J$22,$H559,$F$19)</f>
        <v>263.39999999999998</v>
      </c>
      <c r="K559" s="36">
        <f>_xll.DBRW($E$12,$F$16,$F$17,$F$18,$E559,$F$20,K$22,$H559,$F$19)</f>
        <v>0</v>
      </c>
      <c r="L559" s="36">
        <f>_xll.DBRW($E$12,$F$16,$F$17,$F$18,$E559,$F$20,L$22,$H559,$F$19)</f>
        <v>64.819999999999993</v>
      </c>
      <c r="M559" s="36">
        <f>_xll.DBRW($E$12,$F$16,$F$17,$F$18,$E559,$F$20,M$22,$H559,$F$19)</f>
        <v>0</v>
      </c>
      <c r="N559" s="36">
        <f>_xll.DBRW($E$12,$F$16,$F$17,$F$18,$E559,$F$20,N$22,$H559,$F$19)</f>
        <v>0</v>
      </c>
      <c r="O559" s="36">
        <f>_xll.DBRW($E$12,$F$16,$F$17,$F$18,$E559,$F$20,O$22,$H559,$F$19)</f>
        <v>0</v>
      </c>
      <c r="P559" s="36">
        <f>_xll.DBRW($E$12,$F$16,$F$17,$F$18,$E559,$F$20,P$22,$H559,$F$19)</f>
        <v>0</v>
      </c>
      <c r="Q559" s="36">
        <f>_xll.DBRW($E$12,$F$16,$F$17,$F$18,$E559,$F$20,Q$22,$H559,$F$19)</f>
        <v>0</v>
      </c>
      <c r="R559" s="36">
        <f>_xll.DBRW($E$12,$F$16,$F$17,$F$18,$E559,$F$20,R$22,$H559,$F$19)</f>
        <v>0</v>
      </c>
      <c r="S559" s="36">
        <f>_xll.DBRW($E$12,$F$16,$F$17,$F$18,$E559,$F$20,S$22,$H559,$F$19)</f>
        <v>0</v>
      </c>
      <c r="T559" s="36">
        <f>_xll.DBRW($E$12,$F$16,$F$17,$F$18,$E559,$F$20,T$22,$H559,$F$19)</f>
        <v>0</v>
      </c>
      <c r="U559" s="36">
        <f>_xll.DBRW($E$12,$F$16,$F$17,$F$18,$E559,$F$20,U$22,$H559,$F$19)</f>
        <v>465.53999999999996</v>
      </c>
    </row>
    <row r="560" spans="4:21" s="37" customFormat="1" ht="15" outlineLevel="1" thickBot="1" x14ac:dyDescent="0.35">
      <c r="D560" s="33" t="str">
        <f>IF(_xll.TM1RPTELISCONSOLIDATED($H$34,$H560),IF(_xll.TM1RPTELLEV($H$34,$H560)&lt;=5,_xll.TM1RPTELLEV($H$34,$H560),"Default"),"Leaf")</f>
        <v>Leaf</v>
      </c>
      <c r="E560" s="42" t="s">
        <v>692</v>
      </c>
      <c r="F560" s="34" t="str">
        <f>_xll.DBR($B$18,$H560,"Account_Type")</f>
        <v>NON LABOR</v>
      </c>
      <c r="G560" s="34" t="str">
        <f>_xll.DBR($B$18,$H560,"Description")</f>
        <v>STC/Eqpt Maintenance &amp; Repair</v>
      </c>
      <c r="H560" s="43" t="s">
        <v>350</v>
      </c>
      <c r="I560" s="36">
        <f>_xll.DBRW($E$12,$F$16,$F$17,$F$18,$E560,$F$20,I$22,$H560,$F$19)</f>
        <v>0</v>
      </c>
      <c r="J560" s="36">
        <f>_xll.DBRW($E$12,$F$16,$F$17,$F$18,$E560,$F$20,J$22,$H560,$F$19)</f>
        <v>82.23</v>
      </c>
      <c r="K560" s="36">
        <f>_xll.DBRW($E$12,$F$16,$F$17,$F$18,$E560,$F$20,K$22,$H560,$F$19)</f>
        <v>102.78</v>
      </c>
      <c r="L560" s="36">
        <f>_xll.DBRW($E$12,$F$16,$F$17,$F$18,$E560,$F$20,L$22,$H560,$F$19)</f>
        <v>93.07</v>
      </c>
      <c r="M560" s="36">
        <f>_xll.DBRW($E$12,$F$16,$F$17,$F$18,$E560,$F$20,M$22,$H560,$F$19)</f>
        <v>37.869999999999997</v>
      </c>
      <c r="N560" s="36">
        <f>_xll.DBRW($E$12,$F$16,$F$17,$F$18,$E560,$F$20,N$22,$H560,$F$19)</f>
        <v>0</v>
      </c>
      <c r="O560" s="36">
        <f>_xll.DBRW($E$12,$F$16,$F$17,$F$18,$E560,$F$20,O$22,$H560,$F$19)</f>
        <v>0</v>
      </c>
      <c r="P560" s="36">
        <f>_xll.DBRW($E$12,$F$16,$F$17,$F$18,$E560,$F$20,P$22,$H560,$F$19)</f>
        <v>0</v>
      </c>
      <c r="Q560" s="36">
        <f>_xll.DBRW($E$12,$F$16,$F$17,$F$18,$E560,$F$20,Q$22,$H560,$F$19)</f>
        <v>0</v>
      </c>
      <c r="R560" s="36">
        <f>_xll.DBRW($E$12,$F$16,$F$17,$F$18,$E560,$F$20,R$22,$H560,$F$19)</f>
        <v>0</v>
      </c>
      <c r="S560" s="36">
        <f>_xll.DBRW($E$12,$F$16,$F$17,$F$18,$E560,$F$20,S$22,$H560,$F$19)</f>
        <v>0</v>
      </c>
      <c r="T560" s="36">
        <f>_xll.DBRW($E$12,$F$16,$F$17,$F$18,$E560,$F$20,T$22,$H560,$F$19)</f>
        <v>0</v>
      </c>
      <c r="U560" s="36">
        <f>_xll.DBRW($E$12,$F$16,$F$17,$F$18,$E560,$F$20,U$22,$H560,$F$19)</f>
        <v>315.95</v>
      </c>
    </row>
    <row r="561" spans="4:21" s="37" customFormat="1" ht="15" outlineLevel="1" thickBot="1" x14ac:dyDescent="0.35">
      <c r="D561" s="33" t="str">
        <f>IF(_xll.TM1RPTELISCONSOLIDATED($H$34,$H561),IF(_xll.TM1RPTELLEV($H$34,$H561)&lt;=5,_xll.TM1RPTELLEV($H$34,$H561),"Default"),"Leaf")</f>
        <v>Leaf</v>
      </c>
      <c r="E561" s="42" t="s">
        <v>692</v>
      </c>
      <c r="F561" s="34" t="str">
        <f>_xll.DBR($B$18,$H561,"Account_Type")</f>
        <v>NON LABOR</v>
      </c>
      <c r="G561" s="34" t="str">
        <f>_xll.DBR($B$18,$H561,"Description")</f>
        <v>Employee Leased Vehicles</v>
      </c>
      <c r="H561" s="43" t="s">
        <v>367</v>
      </c>
      <c r="I561" s="36">
        <f>_xll.DBRW($E$12,$F$16,$F$17,$F$18,$E561,$F$20,I$22,$H561,$F$19)</f>
        <v>1000</v>
      </c>
      <c r="J561" s="36">
        <f>_xll.DBRW($E$12,$F$16,$F$17,$F$18,$E561,$F$20,J$22,$H561,$F$19)</f>
        <v>2700</v>
      </c>
      <c r="K561" s="36">
        <f>_xll.DBRW($E$12,$F$16,$F$17,$F$18,$E561,$F$20,K$22,$H561,$F$19)</f>
        <v>1000</v>
      </c>
      <c r="L561" s="36">
        <f>_xll.DBRW($E$12,$F$16,$F$17,$F$18,$E561,$F$20,L$22,$H561,$F$19)</f>
        <v>2700</v>
      </c>
      <c r="M561" s="36">
        <f>_xll.DBRW($E$12,$F$16,$F$17,$F$18,$E561,$F$20,M$22,$H561,$F$19)</f>
        <v>2700</v>
      </c>
      <c r="N561" s="36">
        <f>_xll.DBRW($E$12,$F$16,$F$17,$F$18,$E561,$F$20,N$22,$H561,$F$19)</f>
        <v>2700</v>
      </c>
      <c r="O561" s="36">
        <f>_xll.DBRW($E$12,$F$16,$F$17,$F$18,$E561,$F$20,O$22,$H561,$F$19)</f>
        <v>2700</v>
      </c>
      <c r="P561" s="36">
        <f>_xll.DBRW($E$12,$F$16,$F$17,$F$18,$E561,$F$20,P$22,$H561,$F$19)</f>
        <v>0</v>
      </c>
      <c r="Q561" s="36">
        <f>_xll.DBRW($E$12,$F$16,$F$17,$F$18,$E561,$F$20,Q$22,$H561,$F$19)</f>
        <v>0</v>
      </c>
      <c r="R561" s="36">
        <f>_xll.DBRW($E$12,$F$16,$F$17,$F$18,$E561,$F$20,R$22,$H561,$F$19)</f>
        <v>0</v>
      </c>
      <c r="S561" s="36">
        <f>_xll.DBRW($E$12,$F$16,$F$17,$F$18,$E561,$F$20,S$22,$H561,$F$19)</f>
        <v>0</v>
      </c>
      <c r="T561" s="36">
        <f>_xll.DBRW($E$12,$F$16,$F$17,$F$18,$E561,$F$20,T$22,$H561,$F$19)</f>
        <v>0</v>
      </c>
      <c r="U561" s="36">
        <f>_xll.DBRW($E$12,$F$16,$F$17,$F$18,$E561,$F$20,U$22,$H561,$F$19)</f>
        <v>15500</v>
      </c>
    </row>
    <row r="562" spans="4:21" s="37" customFormat="1" ht="15" outlineLevel="1" thickBot="1" x14ac:dyDescent="0.35">
      <c r="D562" s="33" t="str">
        <f>IF(_xll.TM1RPTELISCONSOLIDATED($H$34,$H562),IF(_xll.TM1RPTELLEV($H$34,$H562)&lt;=5,_xll.TM1RPTELLEV($H$34,$H562),"Default"),"Leaf")</f>
        <v>Leaf</v>
      </c>
      <c r="E562" s="42" t="s">
        <v>692</v>
      </c>
      <c r="F562" s="34" t="str">
        <f>_xll.DBR($B$18,$H562,"Account_Type")</f>
        <v>NON LABOR</v>
      </c>
      <c r="G562" s="34" t="str">
        <f>_xll.DBR($B$18,$H562,"Description")</f>
        <v>Employee Leased Vehicles</v>
      </c>
      <c r="H562" s="43" t="s">
        <v>368</v>
      </c>
      <c r="I562" s="36">
        <f>_xll.DBRW($E$12,$F$16,$F$17,$F$18,$E562,$F$20,I$22,$H562,$F$19)</f>
        <v>1700</v>
      </c>
      <c r="J562" s="36">
        <f>_xll.DBRW($E$12,$F$16,$F$17,$F$18,$E562,$F$20,J$22,$H562,$F$19)</f>
        <v>0</v>
      </c>
      <c r="K562" s="36">
        <f>_xll.DBRW($E$12,$F$16,$F$17,$F$18,$E562,$F$20,K$22,$H562,$F$19)</f>
        <v>1700</v>
      </c>
      <c r="L562" s="36">
        <f>_xll.DBRW($E$12,$F$16,$F$17,$F$18,$E562,$F$20,L$22,$H562,$F$19)</f>
        <v>0</v>
      </c>
      <c r="M562" s="36">
        <f>_xll.DBRW($E$12,$F$16,$F$17,$F$18,$E562,$F$20,M$22,$H562,$F$19)</f>
        <v>0</v>
      </c>
      <c r="N562" s="36">
        <f>_xll.DBRW($E$12,$F$16,$F$17,$F$18,$E562,$F$20,N$22,$H562,$F$19)</f>
        <v>0</v>
      </c>
      <c r="O562" s="36">
        <f>_xll.DBRW($E$12,$F$16,$F$17,$F$18,$E562,$F$20,O$22,$H562,$F$19)</f>
        <v>0</v>
      </c>
      <c r="P562" s="36">
        <f>_xll.DBRW($E$12,$F$16,$F$17,$F$18,$E562,$F$20,P$22,$H562,$F$19)</f>
        <v>0</v>
      </c>
      <c r="Q562" s="36">
        <f>_xll.DBRW($E$12,$F$16,$F$17,$F$18,$E562,$F$20,Q$22,$H562,$F$19)</f>
        <v>0</v>
      </c>
      <c r="R562" s="36">
        <f>_xll.DBRW($E$12,$F$16,$F$17,$F$18,$E562,$F$20,R$22,$H562,$F$19)</f>
        <v>0</v>
      </c>
      <c r="S562" s="36">
        <f>_xll.DBRW($E$12,$F$16,$F$17,$F$18,$E562,$F$20,S$22,$H562,$F$19)</f>
        <v>0</v>
      </c>
      <c r="T562" s="36">
        <f>_xll.DBRW($E$12,$F$16,$F$17,$F$18,$E562,$F$20,T$22,$H562,$F$19)</f>
        <v>0</v>
      </c>
      <c r="U562" s="36">
        <f>_xll.DBRW($E$12,$F$16,$F$17,$F$18,$E562,$F$20,U$22,$H562,$F$19)</f>
        <v>3400</v>
      </c>
    </row>
    <row r="563" spans="4:21" s="37" customFormat="1" ht="15" outlineLevel="1" thickBot="1" x14ac:dyDescent="0.35">
      <c r="D563" s="33" t="str">
        <f>IF(_xll.TM1RPTELISCONSOLIDATED($H$34,$H563),IF(_xll.TM1RPTELLEV($H$34,$H563)&lt;=5,_xll.TM1RPTELLEV($H$34,$H563),"Default"),"Leaf")</f>
        <v>Leaf</v>
      </c>
      <c r="E563" s="42" t="s">
        <v>692</v>
      </c>
      <c r="F563" s="34" t="str">
        <f>_xll.DBR($B$18,$H563,"Account_Type")</f>
        <v>NON LABOR</v>
      </c>
      <c r="G563" s="34" t="str">
        <f>_xll.DBR($B$18,$H563,"Description")</f>
        <v>Fleet Leased Vehicle Expense</v>
      </c>
      <c r="H563" s="43" t="s">
        <v>379</v>
      </c>
      <c r="I563" s="36">
        <f>_xll.DBRW($E$12,$F$16,$F$17,$F$18,$E563,$F$20,I$22,$H563,$F$19)</f>
        <v>171.7</v>
      </c>
      <c r="J563" s="36">
        <f>_xll.DBRW($E$12,$F$16,$F$17,$F$18,$E563,$F$20,J$22,$H563,$F$19)</f>
        <v>4215.26</v>
      </c>
      <c r="K563" s="36">
        <f>_xll.DBRW($E$12,$F$16,$F$17,$F$18,$E563,$F$20,K$22,$H563,$F$19)</f>
        <v>812.23</v>
      </c>
      <c r="L563" s="36">
        <f>_xll.DBRW($E$12,$F$16,$F$17,$F$18,$E563,$F$20,L$22,$H563,$F$19)</f>
        <v>211.76</v>
      </c>
      <c r="M563" s="36">
        <f>_xll.DBRW($E$12,$F$16,$F$17,$F$18,$E563,$F$20,M$22,$H563,$F$19)</f>
        <v>0</v>
      </c>
      <c r="N563" s="36">
        <f>_xll.DBRW($E$12,$F$16,$F$17,$F$18,$E563,$F$20,N$22,$H563,$F$19)</f>
        <v>149.65</v>
      </c>
      <c r="O563" s="36">
        <f>_xll.DBRW($E$12,$F$16,$F$17,$F$18,$E563,$F$20,O$22,$H563,$F$19)</f>
        <v>0</v>
      </c>
      <c r="P563" s="36">
        <f>_xll.DBRW($E$12,$F$16,$F$17,$F$18,$E563,$F$20,P$22,$H563,$F$19)</f>
        <v>0</v>
      </c>
      <c r="Q563" s="36">
        <f>_xll.DBRW($E$12,$F$16,$F$17,$F$18,$E563,$F$20,Q$22,$H563,$F$19)</f>
        <v>0</v>
      </c>
      <c r="R563" s="36">
        <f>_xll.DBRW($E$12,$F$16,$F$17,$F$18,$E563,$F$20,R$22,$H563,$F$19)</f>
        <v>0</v>
      </c>
      <c r="S563" s="36">
        <f>_xll.DBRW($E$12,$F$16,$F$17,$F$18,$E563,$F$20,S$22,$H563,$F$19)</f>
        <v>0</v>
      </c>
      <c r="T563" s="36">
        <f>_xll.DBRW($E$12,$F$16,$F$17,$F$18,$E563,$F$20,T$22,$H563,$F$19)</f>
        <v>0</v>
      </c>
      <c r="U563" s="36">
        <f>_xll.DBRW($E$12,$F$16,$F$17,$F$18,$E563,$F$20,U$22,$H563,$F$19)</f>
        <v>5560.6</v>
      </c>
    </row>
    <row r="564" spans="4:21" s="37" customFormat="1" ht="15" outlineLevel="1" thickBot="1" x14ac:dyDescent="0.35">
      <c r="D564" s="33" t="str">
        <f>IF(_xll.TM1RPTELISCONSOLIDATED($H$34,$H564),IF(_xll.TM1RPTELLEV($H$34,$H564)&lt;=5,_xll.TM1RPTELLEV($H$34,$H564),"Default"),"Leaf")</f>
        <v>Leaf</v>
      </c>
      <c r="E564" s="42" t="s">
        <v>692</v>
      </c>
      <c r="F564" s="34" t="str">
        <f>_xll.DBR($B$18,$H564,"Account_Type")</f>
        <v>NON LABOR</v>
      </c>
      <c r="G564" s="34" t="str">
        <f>_xll.DBR($B$18,$H564,"Description")</f>
        <v>Fleet Leased Vehicle Expense</v>
      </c>
      <c r="H564" s="43" t="s">
        <v>388</v>
      </c>
      <c r="I564" s="36">
        <f>_xll.DBRW($E$12,$F$16,$F$17,$F$18,$E564,$F$20,I$22,$H564,$F$19)</f>
        <v>0</v>
      </c>
      <c r="J564" s="36">
        <f>_xll.DBRW($E$12,$F$16,$F$17,$F$18,$E564,$F$20,J$22,$H564,$F$19)</f>
        <v>-2076.79</v>
      </c>
      <c r="K564" s="36">
        <f>_xll.DBRW($E$12,$F$16,$F$17,$F$18,$E564,$F$20,K$22,$H564,$F$19)</f>
        <v>100</v>
      </c>
      <c r="L564" s="36">
        <f>_xll.DBRW($E$12,$F$16,$F$17,$F$18,$E564,$F$20,L$22,$H564,$F$19)</f>
        <v>0</v>
      </c>
      <c r="M564" s="36">
        <f>_xll.DBRW($E$12,$F$16,$F$17,$F$18,$E564,$F$20,M$22,$H564,$F$19)</f>
        <v>0</v>
      </c>
      <c r="N564" s="36">
        <f>_xll.DBRW($E$12,$F$16,$F$17,$F$18,$E564,$F$20,N$22,$H564,$F$19)</f>
        <v>0</v>
      </c>
      <c r="O564" s="36">
        <f>_xll.DBRW($E$12,$F$16,$F$17,$F$18,$E564,$F$20,O$22,$H564,$F$19)</f>
        <v>0</v>
      </c>
      <c r="P564" s="36">
        <f>_xll.DBRW($E$12,$F$16,$F$17,$F$18,$E564,$F$20,P$22,$H564,$F$19)</f>
        <v>0</v>
      </c>
      <c r="Q564" s="36">
        <f>_xll.DBRW($E$12,$F$16,$F$17,$F$18,$E564,$F$20,Q$22,$H564,$F$19)</f>
        <v>0</v>
      </c>
      <c r="R564" s="36">
        <f>_xll.DBRW($E$12,$F$16,$F$17,$F$18,$E564,$F$20,R$22,$H564,$F$19)</f>
        <v>0</v>
      </c>
      <c r="S564" s="36">
        <f>_xll.DBRW($E$12,$F$16,$F$17,$F$18,$E564,$F$20,S$22,$H564,$F$19)</f>
        <v>0</v>
      </c>
      <c r="T564" s="36">
        <f>_xll.DBRW($E$12,$F$16,$F$17,$F$18,$E564,$F$20,T$22,$H564,$F$19)</f>
        <v>0</v>
      </c>
      <c r="U564" s="36">
        <f>_xll.DBRW($E$12,$F$16,$F$17,$F$18,$E564,$F$20,U$22,$H564,$F$19)</f>
        <v>-1976.79</v>
      </c>
    </row>
    <row r="565" spans="4:21" s="37" customFormat="1" ht="15" outlineLevel="1" thickBot="1" x14ac:dyDescent="0.35">
      <c r="D565" s="33" t="str">
        <f>IF(_xll.TM1RPTELISCONSOLIDATED($H$34,$H565),IF(_xll.TM1RPTELLEV($H$34,$H565)&lt;=5,_xll.TM1RPTELLEV($H$34,$H565),"Default"),"Leaf")</f>
        <v>Leaf</v>
      </c>
      <c r="E565" s="42" t="s">
        <v>692</v>
      </c>
      <c r="F565" s="34" t="str">
        <f>_xll.DBR($B$18,$H565,"Account_Type")</f>
        <v>NON LABOR</v>
      </c>
      <c r="G565" s="34" t="str">
        <f>_xll.DBR($B$18,$H565,"Description")</f>
        <v>Fuel to Leased Vehicles</v>
      </c>
      <c r="H565" s="43" t="s">
        <v>403</v>
      </c>
      <c r="I565" s="36">
        <f>_xll.DBRW($E$12,$F$16,$F$17,$F$18,$E565,$F$20,I$22,$H565,$F$19)</f>
        <v>0</v>
      </c>
      <c r="J565" s="36">
        <f>_xll.DBRW($E$12,$F$16,$F$17,$F$18,$E565,$F$20,J$22,$H565,$F$19)</f>
        <v>144.22</v>
      </c>
      <c r="K565" s="36">
        <f>_xll.DBRW($E$12,$F$16,$F$17,$F$18,$E565,$F$20,K$22,$H565,$F$19)</f>
        <v>70.400000000000006</v>
      </c>
      <c r="L565" s="36">
        <f>_xll.DBRW($E$12,$F$16,$F$17,$F$18,$E565,$F$20,L$22,$H565,$F$19)</f>
        <v>0</v>
      </c>
      <c r="M565" s="36">
        <f>_xll.DBRW($E$12,$F$16,$F$17,$F$18,$E565,$F$20,M$22,$H565,$F$19)</f>
        <v>130.71</v>
      </c>
      <c r="N565" s="36">
        <f>_xll.DBRW($E$12,$F$16,$F$17,$F$18,$E565,$F$20,N$22,$H565,$F$19)</f>
        <v>0</v>
      </c>
      <c r="O565" s="36">
        <f>_xll.DBRW($E$12,$F$16,$F$17,$F$18,$E565,$F$20,O$22,$H565,$F$19)</f>
        <v>0</v>
      </c>
      <c r="P565" s="36">
        <f>_xll.DBRW($E$12,$F$16,$F$17,$F$18,$E565,$F$20,P$22,$H565,$F$19)</f>
        <v>0</v>
      </c>
      <c r="Q565" s="36">
        <f>_xll.DBRW($E$12,$F$16,$F$17,$F$18,$E565,$F$20,Q$22,$H565,$F$19)</f>
        <v>0</v>
      </c>
      <c r="R565" s="36">
        <f>_xll.DBRW($E$12,$F$16,$F$17,$F$18,$E565,$F$20,R$22,$H565,$F$19)</f>
        <v>0</v>
      </c>
      <c r="S565" s="36">
        <f>_xll.DBRW($E$12,$F$16,$F$17,$F$18,$E565,$F$20,S$22,$H565,$F$19)</f>
        <v>0</v>
      </c>
      <c r="T565" s="36">
        <f>_xll.DBRW($E$12,$F$16,$F$17,$F$18,$E565,$F$20,T$22,$H565,$F$19)</f>
        <v>0</v>
      </c>
      <c r="U565" s="36">
        <f>_xll.DBRW($E$12,$F$16,$F$17,$F$18,$E565,$F$20,U$22,$H565,$F$19)</f>
        <v>345.33000000000004</v>
      </c>
    </row>
    <row r="566" spans="4:21" s="37" customFormat="1" ht="15" outlineLevel="1" thickBot="1" x14ac:dyDescent="0.35">
      <c r="D566" s="33" t="str">
        <f>IF(_xll.TM1RPTELISCONSOLIDATED($H$34,$H566),IF(_xll.TM1RPTELLEV($H$34,$H566)&lt;=5,_xll.TM1RPTELLEV($H$34,$H566),"Default"),"Leaf")</f>
        <v>Leaf</v>
      </c>
      <c r="E566" s="42" t="s">
        <v>692</v>
      </c>
      <c r="F566" s="34" t="str">
        <f>_xll.DBR($B$18,$H566,"Account_Type")</f>
        <v>NON LABOR</v>
      </c>
      <c r="G566" s="34" t="str">
        <f>_xll.DBR($B$18,$H566,"Description")</f>
        <v>Fuel to Leased Vehicles</v>
      </c>
      <c r="H566" s="43" t="s">
        <v>404</v>
      </c>
      <c r="I566" s="36">
        <f>_xll.DBRW($E$12,$F$16,$F$17,$F$18,$E566,$F$20,I$22,$H566,$F$19)</f>
        <v>424.32</v>
      </c>
      <c r="J566" s="36">
        <f>_xll.DBRW($E$12,$F$16,$F$17,$F$18,$E566,$F$20,J$22,$H566,$F$19)</f>
        <v>65.05</v>
      </c>
      <c r="K566" s="36">
        <f>_xll.DBRW($E$12,$F$16,$F$17,$F$18,$E566,$F$20,K$22,$H566,$F$19)</f>
        <v>107.15</v>
      </c>
      <c r="L566" s="36">
        <f>_xll.DBRW($E$12,$F$16,$F$17,$F$18,$E566,$F$20,L$22,$H566,$F$19)</f>
        <v>238.4</v>
      </c>
      <c r="M566" s="36">
        <f>_xll.DBRW($E$12,$F$16,$F$17,$F$18,$E566,$F$20,M$22,$H566,$F$19)</f>
        <v>93.2</v>
      </c>
      <c r="N566" s="36">
        <f>_xll.DBRW($E$12,$F$16,$F$17,$F$18,$E566,$F$20,N$22,$H566,$F$19)</f>
        <v>0</v>
      </c>
      <c r="O566" s="36">
        <f>_xll.DBRW($E$12,$F$16,$F$17,$F$18,$E566,$F$20,O$22,$H566,$F$19)</f>
        <v>0</v>
      </c>
      <c r="P566" s="36">
        <f>_xll.DBRW($E$12,$F$16,$F$17,$F$18,$E566,$F$20,P$22,$H566,$F$19)</f>
        <v>0</v>
      </c>
      <c r="Q566" s="36">
        <f>_xll.DBRW($E$12,$F$16,$F$17,$F$18,$E566,$F$20,Q$22,$H566,$F$19)</f>
        <v>0</v>
      </c>
      <c r="R566" s="36">
        <f>_xll.DBRW($E$12,$F$16,$F$17,$F$18,$E566,$F$20,R$22,$H566,$F$19)</f>
        <v>0</v>
      </c>
      <c r="S566" s="36">
        <f>_xll.DBRW($E$12,$F$16,$F$17,$F$18,$E566,$F$20,S$22,$H566,$F$19)</f>
        <v>0</v>
      </c>
      <c r="T566" s="36">
        <f>_xll.DBRW($E$12,$F$16,$F$17,$F$18,$E566,$F$20,T$22,$H566,$F$19)</f>
        <v>0</v>
      </c>
      <c r="U566" s="36">
        <f>_xll.DBRW($E$12,$F$16,$F$17,$F$18,$E566,$F$20,U$22,$H566,$F$19)</f>
        <v>928.12</v>
      </c>
    </row>
    <row r="567" spans="4:21" s="37" customFormat="1" ht="15" outlineLevel="1" thickBot="1" x14ac:dyDescent="0.35">
      <c r="D567" s="33" t="str">
        <f>IF(_xll.TM1RPTELISCONSOLIDATED($H$34,$H567),IF(_xll.TM1RPTELLEV($H$34,$H567)&lt;=5,_xll.TM1RPTELLEV($H$34,$H567),"Default"),"Leaf")</f>
        <v>Leaf</v>
      </c>
      <c r="E567" s="42" t="s">
        <v>692</v>
      </c>
      <c r="F567" s="34" t="str">
        <f>_xll.DBR($B$18,$H567,"Account_Type")</f>
        <v>NON LABOR</v>
      </c>
      <c r="G567" s="34" t="str">
        <f>_xll.DBR($B$18,$H567,"Description")</f>
        <v>Fuel Purchases to Leased Vehicles</v>
      </c>
      <c r="H567" s="43" t="s">
        <v>411</v>
      </c>
      <c r="I567" s="36">
        <f>_xll.DBRW($E$12,$F$16,$F$17,$F$18,$E567,$F$20,I$22,$H567,$F$19)</f>
        <v>0</v>
      </c>
      <c r="J567" s="36">
        <f>_xll.DBRW($E$12,$F$16,$F$17,$F$18,$E567,$F$20,J$22,$H567,$F$19)</f>
        <v>0</v>
      </c>
      <c r="K567" s="36">
        <f>_xll.DBRW($E$12,$F$16,$F$17,$F$18,$E567,$F$20,K$22,$H567,$F$19)</f>
        <v>0</v>
      </c>
      <c r="L567" s="36">
        <f>_xll.DBRW($E$12,$F$16,$F$17,$F$18,$E567,$F$20,L$22,$H567,$F$19)</f>
        <v>0</v>
      </c>
      <c r="M567" s="36">
        <f>_xll.DBRW($E$12,$F$16,$F$17,$F$18,$E567,$F$20,M$22,$H567,$F$19)</f>
        <v>0</v>
      </c>
      <c r="N567" s="36">
        <f>_xll.DBRW($E$12,$F$16,$F$17,$F$18,$E567,$F$20,N$22,$H567,$F$19)</f>
        <v>98</v>
      </c>
      <c r="O567" s="36">
        <f>_xll.DBRW($E$12,$F$16,$F$17,$F$18,$E567,$F$20,O$22,$H567,$F$19)</f>
        <v>0</v>
      </c>
      <c r="P567" s="36">
        <f>_xll.DBRW($E$12,$F$16,$F$17,$F$18,$E567,$F$20,P$22,$H567,$F$19)</f>
        <v>0</v>
      </c>
      <c r="Q567" s="36">
        <f>_xll.DBRW($E$12,$F$16,$F$17,$F$18,$E567,$F$20,Q$22,$H567,$F$19)</f>
        <v>0</v>
      </c>
      <c r="R567" s="36">
        <f>_xll.DBRW($E$12,$F$16,$F$17,$F$18,$E567,$F$20,R$22,$H567,$F$19)</f>
        <v>0</v>
      </c>
      <c r="S567" s="36">
        <f>_xll.DBRW($E$12,$F$16,$F$17,$F$18,$E567,$F$20,S$22,$H567,$F$19)</f>
        <v>0</v>
      </c>
      <c r="T567" s="36">
        <f>_xll.DBRW($E$12,$F$16,$F$17,$F$18,$E567,$F$20,T$22,$H567,$F$19)</f>
        <v>0</v>
      </c>
      <c r="U567" s="36">
        <f>_xll.DBRW($E$12,$F$16,$F$17,$F$18,$E567,$F$20,U$22,$H567,$F$19)</f>
        <v>98</v>
      </c>
    </row>
    <row r="568" spans="4:21" s="37" customFormat="1" ht="15" outlineLevel="1" thickBot="1" x14ac:dyDescent="0.35">
      <c r="D568" s="33" t="str">
        <f>IF(_xll.TM1RPTELISCONSOLIDATED($H$34,$H568),IF(_xll.TM1RPTELLEV($H$34,$H568)&lt;=5,_xll.TM1RPTELLEV($H$34,$H568),"Default"),"Leaf")</f>
        <v>Leaf</v>
      </c>
      <c r="E568" s="42" t="s">
        <v>692</v>
      </c>
      <c r="F568" s="34" t="str">
        <f>_xll.DBR($B$18,$H568,"Account_Type")</f>
        <v>NON LABOR</v>
      </c>
      <c r="G568" s="34" t="str">
        <f>_xll.DBR($B$18,$H568,"Description")</f>
        <v>Corporate Allocation</v>
      </c>
      <c r="H568" s="43" t="s">
        <v>461</v>
      </c>
      <c r="I568" s="36">
        <f>_xll.DBRW($E$12,$F$16,$F$17,$F$18,$E568,$F$20,I$22,$H568,$F$19)</f>
        <v>35080.15</v>
      </c>
      <c r="J568" s="36">
        <f>_xll.DBRW($E$12,$F$16,$F$17,$F$18,$E568,$F$20,J$22,$H568,$F$19)</f>
        <v>33586.269999999997</v>
      </c>
      <c r="K568" s="36">
        <f>_xll.DBRW($E$12,$F$16,$F$17,$F$18,$E568,$F$20,K$22,$H568,$F$19)</f>
        <v>53729.24</v>
      </c>
      <c r="L568" s="36">
        <f>_xll.DBRW($E$12,$F$16,$F$17,$F$18,$E568,$F$20,L$22,$H568,$F$19)</f>
        <v>25549.31</v>
      </c>
      <c r="M568" s="36">
        <f>_xll.DBRW($E$12,$F$16,$F$17,$F$18,$E568,$F$20,M$22,$H568,$F$19)</f>
        <v>28911.279999999999</v>
      </c>
      <c r="N568" s="36">
        <f>_xll.DBRW($E$12,$F$16,$F$17,$F$18,$E568,$F$20,N$22,$H568,$F$19)</f>
        <v>0</v>
      </c>
      <c r="O568" s="36">
        <f>_xll.DBRW($E$12,$F$16,$F$17,$F$18,$E568,$F$20,O$22,$H568,$F$19)</f>
        <v>0</v>
      </c>
      <c r="P568" s="36">
        <f>_xll.DBRW($E$12,$F$16,$F$17,$F$18,$E568,$F$20,P$22,$H568,$F$19)</f>
        <v>0</v>
      </c>
      <c r="Q568" s="36">
        <f>_xll.DBRW($E$12,$F$16,$F$17,$F$18,$E568,$F$20,Q$22,$H568,$F$19)</f>
        <v>0</v>
      </c>
      <c r="R568" s="36">
        <f>_xll.DBRW($E$12,$F$16,$F$17,$F$18,$E568,$F$20,R$22,$H568,$F$19)</f>
        <v>0</v>
      </c>
      <c r="S568" s="36">
        <f>_xll.DBRW($E$12,$F$16,$F$17,$F$18,$E568,$F$20,S$22,$H568,$F$19)</f>
        <v>0</v>
      </c>
      <c r="T568" s="36">
        <f>_xll.DBRW($E$12,$F$16,$F$17,$F$18,$E568,$F$20,T$22,$H568,$F$19)</f>
        <v>0</v>
      </c>
      <c r="U568" s="36">
        <f>_xll.DBRW($E$12,$F$16,$F$17,$F$18,$E568,$F$20,U$22,$H568,$F$19)</f>
        <v>176856.25</v>
      </c>
    </row>
    <row r="569" spans="4:21" s="37" customFormat="1" ht="15" outlineLevel="1" thickBot="1" x14ac:dyDescent="0.35">
      <c r="D569" s="33" t="str">
        <f>IF(_xll.TM1RPTELISCONSOLIDATED($H$34,$H569),IF(_xll.TM1RPTELLEV($H$34,$H569)&lt;=5,_xll.TM1RPTELLEV($H$34,$H569),"Default"),"Leaf")</f>
        <v>Leaf</v>
      </c>
      <c r="E569" s="42" t="s">
        <v>693</v>
      </c>
      <c r="F569" s="34" t="str">
        <f>_xll.DBR($B$18,$H569,"Account_Type")</f>
        <v>NON LABOR</v>
      </c>
      <c r="G569" s="34" t="str">
        <f>_xll.DBR($B$18,$H569,"Description")</f>
        <v>Business Meals &amp; Entertainment</v>
      </c>
      <c r="H569" s="43" t="s">
        <v>479</v>
      </c>
      <c r="I569" s="36">
        <f>_xll.DBRW($E$12,$F$16,$F$17,$F$18,$E569,$F$20,I$22,$H569,$F$19)</f>
        <v>28.07</v>
      </c>
      <c r="J569" s="36">
        <f>_xll.DBRW($E$12,$F$16,$F$17,$F$18,$E569,$F$20,J$22,$H569,$F$19)</f>
        <v>0</v>
      </c>
      <c r="K569" s="36">
        <f>_xll.DBRW($E$12,$F$16,$F$17,$F$18,$E569,$F$20,K$22,$H569,$F$19)</f>
        <v>0</v>
      </c>
      <c r="L569" s="36">
        <f>_xll.DBRW($E$12,$F$16,$F$17,$F$18,$E569,$F$20,L$22,$H569,$F$19)</f>
        <v>0</v>
      </c>
      <c r="M569" s="36">
        <f>_xll.DBRW($E$12,$F$16,$F$17,$F$18,$E569,$F$20,M$22,$H569,$F$19)</f>
        <v>0</v>
      </c>
      <c r="N569" s="36">
        <f>_xll.DBRW($E$12,$F$16,$F$17,$F$18,$E569,$F$20,N$22,$H569,$F$19)</f>
        <v>0</v>
      </c>
      <c r="O569" s="36">
        <f>_xll.DBRW($E$12,$F$16,$F$17,$F$18,$E569,$F$20,O$22,$H569,$F$19)</f>
        <v>0</v>
      </c>
      <c r="P569" s="36">
        <f>_xll.DBRW($E$12,$F$16,$F$17,$F$18,$E569,$F$20,P$22,$H569,$F$19)</f>
        <v>0</v>
      </c>
      <c r="Q569" s="36">
        <f>_xll.DBRW($E$12,$F$16,$F$17,$F$18,$E569,$F$20,Q$22,$H569,$F$19)</f>
        <v>0</v>
      </c>
      <c r="R569" s="36">
        <f>_xll.DBRW($E$12,$F$16,$F$17,$F$18,$E569,$F$20,R$22,$H569,$F$19)</f>
        <v>0</v>
      </c>
      <c r="S569" s="36">
        <f>_xll.DBRW($E$12,$F$16,$F$17,$F$18,$E569,$F$20,S$22,$H569,$F$19)</f>
        <v>0</v>
      </c>
      <c r="T569" s="36">
        <f>_xll.DBRW($E$12,$F$16,$F$17,$F$18,$E569,$F$20,T$22,$H569,$F$19)</f>
        <v>0</v>
      </c>
      <c r="U569" s="36">
        <f>_xll.DBRW($E$12,$F$16,$F$17,$F$18,$E569,$F$20,U$22,$H569,$F$19)</f>
        <v>28.07</v>
      </c>
    </row>
    <row r="570" spans="4:21" s="37" customFormat="1" ht="15" outlineLevel="1" thickBot="1" x14ac:dyDescent="0.35">
      <c r="D570" s="33" t="str">
        <f>IF(_xll.TM1RPTELISCONSOLIDATED($H$34,$H570),IF(_xll.TM1RPTELLEV($H$34,$H570)&lt;=5,_xll.TM1RPTELLEV($H$34,$H570),"Default"),"Leaf")</f>
        <v>Leaf</v>
      </c>
      <c r="E570" s="42" t="s">
        <v>693</v>
      </c>
      <c r="F570" s="34" t="str">
        <f>_xll.DBR($B$18,$H570,"Account_Type")</f>
        <v>NON LABOR</v>
      </c>
      <c r="G570" s="34" t="str">
        <f>_xll.DBR($B$18,$H570,"Description")</f>
        <v>Business Meals &amp; Entertainment</v>
      </c>
      <c r="H570" s="43" t="s">
        <v>480</v>
      </c>
      <c r="I570" s="36">
        <f>_xll.DBRW($E$12,$F$16,$F$17,$F$18,$E570,$F$20,I$22,$H570,$F$19)</f>
        <v>28.07</v>
      </c>
      <c r="J570" s="36">
        <f>_xll.DBRW($E$12,$F$16,$F$17,$F$18,$E570,$F$20,J$22,$H570,$F$19)</f>
        <v>0</v>
      </c>
      <c r="K570" s="36">
        <f>_xll.DBRW($E$12,$F$16,$F$17,$F$18,$E570,$F$20,K$22,$H570,$F$19)</f>
        <v>0</v>
      </c>
      <c r="L570" s="36">
        <f>_xll.DBRW($E$12,$F$16,$F$17,$F$18,$E570,$F$20,L$22,$H570,$F$19)</f>
        <v>0</v>
      </c>
      <c r="M570" s="36">
        <f>_xll.DBRW($E$12,$F$16,$F$17,$F$18,$E570,$F$20,M$22,$H570,$F$19)</f>
        <v>0</v>
      </c>
      <c r="N570" s="36">
        <f>_xll.DBRW($E$12,$F$16,$F$17,$F$18,$E570,$F$20,N$22,$H570,$F$19)</f>
        <v>0</v>
      </c>
      <c r="O570" s="36">
        <f>_xll.DBRW($E$12,$F$16,$F$17,$F$18,$E570,$F$20,O$22,$H570,$F$19)</f>
        <v>0</v>
      </c>
      <c r="P570" s="36">
        <f>_xll.DBRW($E$12,$F$16,$F$17,$F$18,$E570,$F$20,P$22,$H570,$F$19)</f>
        <v>0</v>
      </c>
      <c r="Q570" s="36">
        <f>_xll.DBRW($E$12,$F$16,$F$17,$F$18,$E570,$F$20,Q$22,$H570,$F$19)</f>
        <v>0</v>
      </c>
      <c r="R570" s="36">
        <f>_xll.DBRW($E$12,$F$16,$F$17,$F$18,$E570,$F$20,R$22,$H570,$F$19)</f>
        <v>0</v>
      </c>
      <c r="S570" s="36">
        <f>_xll.DBRW($E$12,$F$16,$F$17,$F$18,$E570,$F$20,S$22,$H570,$F$19)</f>
        <v>0</v>
      </c>
      <c r="T570" s="36">
        <f>_xll.DBRW($E$12,$F$16,$F$17,$F$18,$E570,$F$20,T$22,$H570,$F$19)</f>
        <v>0</v>
      </c>
      <c r="U570" s="36">
        <f>_xll.DBRW($E$12,$F$16,$F$17,$F$18,$E570,$F$20,U$22,$H570,$F$19)</f>
        <v>28.07</v>
      </c>
    </row>
    <row r="571" spans="4:21" s="37" customFormat="1" ht="15" outlineLevel="1" thickBot="1" x14ac:dyDescent="0.35">
      <c r="D571" s="33" t="str">
        <f>IF(_xll.TM1RPTELISCONSOLIDATED($H$34,$H571),IF(_xll.TM1RPTELLEV($H$34,$H571)&lt;=5,_xll.TM1RPTELLEV($H$34,$H571),"Default"),"Leaf")</f>
        <v>Leaf</v>
      </c>
      <c r="E571" s="42" t="s">
        <v>693</v>
      </c>
      <c r="F571" s="34" t="str">
        <f>_xll.DBR($B$18,$H571,"Account_Type")</f>
        <v>NON LABOR</v>
      </c>
      <c r="G571" s="34" t="str">
        <f>_xll.DBR($B$18,$H571,"Description")</f>
        <v>Telecommunications / Internet</v>
      </c>
      <c r="H571" s="43" t="s">
        <v>500</v>
      </c>
      <c r="I571" s="36">
        <f>_xll.DBRW($E$12,$F$16,$F$17,$F$18,$E571,$F$20,I$22,$H571,$F$19)</f>
        <v>319.5</v>
      </c>
      <c r="J571" s="36">
        <f>_xll.DBRW($E$12,$F$16,$F$17,$F$18,$E571,$F$20,J$22,$H571,$F$19)</f>
        <v>319.39999999999998</v>
      </c>
      <c r="K571" s="36">
        <f>_xll.DBRW($E$12,$F$16,$F$17,$F$18,$E571,$F$20,K$22,$H571,$F$19)</f>
        <v>319.39999999999998</v>
      </c>
      <c r="L571" s="36">
        <f>_xll.DBRW($E$12,$F$16,$F$17,$F$18,$E571,$F$20,L$22,$H571,$F$19)</f>
        <v>319.39999999999998</v>
      </c>
      <c r="M571" s="36">
        <f>_xll.DBRW($E$12,$F$16,$F$17,$F$18,$E571,$F$20,M$22,$H571,$F$19)</f>
        <v>319.2</v>
      </c>
      <c r="N571" s="36">
        <f>_xll.DBRW($E$12,$F$16,$F$17,$F$18,$E571,$F$20,N$22,$H571,$F$19)</f>
        <v>319.2</v>
      </c>
      <c r="O571" s="36">
        <f>_xll.DBRW($E$12,$F$16,$F$17,$F$18,$E571,$F$20,O$22,$H571,$F$19)</f>
        <v>0</v>
      </c>
      <c r="P571" s="36">
        <f>_xll.DBRW($E$12,$F$16,$F$17,$F$18,$E571,$F$20,P$22,$H571,$F$19)</f>
        <v>0</v>
      </c>
      <c r="Q571" s="36">
        <f>_xll.DBRW($E$12,$F$16,$F$17,$F$18,$E571,$F$20,Q$22,$H571,$F$19)</f>
        <v>0</v>
      </c>
      <c r="R571" s="36">
        <f>_xll.DBRW($E$12,$F$16,$F$17,$F$18,$E571,$F$20,R$22,$H571,$F$19)</f>
        <v>0</v>
      </c>
      <c r="S571" s="36">
        <f>_xll.DBRW($E$12,$F$16,$F$17,$F$18,$E571,$F$20,S$22,$H571,$F$19)</f>
        <v>0</v>
      </c>
      <c r="T571" s="36">
        <f>_xll.DBRW($E$12,$F$16,$F$17,$F$18,$E571,$F$20,T$22,$H571,$F$19)</f>
        <v>0</v>
      </c>
      <c r="U571" s="36">
        <f>_xll.DBRW($E$12,$F$16,$F$17,$F$18,$E571,$F$20,U$22,$H571,$F$19)</f>
        <v>1916.1</v>
      </c>
    </row>
    <row r="572" spans="4:21" s="37" customFormat="1" ht="15" outlineLevel="1" thickBot="1" x14ac:dyDescent="0.35">
      <c r="D572" s="33" t="str">
        <f>IF(_xll.TM1RPTELISCONSOLIDATED($H$34,$H572),IF(_xll.TM1RPTELLEV($H$34,$H572)&lt;=5,_xll.TM1RPTELLEV($H$34,$H572),"Default"),"Leaf")</f>
        <v>Leaf</v>
      </c>
      <c r="E572" s="42" t="s">
        <v>693</v>
      </c>
      <c r="F572" s="34" t="str">
        <f>_xll.DBR($B$18,$H572,"Account_Type")</f>
        <v>NON LABOR</v>
      </c>
      <c r="G572" s="34" t="str">
        <f>_xll.DBR($B$18,$H572,"Description")</f>
        <v>Office/Computer Supplies &amp; Eqpt</v>
      </c>
      <c r="H572" s="43" t="s">
        <v>527</v>
      </c>
      <c r="I572" s="36">
        <f>_xll.DBRW($E$12,$F$16,$F$17,$F$18,$E572,$F$20,I$22,$H572,$F$19)</f>
        <v>902.19</v>
      </c>
      <c r="J572" s="36">
        <f>_xll.DBRW($E$12,$F$16,$F$17,$F$18,$E572,$F$20,J$22,$H572,$F$19)</f>
        <v>-191737.53</v>
      </c>
      <c r="K572" s="36">
        <f>_xll.DBRW($E$12,$F$16,$F$17,$F$18,$E572,$F$20,K$22,$H572,$F$19)</f>
        <v>194123.07</v>
      </c>
      <c r="L572" s="36">
        <f>_xll.DBRW($E$12,$F$16,$F$17,$F$18,$E572,$F$20,L$22,$H572,$F$19)</f>
        <v>1428.27</v>
      </c>
      <c r="M572" s="36">
        <f>_xll.DBRW($E$12,$F$16,$F$17,$F$18,$E572,$F$20,M$22,$H572,$F$19)</f>
        <v>401.02</v>
      </c>
      <c r="N572" s="36">
        <f>_xll.DBRW($E$12,$F$16,$F$17,$F$18,$E572,$F$20,N$22,$H572,$F$19)</f>
        <v>13.7</v>
      </c>
      <c r="O572" s="36">
        <f>_xll.DBRW($E$12,$F$16,$F$17,$F$18,$E572,$F$20,O$22,$H572,$F$19)</f>
        <v>0</v>
      </c>
      <c r="P572" s="36">
        <f>_xll.DBRW($E$12,$F$16,$F$17,$F$18,$E572,$F$20,P$22,$H572,$F$19)</f>
        <v>0</v>
      </c>
      <c r="Q572" s="36">
        <f>_xll.DBRW($E$12,$F$16,$F$17,$F$18,$E572,$F$20,Q$22,$H572,$F$19)</f>
        <v>0</v>
      </c>
      <c r="R572" s="36">
        <f>_xll.DBRW($E$12,$F$16,$F$17,$F$18,$E572,$F$20,R$22,$H572,$F$19)</f>
        <v>0</v>
      </c>
      <c r="S572" s="36">
        <f>_xll.DBRW($E$12,$F$16,$F$17,$F$18,$E572,$F$20,S$22,$H572,$F$19)</f>
        <v>0</v>
      </c>
      <c r="T572" s="36">
        <f>_xll.DBRW($E$12,$F$16,$F$17,$F$18,$E572,$F$20,T$22,$H572,$F$19)</f>
        <v>0</v>
      </c>
      <c r="U572" s="36">
        <f>_xll.DBRW($E$12,$F$16,$F$17,$F$18,$E572,$F$20,U$22,$H572,$F$19)</f>
        <v>5130.7200000000112</v>
      </c>
    </row>
    <row r="573" spans="4:21" s="37" customFormat="1" ht="15" outlineLevel="1" thickBot="1" x14ac:dyDescent="0.35">
      <c r="D573" s="33" t="str">
        <f>IF(_xll.TM1RPTELISCONSOLIDATED($H$34,$H573),IF(_xll.TM1RPTELLEV($H$34,$H573)&lt;=5,_xll.TM1RPTELLEV($H$34,$H573),"Default"),"Leaf")</f>
        <v>Leaf</v>
      </c>
      <c r="E573" s="42" t="s">
        <v>693</v>
      </c>
      <c r="F573" s="34" t="str">
        <f>_xll.DBR($B$18,$H573,"Account_Type")</f>
        <v>NON LABOR</v>
      </c>
      <c r="G573" s="34" t="str">
        <f>_xll.DBR($B$18,$H573,"Description")</f>
        <v>Education/Training/Dues/Subscriptions</v>
      </c>
      <c r="H573" s="43" t="s">
        <v>566</v>
      </c>
      <c r="I573" s="36">
        <f>_xll.DBRW($E$12,$F$16,$F$17,$F$18,$E573,$F$20,I$22,$H573,$F$19)</f>
        <v>19.78</v>
      </c>
      <c r="J573" s="36">
        <f>_xll.DBRW($E$12,$F$16,$F$17,$F$18,$E573,$F$20,J$22,$H573,$F$19)</f>
        <v>0</v>
      </c>
      <c r="K573" s="36">
        <f>_xll.DBRW($E$12,$F$16,$F$17,$F$18,$E573,$F$20,K$22,$H573,$F$19)</f>
        <v>0</v>
      </c>
      <c r="L573" s="36">
        <f>_xll.DBRW($E$12,$F$16,$F$17,$F$18,$E573,$F$20,L$22,$H573,$F$19)</f>
        <v>0</v>
      </c>
      <c r="M573" s="36">
        <f>_xll.DBRW($E$12,$F$16,$F$17,$F$18,$E573,$F$20,M$22,$H573,$F$19)</f>
        <v>0</v>
      </c>
      <c r="N573" s="36">
        <f>_xll.DBRW($E$12,$F$16,$F$17,$F$18,$E573,$F$20,N$22,$H573,$F$19)</f>
        <v>0</v>
      </c>
      <c r="O573" s="36">
        <f>_xll.DBRW($E$12,$F$16,$F$17,$F$18,$E573,$F$20,O$22,$H573,$F$19)</f>
        <v>0</v>
      </c>
      <c r="P573" s="36">
        <f>_xll.DBRW($E$12,$F$16,$F$17,$F$18,$E573,$F$20,P$22,$H573,$F$19)</f>
        <v>0</v>
      </c>
      <c r="Q573" s="36">
        <f>_xll.DBRW($E$12,$F$16,$F$17,$F$18,$E573,$F$20,Q$22,$H573,$F$19)</f>
        <v>0</v>
      </c>
      <c r="R573" s="36">
        <f>_xll.DBRW($E$12,$F$16,$F$17,$F$18,$E573,$F$20,R$22,$H573,$F$19)</f>
        <v>0</v>
      </c>
      <c r="S573" s="36">
        <f>_xll.DBRW($E$12,$F$16,$F$17,$F$18,$E573,$F$20,S$22,$H573,$F$19)</f>
        <v>0</v>
      </c>
      <c r="T573" s="36">
        <f>_xll.DBRW($E$12,$F$16,$F$17,$F$18,$E573,$F$20,T$22,$H573,$F$19)</f>
        <v>0</v>
      </c>
      <c r="U573" s="36">
        <f>_xll.DBRW($E$12,$F$16,$F$17,$F$18,$E573,$F$20,U$22,$H573,$F$19)</f>
        <v>19.78</v>
      </c>
    </row>
    <row r="574" spans="4:21" s="37" customFormat="1" ht="15" outlineLevel="1" thickBot="1" x14ac:dyDescent="0.35">
      <c r="D574" s="33" t="str">
        <f>IF(_xll.TM1RPTELISCONSOLIDATED($H$34,$H574),IF(_xll.TM1RPTELLEV($H$34,$H574)&lt;=5,_xll.TM1RPTELLEV($H$34,$H574),"Default"),"Leaf")</f>
        <v>Leaf</v>
      </c>
      <c r="E574" s="42" t="s">
        <v>693</v>
      </c>
      <c r="F574" s="34" t="str">
        <f>_xll.DBR($B$18,$H574,"Account_Type")</f>
        <v>NON LABOR</v>
      </c>
      <c r="G574" s="34" t="str">
        <f>_xll.DBR($B$18,$H574,"Description")</f>
        <v>Security / Janitorial Charges</v>
      </c>
      <c r="H574" s="43" t="s">
        <v>586</v>
      </c>
      <c r="I574" s="36">
        <f>_xll.DBRW($E$12,$F$16,$F$17,$F$18,$E574,$F$20,I$22,$H574,$F$19)</f>
        <v>14.76</v>
      </c>
      <c r="J574" s="36">
        <f>_xll.DBRW($E$12,$F$16,$F$17,$F$18,$E574,$F$20,J$22,$H574,$F$19)</f>
        <v>14.76</v>
      </c>
      <c r="K574" s="36">
        <f>_xll.DBRW($E$12,$F$16,$F$17,$F$18,$E574,$F$20,K$22,$H574,$F$19)</f>
        <v>18.45</v>
      </c>
      <c r="L574" s="36">
        <f>_xll.DBRW($E$12,$F$16,$F$17,$F$18,$E574,$F$20,L$22,$H574,$F$19)</f>
        <v>18.45</v>
      </c>
      <c r="M574" s="36">
        <f>_xll.DBRW($E$12,$F$16,$F$17,$F$18,$E574,$F$20,M$22,$H574,$F$19)</f>
        <v>0</v>
      </c>
      <c r="N574" s="36">
        <f>_xll.DBRW($E$12,$F$16,$F$17,$F$18,$E574,$F$20,N$22,$H574,$F$19)</f>
        <v>38.17</v>
      </c>
      <c r="O574" s="36">
        <f>_xll.DBRW($E$12,$F$16,$F$17,$F$18,$E574,$F$20,O$22,$H574,$F$19)</f>
        <v>3.69</v>
      </c>
      <c r="P574" s="36">
        <f>_xll.DBRW($E$12,$F$16,$F$17,$F$18,$E574,$F$20,P$22,$H574,$F$19)</f>
        <v>0</v>
      </c>
      <c r="Q574" s="36">
        <f>_xll.DBRW($E$12,$F$16,$F$17,$F$18,$E574,$F$20,Q$22,$H574,$F$19)</f>
        <v>0</v>
      </c>
      <c r="R574" s="36">
        <f>_xll.DBRW($E$12,$F$16,$F$17,$F$18,$E574,$F$20,R$22,$H574,$F$19)</f>
        <v>0</v>
      </c>
      <c r="S574" s="36">
        <f>_xll.DBRW($E$12,$F$16,$F$17,$F$18,$E574,$F$20,S$22,$H574,$F$19)</f>
        <v>0</v>
      </c>
      <c r="T574" s="36">
        <f>_xll.DBRW($E$12,$F$16,$F$17,$F$18,$E574,$F$20,T$22,$H574,$F$19)</f>
        <v>0</v>
      </c>
      <c r="U574" s="36">
        <f>_xll.DBRW($E$12,$F$16,$F$17,$F$18,$E574,$F$20,U$22,$H574,$F$19)</f>
        <v>108.28</v>
      </c>
    </row>
    <row r="575" spans="4:21" s="37" customFormat="1" ht="15" outlineLevel="1" thickBot="1" x14ac:dyDescent="0.35">
      <c r="D575" s="33" t="str">
        <f>IF(_xll.TM1RPTELISCONSOLIDATED($H$34,$H575),IF(_xll.TM1RPTELLEV($H$34,$H575)&lt;=5,_xll.TM1RPTELLEV($H$34,$H575),"Default"),"Leaf")</f>
        <v>Leaf</v>
      </c>
      <c r="E575" s="42" t="s">
        <v>693</v>
      </c>
      <c r="F575" s="34" t="str">
        <f>_xll.DBR($B$18,$H575,"Account_Type")</f>
        <v>NON LABOR</v>
      </c>
      <c r="G575" s="34" t="str">
        <f>_xll.DBR($B$18,$H575,"Description")</f>
        <v>Facility Maintenance</v>
      </c>
      <c r="H575" s="43" t="s">
        <v>591</v>
      </c>
      <c r="I575" s="36">
        <f>_xll.DBRW($E$12,$F$16,$F$17,$F$18,$E575,$F$20,I$22,$H575,$F$19)</f>
        <v>0</v>
      </c>
      <c r="J575" s="36">
        <f>_xll.DBRW($E$12,$F$16,$F$17,$F$18,$E575,$F$20,J$22,$H575,$F$19)</f>
        <v>8.7899999999999991</v>
      </c>
      <c r="K575" s="36">
        <f>_xll.DBRW($E$12,$F$16,$F$17,$F$18,$E575,$F$20,K$22,$H575,$F$19)</f>
        <v>383.21</v>
      </c>
      <c r="L575" s="36">
        <f>_xll.DBRW($E$12,$F$16,$F$17,$F$18,$E575,$F$20,L$22,$H575,$F$19)</f>
        <v>0</v>
      </c>
      <c r="M575" s="36">
        <f>_xll.DBRW($E$12,$F$16,$F$17,$F$18,$E575,$F$20,M$22,$H575,$F$19)</f>
        <v>0</v>
      </c>
      <c r="N575" s="36">
        <f>_xll.DBRW($E$12,$F$16,$F$17,$F$18,$E575,$F$20,N$22,$H575,$F$19)</f>
        <v>23.95</v>
      </c>
      <c r="O575" s="36">
        <f>_xll.DBRW($E$12,$F$16,$F$17,$F$18,$E575,$F$20,O$22,$H575,$F$19)</f>
        <v>0</v>
      </c>
      <c r="P575" s="36">
        <f>_xll.DBRW($E$12,$F$16,$F$17,$F$18,$E575,$F$20,P$22,$H575,$F$19)</f>
        <v>0</v>
      </c>
      <c r="Q575" s="36">
        <f>_xll.DBRW($E$12,$F$16,$F$17,$F$18,$E575,$F$20,Q$22,$H575,$F$19)</f>
        <v>0</v>
      </c>
      <c r="R575" s="36">
        <f>_xll.DBRW($E$12,$F$16,$F$17,$F$18,$E575,$F$20,R$22,$H575,$F$19)</f>
        <v>0</v>
      </c>
      <c r="S575" s="36">
        <f>_xll.DBRW($E$12,$F$16,$F$17,$F$18,$E575,$F$20,S$22,$H575,$F$19)</f>
        <v>0</v>
      </c>
      <c r="T575" s="36">
        <f>_xll.DBRW($E$12,$F$16,$F$17,$F$18,$E575,$F$20,T$22,$H575,$F$19)</f>
        <v>0</v>
      </c>
      <c r="U575" s="36">
        <f>_xll.DBRW($E$12,$F$16,$F$17,$F$18,$E575,$F$20,U$22,$H575,$F$19)</f>
        <v>415.95</v>
      </c>
    </row>
    <row r="576" spans="4:21" s="37" customFormat="1" ht="15" outlineLevel="1" thickBot="1" x14ac:dyDescent="0.35">
      <c r="D576" s="33" t="str">
        <f>IF(_xll.TM1RPTELISCONSOLIDATED($H$34,$H576),IF(_xll.TM1RPTELLEV($H$34,$H576)&lt;=5,_xll.TM1RPTELLEV($H$34,$H576),"Default"),"Leaf")</f>
        <v>Leaf</v>
      </c>
      <c r="E576" s="42" t="s">
        <v>693</v>
      </c>
      <c r="F576" s="34" t="str">
        <f>_xll.DBR($B$18,$H576,"Account_Type")</f>
        <v>NON LABOR</v>
      </c>
      <c r="G576" s="34" t="str">
        <f>_xll.DBR($B$18,$H576,"Description")</f>
        <v>Employee Morale &amp; Welfare</v>
      </c>
      <c r="H576" s="43" t="s">
        <v>612</v>
      </c>
      <c r="I576" s="36">
        <f>_xll.DBRW($E$12,$F$16,$F$17,$F$18,$E576,$F$20,I$22,$H576,$F$19)</f>
        <v>255.24</v>
      </c>
      <c r="J576" s="36">
        <f>_xll.DBRW($E$12,$F$16,$F$17,$F$18,$E576,$F$20,J$22,$H576,$F$19)</f>
        <v>144.83000000000001</v>
      </c>
      <c r="K576" s="36">
        <f>_xll.DBRW($E$12,$F$16,$F$17,$F$18,$E576,$F$20,K$22,$H576,$F$19)</f>
        <v>137.78</v>
      </c>
      <c r="L576" s="36">
        <f>_xll.DBRW($E$12,$F$16,$F$17,$F$18,$E576,$F$20,L$22,$H576,$F$19)</f>
        <v>140.27000000000001</v>
      </c>
      <c r="M576" s="36">
        <f>_xll.DBRW($E$12,$F$16,$F$17,$F$18,$E576,$F$20,M$22,$H576,$F$19)</f>
        <v>88.54</v>
      </c>
      <c r="N576" s="36">
        <f>_xll.DBRW($E$12,$F$16,$F$17,$F$18,$E576,$F$20,N$22,$H576,$F$19)</f>
        <v>123.88</v>
      </c>
      <c r="O576" s="36">
        <f>_xll.DBRW($E$12,$F$16,$F$17,$F$18,$E576,$F$20,O$22,$H576,$F$19)</f>
        <v>0</v>
      </c>
      <c r="P576" s="36">
        <f>_xll.DBRW($E$12,$F$16,$F$17,$F$18,$E576,$F$20,P$22,$H576,$F$19)</f>
        <v>0</v>
      </c>
      <c r="Q576" s="36">
        <f>_xll.DBRW($E$12,$F$16,$F$17,$F$18,$E576,$F$20,Q$22,$H576,$F$19)</f>
        <v>0</v>
      </c>
      <c r="R576" s="36">
        <f>_xll.DBRW($E$12,$F$16,$F$17,$F$18,$E576,$F$20,R$22,$H576,$F$19)</f>
        <v>0</v>
      </c>
      <c r="S576" s="36">
        <f>_xll.DBRW($E$12,$F$16,$F$17,$F$18,$E576,$F$20,S$22,$H576,$F$19)</f>
        <v>0</v>
      </c>
      <c r="T576" s="36">
        <f>_xll.DBRW($E$12,$F$16,$F$17,$F$18,$E576,$F$20,T$22,$H576,$F$19)</f>
        <v>0</v>
      </c>
      <c r="U576" s="36">
        <f>_xll.DBRW($E$12,$F$16,$F$17,$F$18,$E576,$F$20,U$22,$H576,$F$19)</f>
        <v>890.54</v>
      </c>
    </row>
    <row r="577" spans="4:21" s="37" customFormat="1" ht="15" outlineLevel="1" thickBot="1" x14ac:dyDescent="0.35">
      <c r="D577" s="33" t="str">
        <f>IF(_xll.TM1RPTELISCONSOLIDATED($H$34,$H577),IF(_xll.TM1RPTELLEV($H$34,$H577)&lt;=5,_xll.TM1RPTELLEV($H$34,$H577),"Default"),"Leaf")</f>
        <v>Leaf</v>
      </c>
      <c r="E577" s="42" t="s">
        <v>693</v>
      </c>
      <c r="F577" s="34" t="str">
        <f>_xll.DBR($B$18,$H577,"Account_Type")</f>
        <v>NON LABOR</v>
      </c>
      <c r="G577" s="34" t="str">
        <f>_xll.DBR($B$18,$H577,"Description")</f>
        <v>Employee Leased Vehicles</v>
      </c>
      <c r="H577" s="43" t="s">
        <v>629</v>
      </c>
      <c r="I577" s="36">
        <f>_xll.DBRW($E$12,$F$16,$F$17,$F$18,$E577,$F$20,I$22,$H577,$F$19)</f>
        <v>2900</v>
      </c>
      <c r="J577" s="36">
        <f>_xll.DBRW($E$12,$F$16,$F$17,$F$18,$E577,$F$20,J$22,$H577,$F$19)</f>
        <v>2100</v>
      </c>
      <c r="K577" s="36">
        <f>_xll.DBRW($E$12,$F$16,$F$17,$F$18,$E577,$F$20,K$22,$H577,$F$19)</f>
        <v>2900</v>
      </c>
      <c r="L577" s="36">
        <f>_xll.DBRW($E$12,$F$16,$F$17,$F$18,$E577,$F$20,L$22,$H577,$F$19)</f>
        <v>2100</v>
      </c>
      <c r="M577" s="36">
        <f>_xll.DBRW($E$12,$F$16,$F$17,$F$18,$E577,$F$20,M$22,$H577,$F$19)</f>
        <v>2100</v>
      </c>
      <c r="N577" s="36">
        <f>_xll.DBRW($E$12,$F$16,$F$17,$F$18,$E577,$F$20,N$22,$H577,$F$19)</f>
        <v>2100</v>
      </c>
      <c r="O577" s="36">
        <f>_xll.DBRW($E$12,$F$16,$F$17,$F$18,$E577,$F$20,O$22,$H577,$F$19)</f>
        <v>2100</v>
      </c>
      <c r="P577" s="36">
        <f>_xll.DBRW($E$12,$F$16,$F$17,$F$18,$E577,$F$20,P$22,$H577,$F$19)</f>
        <v>0</v>
      </c>
      <c r="Q577" s="36">
        <f>_xll.DBRW($E$12,$F$16,$F$17,$F$18,$E577,$F$20,Q$22,$H577,$F$19)</f>
        <v>0</v>
      </c>
      <c r="R577" s="36">
        <f>_xll.DBRW($E$12,$F$16,$F$17,$F$18,$E577,$F$20,R$22,$H577,$F$19)</f>
        <v>0</v>
      </c>
      <c r="S577" s="36">
        <f>_xll.DBRW($E$12,$F$16,$F$17,$F$18,$E577,$F$20,S$22,$H577,$F$19)</f>
        <v>0</v>
      </c>
      <c r="T577" s="36">
        <f>_xll.DBRW($E$12,$F$16,$F$17,$F$18,$E577,$F$20,T$22,$H577,$F$19)</f>
        <v>0</v>
      </c>
      <c r="U577" s="36">
        <f>_xll.DBRW($E$12,$F$16,$F$17,$F$18,$E577,$F$20,U$22,$H577,$F$19)</f>
        <v>16300</v>
      </c>
    </row>
    <row r="578" spans="4:21" s="37" customFormat="1" ht="15" outlineLevel="1" thickBot="1" x14ac:dyDescent="0.35">
      <c r="D578" s="33" t="str">
        <f>IF(_xll.TM1RPTELISCONSOLIDATED($H$34,$H578),IF(_xll.TM1RPTELLEV($H$34,$H578)&lt;=5,_xll.TM1RPTELLEV($H$34,$H578),"Default"),"Leaf")</f>
        <v>Leaf</v>
      </c>
      <c r="E578" s="42" t="s">
        <v>693</v>
      </c>
      <c r="F578" s="34" t="str">
        <f>_xll.DBR($B$18,$H578,"Account_Type")</f>
        <v>NON LABOR</v>
      </c>
      <c r="G578" s="34" t="str">
        <f>_xll.DBR($B$18,$H578,"Description")</f>
        <v>Fuel to Leased Vehicles</v>
      </c>
      <c r="H578" s="43" t="s">
        <v>641</v>
      </c>
      <c r="I578" s="36">
        <f>_xll.DBRW($E$12,$F$16,$F$17,$F$18,$E578,$F$20,I$22,$H578,$F$19)</f>
        <v>146.75</v>
      </c>
      <c r="J578" s="36">
        <f>_xll.DBRW($E$12,$F$16,$F$17,$F$18,$E578,$F$20,J$22,$H578,$F$19)</f>
        <v>300.36</v>
      </c>
      <c r="K578" s="36">
        <f>_xll.DBRW($E$12,$F$16,$F$17,$F$18,$E578,$F$20,K$22,$H578,$F$19)</f>
        <v>248.21</v>
      </c>
      <c r="L578" s="36">
        <f>_xll.DBRW($E$12,$F$16,$F$17,$F$18,$E578,$F$20,L$22,$H578,$F$19)</f>
        <v>237.4</v>
      </c>
      <c r="M578" s="36">
        <f>_xll.DBRW($E$12,$F$16,$F$17,$F$18,$E578,$F$20,M$22,$H578,$F$19)</f>
        <v>345.64</v>
      </c>
      <c r="N578" s="36">
        <f>_xll.DBRW($E$12,$F$16,$F$17,$F$18,$E578,$F$20,N$22,$H578,$F$19)</f>
        <v>0</v>
      </c>
      <c r="O578" s="36">
        <f>_xll.DBRW($E$12,$F$16,$F$17,$F$18,$E578,$F$20,O$22,$H578,$F$19)</f>
        <v>0</v>
      </c>
      <c r="P578" s="36">
        <f>_xll.DBRW($E$12,$F$16,$F$17,$F$18,$E578,$F$20,P$22,$H578,$F$19)</f>
        <v>0</v>
      </c>
      <c r="Q578" s="36">
        <f>_xll.DBRW($E$12,$F$16,$F$17,$F$18,$E578,$F$20,Q$22,$H578,$F$19)</f>
        <v>0</v>
      </c>
      <c r="R578" s="36">
        <f>_xll.DBRW($E$12,$F$16,$F$17,$F$18,$E578,$F$20,R$22,$H578,$F$19)</f>
        <v>0</v>
      </c>
      <c r="S578" s="36">
        <f>_xll.DBRW($E$12,$F$16,$F$17,$F$18,$E578,$F$20,S$22,$H578,$F$19)</f>
        <v>0</v>
      </c>
      <c r="T578" s="36">
        <f>_xll.DBRW($E$12,$F$16,$F$17,$F$18,$E578,$F$20,T$22,$H578,$F$19)</f>
        <v>0</v>
      </c>
      <c r="U578" s="36">
        <f>_xll.DBRW($E$12,$F$16,$F$17,$F$18,$E578,$F$20,U$22,$H578,$F$19)</f>
        <v>1278.3600000000001</v>
      </c>
    </row>
    <row r="579" spans="4:21" s="37" customFormat="1" ht="15" outlineLevel="1" thickBot="1" x14ac:dyDescent="0.35">
      <c r="D579" s="33" t="str">
        <f>IF(_xll.TM1RPTELISCONSOLIDATED($H$34,$H579),IF(_xll.TM1RPTELLEV($H$34,$H579)&lt;=5,_xll.TM1RPTELLEV($H$34,$H579),"Default"),"Leaf")</f>
        <v>Leaf</v>
      </c>
      <c r="E579" s="42" t="s">
        <v>693</v>
      </c>
      <c r="F579" s="34" t="str">
        <f>_xll.DBR($B$18,$H579,"Account_Type")</f>
        <v>NON LABOR</v>
      </c>
      <c r="G579" s="34" t="str">
        <f>_xll.DBR($B$18,$H579,"Description")</f>
        <v>Fuel to Company Owned Equipment</v>
      </c>
      <c r="H579" s="43" t="s">
        <v>653</v>
      </c>
      <c r="I579" s="36">
        <f>_xll.DBRW($E$12,$F$16,$F$17,$F$18,$E579,$F$20,I$22,$H579,$F$19)</f>
        <v>65.989999999999995</v>
      </c>
      <c r="J579" s="36">
        <f>_xll.DBRW($E$12,$F$16,$F$17,$F$18,$E579,$F$20,J$22,$H579,$F$19)</f>
        <v>77.23</v>
      </c>
      <c r="K579" s="36">
        <f>_xll.DBRW($E$12,$F$16,$F$17,$F$18,$E579,$F$20,K$22,$H579,$F$19)</f>
        <v>170.57</v>
      </c>
      <c r="L579" s="36">
        <f>_xll.DBRW($E$12,$F$16,$F$17,$F$18,$E579,$F$20,L$22,$H579,$F$19)</f>
        <v>149.63999999999999</v>
      </c>
      <c r="M579" s="36">
        <f>_xll.DBRW($E$12,$F$16,$F$17,$F$18,$E579,$F$20,M$22,$H579,$F$19)</f>
        <v>147.19999999999999</v>
      </c>
      <c r="N579" s="36">
        <f>_xll.DBRW($E$12,$F$16,$F$17,$F$18,$E579,$F$20,N$22,$H579,$F$19)</f>
        <v>94.97</v>
      </c>
      <c r="O579" s="36">
        <f>_xll.DBRW($E$12,$F$16,$F$17,$F$18,$E579,$F$20,O$22,$H579,$F$19)</f>
        <v>0</v>
      </c>
      <c r="P579" s="36">
        <f>_xll.DBRW($E$12,$F$16,$F$17,$F$18,$E579,$F$20,P$22,$H579,$F$19)</f>
        <v>0</v>
      </c>
      <c r="Q579" s="36">
        <f>_xll.DBRW($E$12,$F$16,$F$17,$F$18,$E579,$F$20,Q$22,$H579,$F$19)</f>
        <v>0</v>
      </c>
      <c r="R579" s="36">
        <f>_xll.DBRW($E$12,$F$16,$F$17,$F$18,$E579,$F$20,R$22,$H579,$F$19)</f>
        <v>0</v>
      </c>
      <c r="S579" s="36">
        <f>_xll.DBRW($E$12,$F$16,$F$17,$F$18,$E579,$F$20,S$22,$H579,$F$19)</f>
        <v>0</v>
      </c>
      <c r="T579" s="36">
        <f>_xll.DBRW($E$12,$F$16,$F$17,$F$18,$E579,$F$20,T$22,$H579,$F$19)</f>
        <v>0</v>
      </c>
      <c r="U579" s="36">
        <f>_xll.DBRW($E$12,$F$16,$F$17,$F$18,$E579,$F$20,U$22,$H579,$F$19)</f>
        <v>705.59999999999991</v>
      </c>
    </row>
    <row r="580" spans="4:21" s="37" customFormat="1" ht="15" outlineLevel="1" thickBot="1" x14ac:dyDescent="0.35">
      <c r="D580" s="33" t="str">
        <f>IF(_xll.TM1RPTELISCONSOLIDATED($H$34,$H580),IF(_xll.TM1RPTELLEV($H$34,$H580)&lt;=5,_xll.TM1RPTELLEV($H$34,$H580),"Default"),"Leaf")</f>
        <v>Leaf</v>
      </c>
      <c r="E580" s="42" t="s">
        <v>694</v>
      </c>
      <c r="F580" s="34" t="str">
        <f>_xll.DBR($B$18,$H580,"Account_Type")</f>
        <v>NON LABOR</v>
      </c>
      <c r="G580" s="34" t="str">
        <f>_xll.DBR($B$18,$H580,"Description")</f>
        <v>Travel &amp; Lodging</v>
      </c>
      <c r="H580" s="43" t="s">
        <v>469</v>
      </c>
      <c r="I580" s="36">
        <f>_xll.DBRW($E$12,$F$16,$F$17,$F$18,$E580,$F$20,I$22,$H580,$F$19)</f>
        <v>0</v>
      </c>
      <c r="J580" s="36">
        <f>_xll.DBRW($E$12,$F$16,$F$17,$F$18,$E580,$F$20,J$22,$H580,$F$19)</f>
        <v>0</v>
      </c>
      <c r="K580" s="36">
        <f>_xll.DBRW($E$12,$F$16,$F$17,$F$18,$E580,$F$20,K$22,$H580,$F$19)</f>
        <v>0</v>
      </c>
      <c r="L580" s="36">
        <f>_xll.DBRW($E$12,$F$16,$F$17,$F$18,$E580,$F$20,L$22,$H580,$F$19)</f>
        <v>0</v>
      </c>
      <c r="M580" s="36">
        <f>_xll.DBRW($E$12,$F$16,$F$17,$F$18,$E580,$F$20,M$22,$H580,$F$19)</f>
        <v>2380.66</v>
      </c>
      <c r="N580" s="36">
        <f>_xll.DBRW($E$12,$F$16,$F$17,$F$18,$E580,$F$20,N$22,$H580,$F$19)</f>
        <v>0</v>
      </c>
      <c r="O580" s="36">
        <f>_xll.DBRW($E$12,$F$16,$F$17,$F$18,$E580,$F$20,O$22,$H580,$F$19)</f>
        <v>0</v>
      </c>
      <c r="P580" s="36">
        <f>_xll.DBRW($E$12,$F$16,$F$17,$F$18,$E580,$F$20,P$22,$H580,$F$19)</f>
        <v>0</v>
      </c>
      <c r="Q580" s="36">
        <f>_xll.DBRW($E$12,$F$16,$F$17,$F$18,$E580,$F$20,Q$22,$H580,$F$19)</f>
        <v>0</v>
      </c>
      <c r="R580" s="36">
        <f>_xll.DBRW($E$12,$F$16,$F$17,$F$18,$E580,$F$20,R$22,$H580,$F$19)</f>
        <v>0</v>
      </c>
      <c r="S580" s="36">
        <f>_xll.DBRW($E$12,$F$16,$F$17,$F$18,$E580,$F$20,S$22,$H580,$F$19)</f>
        <v>0</v>
      </c>
      <c r="T580" s="36">
        <f>_xll.DBRW($E$12,$F$16,$F$17,$F$18,$E580,$F$20,T$22,$H580,$F$19)</f>
        <v>0</v>
      </c>
      <c r="U580" s="36">
        <f>_xll.DBRW($E$12,$F$16,$F$17,$F$18,$E580,$F$20,U$22,$H580,$F$19)</f>
        <v>2380.66</v>
      </c>
    </row>
    <row r="581" spans="4:21" s="37" customFormat="1" ht="15" outlineLevel="1" thickBot="1" x14ac:dyDescent="0.35">
      <c r="D581" s="33" t="str">
        <f>IF(_xll.TM1RPTELISCONSOLIDATED($H$34,$H581),IF(_xll.TM1RPTELLEV($H$34,$H581)&lt;=5,_xll.TM1RPTELLEV($H$34,$H581),"Default"),"Leaf")</f>
        <v>Leaf</v>
      </c>
      <c r="E581" s="42" t="s">
        <v>694</v>
      </c>
      <c r="F581" s="34" t="str">
        <f>_xll.DBR($B$18,$H581,"Account_Type")</f>
        <v>NON LABOR</v>
      </c>
      <c r="G581" s="34" t="str">
        <f>_xll.DBR($B$18,$H581,"Description")</f>
        <v>Client Development</v>
      </c>
      <c r="H581" s="43" t="s">
        <v>475</v>
      </c>
      <c r="I581" s="36">
        <f>_xll.DBRW($E$12,$F$16,$F$17,$F$18,$E581,$F$20,I$22,$H581,$F$19)</f>
        <v>0</v>
      </c>
      <c r="J581" s="36">
        <f>_xll.DBRW($E$12,$F$16,$F$17,$F$18,$E581,$F$20,J$22,$H581,$F$19)</f>
        <v>0</v>
      </c>
      <c r="K581" s="36">
        <f>_xll.DBRW($E$12,$F$16,$F$17,$F$18,$E581,$F$20,K$22,$H581,$F$19)</f>
        <v>0</v>
      </c>
      <c r="L581" s="36">
        <f>_xll.DBRW($E$12,$F$16,$F$17,$F$18,$E581,$F$20,L$22,$H581,$F$19)</f>
        <v>82.31</v>
      </c>
      <c r="M581" s="36">
        <f>_xll.DBRW($E$12,$F$16,$F$17,$F$18,$E581,$F$20,M$22,$H581,$F$19)</f>
        <v>0</v>
      </c>
      <c r="N581" s="36">
        <f>_xll.DBRW($E$12,$F$16,$F$17,$F$18,$E581,$F$20,N$22,$H581,$F$19)</f>
        <v>0</v>
      </c>
      <c r="O581" s="36">
        <f>_xll.DBRW($E$12,$F$16,$F$17,$F$18,$E581,$F$20,O$22,$H581,$F$19)</f>
        <v>0</v>
      </c>
      <c r="P581" s="36">
        <f>_xll.DBRW($E$12,$F$16,$F$17,$F$18,$E581,$F$20,P$22,$H581,$F$19)</f>
        <v>0</v>
      </c>
      <c r="Q581" s="36">
        <f>_xll.DBRW($E$12,$F$16,$F$17,$F$18,$E581,$F$20,Q$22,$H581,$F$19)</f>
        <v>0</v>
      </c>
      <c r="R581" s="36">
        <f>_xll.DBRW($E$12,$F$16,$F$17,$F$18,$E581,$F$20,R$22,$H581,$F$19)</f>
        <v>0</v>
      </c>
      <c r="S581" s="36">
        <f>_xll.DBRW($E$12,$F$16,$F$17,$F$18,$E581,$F$20,S$22,$H581,$F$19)</f>
        <v>0</v>
      </c>
      <c r="T581" s="36">
        <f>_xll.DBRW($E$12,$F$16,$F$17,$F$18,$E581,$F$20,T$22,$H581,$F$19)</f>
        <v>0</v>
      </c>
      <c r="U581" s="36">
        <f>_xll.DBRW($E$12,$F$16,$F$17,$F$18,$E581,$F$20,U$22,$H581,$F$19)</f>
        <v>82.31</v>
      </c>
    </row>
    <row r="582" spans="4:21" s="37" customFormat="1" ht="15" outlineLevel="1" thickBot="1" x14ac:dyDescent="0.35">
      <c r="D582" s="33" t="str">
        <f>IF(_xll.TM1RPTELISCONSOLIDATED($H$34,$H582),IF(_xll.TM1RPTELLEV($H$34,$H582)&lt;=5,_xll.TM1RPTELLEV($H$34,$H582),"Default"),"Leaf")</f>
        <v>Leaf</v>
      </c>
      <c r="E582" s="42" t="s">
        <v>694</v>
      </c>
      <c r="F582" s="34" t="str">
        <f>_xll.DBR($B$18,$H582,"Account_Type")</f>
        <v>NON LABOR</v>
      </c>
      <c r="G582" s="34" t="str">
        <f>_xll.DBR($B$18,$H582,"Description")</f>
        <v>Telecommunications / Internet</v>
      </c>
      <c r="H582" s="43" t="s">
        <v>507</v>
      </c>
      <c r="I582" s="36">
        <f>_xll.DBRW($E$12,$F$16,$F$17,$F$18,$E582,$F$20,I$22,$H582,$F$19)</f>
        <v>63.9</v>
      </c>
      <c r="J582" s="36">
        <f>_xll.DBRW($E$12,$F$16,$F$17,$F$18,$E582,$F$20,J$22,$H582,$F$19)</f>
        <v>31.94</v>
      </c>
      <c r="K582" s="36">
        <f>_xll.DBRW($E$12,$F$16,$F$17,$F$18,$E582,$F$20,K$22,$H582,$F$19)</f>
        <v>63.88</v>
      </c>
      <c r="L582" s="36">
        <f>_xll.DBRW($E$12,$F$16,$F$17,$F$18,$E582,$F$20,L$22,$H582,$F$19)</f>
        <v>31.94</v>
      </c>
      <c r="M582" s="36">
        <f>_xll.DBRW($E$12,$F$16,$F$17,$F$18,$E582,$F$20,M$22,$H582,$F$19)</f>
        <v>31.92</v>
      </c>
      <c r="N582" s="36">
        <f>_xll.DBRW($E$12,$F$16,$F$17,$F$18,$E582,$F$20,N$22,$H582,$F$19)</f>
        <v>31.92</v>
      </c>
      <c r="O582" s="36">
        <f>_xll.DBRW($E$12,$F$16,$F$17,$F$18,$E582,$F$20,O$22,$H582,$F$19)</f>
        <v>0</v>
      </c>
      <c r="P582" s="36">
        <f>_xll.DBRW($E$12,$F$16,$F$17,$F$18,$E582,$F$20,P$22,$H582,$F$19)</f>
        <v>0</v>
      </c>
      <c r="Q582" s="36">
        <f>_xll.DBRW($E$12,$F$16,$F$17,$F$18,$E582,$F$20,Q$22,$H582,$F$19)</f>
        <v>0</v>
      </c>
      <c r="R582" s="36">
        <f>_xll.DBRW($E$12,$F$16,$F$17,$F$18,$E582,$F$20,R$22,$H582,$F$19)</f>
        <v>0</v>
      </c>
      <c r="S582" s="36">
        <f>_xll.DBRW($E$12,$F$16,$F$17,$F$18,$E582,$F$20,S$22,$H582,$F$19)</f>
        <v>0</v>
      </c>
      <c r="T582" s="36">
        <f>_xll.DBRW($E$12,$F$16,$F$17,$F$18,$E582,$F$20,T$22,$H582,$F$19)</f>
        <v>0</v>
      </c>
      <c r="U582" s="36">
        <f>_xll.DBRW($E$12,$F$16,$F$17,$F$18,$E582,$F$20,U$22,$H582,$F$19)</f>
        <v>255.5</v>
      </c>
    </row>
    <row r="583" spans="4:21" s="37" customFormat="1" ht="15" outlineLevel="1" thickBot="1" x14ac:dyDescent="0.35">
      <c r="D583" s="33" t="str">
        <f>IF(_xll.TM1RPTELISCONSOLIDATED($H$34,$H583),IF(_xll.TM1RPTELLEV($H$34,$H583)&lt;=5,_xll.TM1RPTELLEV($H$34,$H583),"Default"),"Leaf")</f>
        <v>Leaf</v>
      </c>
      <c r="E583" s="42" t="s">
        <v>694</v>
      </c>
      <c r="F583" s="34" t="str">
        <f>_xll.DBR($B$18,$H583,"Account_Type")</f>
        <v>NON LABOR</v>
      </c>
      <c r="G583" s="34" t="str">
        <f>_xll.DBR($B$18,$H583,"Description")</f>
        <v>Office/Computer Supplies &amp; Eqpt</v>
      </c>
      <c r="H583" s="43" t="s">
        <v>534</v>
      </c>
      <c r="I583" s="36">
        <f>_xll.DBRW($E$12,$F$16,$F$17,$F$18,$E583,$F$20,I$22,$H583,$F$19)</f>
        <v>2670.36</v>
      </c>
      <c r="J583" s="36">
        <f>_xll.DBRW($E$12,$F$16,$F$17,$F$18,$E583,$F$20,J$22,$H583,$F$19)</f>
        <v>3130.36</v>
      </c>
      <c r="K583" s="36">
        <f>_xll.DBRW($E$12,$F$16,$F$17,$F$18,$E583,$F$20,K$22,$H583,$F$19)</f>
        <v>2670.36</v>
      </c>
      <c r="L583" s="36">
        <f>_xll.DBRW($E$12,$F$16,$F$17,$F$18,$E583,$F$20,L$22,$H583,$F$19)</f>
        <v>4271.6099999999997</v>
      </c>
      <c r="M583" s="36">
        <f>_xll.DBRW($E$12,$F$16,$F$17,$F$18,$E583,$F$20,M$22,$H583,$F$19)</f>
        <v>2794.18</v>
      </c>
      <c r="N583" s="36">
        <f>_xll.DBRW($E$12,$F$16,$F$17,$F$18,$E583,$F$20,N$22,$H583,$F$19)</f>
        <v>174</v>
      </c>
      <c r="O583" s="36">
        <f>_xll.DBRW($E$12,$F$16,$F$17,$F$18,$E583,$F$20,O$22,$H583,$F$19)</f>
        <v>0</v>
      </c>
      <c r="P583" s="36">
        <f>_xll.DBRW($E$12,$F$16,$F$17,$F$18,$E583,$F$20,P$22,$H583,$F$19)</f>
        <v>0</v>
      </c>
      <c r="Q583" s="36">
        <f>_xll.DBRW($E$12,$F$16,$F$17,$F$18,$E583,$F$20,Q$22,$H583,$F$19)</f>
        <v>0</v>
      </c>
      <c r="R583" s="36">
        <f>_xll.DBRW($E$12,$F$16,$F$17,$F$18,$E583,$F$20,R$22,$H583,$F$19)</f>
        <v>0</v>
      </c>
      <c r="S583" s="36">
        <f>_xll.DBRW($E$12,$F$16,$F$17,$F$18,$E583,$F$20,S$22,$H583,$F$19)</f>
        <v>0</v>
      </c>
      <c r="T583" s="36">
        <f>_xll.DBRW($E$12,$F$16,$F$17,$F$18,$E583,$F$20,T$22,$H583,$F$19)</f>
        <v>0</v>
      </c>
      <c r="U583" s="36">
        <f>_xll.DBRW($E$12,$F$16,$F$17,$F$18,$E583,$F$20,U$22,$H583,$F$19)</f>
        <v>15710.869999999999</v>
      </c>
    </row>
    <row r="584" spans="4:21" s="37" customFormat="1" ht="15" outlineLevel="1" thickBot="1" x14ac:dyDescent="0.35">
      <c r="D584" s="33" t="str">
        <f>IF(_xll.TM1RPTELISCONSOLIDATED($H$34,$H584),IF(_xll.TM1RPTELLEV($H$34,$H584)&lt;=5,_xll.TM1RPTELLEV($H$34,$H584),"Default"),"Leaf")</f>
        <v>Leaf</v>
      </c>
      <c r="E584" s="42" t="s">
        <v>694</v>
      </c>
      <c r="F584" s="34" t="str">
        <f>_xll.DBR($B$18,$H584,"Account_Type")</f>
        <v>NON LABOR</v>
      </c>
      <c r="G584" s="34" t="str">
        <f>_xll.DBR($B$18,$H584,"Description")</f>
        <v>Postage &amp; Courier Fees</v>
      </c>
      <c r="H584" s="43" t="s">
        <v>552</v>
      </c>
      <c r="I584" s="36">
        <f>_xll.DBRW($E$12,$F$16,$F$17,$F$18,$E584,$F$20,I$22,$H584,$F$19)</f>
        <v>0</v>
      </c>
      <c r="J584" s="36">
        <f>_xll.DBRW($E$12,$F$16,$F$17,$F$18,$E584,$F$20,J$22,$H584,$F$19)</f>
        <v>0</v>
      </c>
      <c r="K584" s="36">
        <f>_xll.DBRW($E$12,$F$16,$F$17,$F$18,$E584,$F$20,K$22,$H584,$F$19)</f>
        <v>0</v>
      </c>
      <c r="L584" s="36">
        <f>_xll.DBRW($E$12,$F$16,$F$17,$F$18,$E584,$F$20,L$22,$H584,$F$19)</f>
        <v>0</v>
      </c>
      <c r="M584" s="36">
        <f>_xll.DBRW($E$12,$F$16,$F$17,$F$18,$E584,$F$20,M$22,$H584,$F$19)</f>
        <v>0</v>
      </c>
      <c r="N584" s="36">
        <f>_xll.DBRW($E$12,$F$16,$F$17,$F$18,$E584,$F$20,N$22,$H584,$F$19)</f>
        <v>49.72</v>
      </c>
      <c r="O584" s="36">
        <f>_xll.DBRW($E$12,$F$16,$F$17,$F$18,$E584,$F$20,O$22,$H584,$F$19)</f>
        <v>0</v>
      </c>
      <c r="P584" s="36">
        <f>_xll.DBRW($E$12,$F$16,$F$17,$F$18,$E584,$F$20,P$22,$H584,$F$19)</f>
        <v>0</v>
      </c>
      <c r="Q584" s="36">
        <f>_xll.DBRW($E$12,$F$16,$F$17,$F$18,$E584,$F$20,Q$22,$H584,$F$19)</f>
        <v>0</v>
      </c>
      <c r="R584" s="36">
        <f>_xll.DBRW($E$12,$F$16,$F$17,$F$18,$E584,$F$20,R$22,$H584,$F$19)</f>
        <v>0</v>
      </c>
      <c r="S584" s="36">
        <f>_xll.DBRW($E$12,$F$16,$F$17,$F$18,$E584,$F$20,S$22,$H584,$F$19)</f>
        <v>0</v>
      </c>
      <c r="T584" s="36">
        <f>_xll.DBRW($E$12,$F$16,$F$17,$F$18,$E584,$F$20,T$22,$H584,$F$19)</f>
        <v>0</v>
      </c>
      <c r="U584" s="36">
        <f>_xll.DBRW($E$12,$F$16,$F$17,$F$18,$E584,$F$20,U$22,$H584,$F$19)</f>
        <v>49.72</v>
      </c>
    </row>
    <row r="585" spans="4:21" s="37" customFormat="1" ht="15" outlineLevel="1" thickBot="1" x14ac:dyDescent="0.35">
      <c r="D585" s="33" t="str">
        <f>IF(_xll.TM1RPTELISCONSOLIDATED($H$34,$H585),IF(_xll.TM1RPTELLEV($H$34,$H585)&lt;=5,_xll.TM1RPTELLEV($H$34,$H585),"Default"),"Leaf")</f>
        <v>Leaf</v>
      </c>
      <c r="E585" s="42" t="s">
        <v>694</v>
      </c>
      <c r="F585" s="34" t="str">
        <f>_xll.DBR($B$18,$H585,"Account_Type")</f>
        <v>NON LABOR</v>
      </c>
      <c r="G585" s="34" t="str">
        <f>_xll.DBR($B$18,$H585,"Description")</f>
        <v>Education/Training/Dues/Subscriptions</v>
      </c>
      <c r="H585" s="43" t="s">
        <v>571</v>
      </c>
      <c r="I585" s="36">
        <f>_xll.DBRW($E$12,$F$16,$F$17,$F$18,$E585,$F$20,I$22,$H585,$F$19)</f>
        <v>12260.3</v>
      </c>
      <c r="J585" s="36">
        <f>_xll.DBRW($E$12,$F$16,$F$17,$F$18,$E585,$F$20,J$22,$H585,$F$19)</f>
        <v>0</v>
      </c>
      <c r="K585" s="36">
        <f>_xll.DBRW($E$12,$F$16,$F$17,$F$18,$E585,$F$20,K$22,$H585,$F$19)</f>
        <v>0</v>
      </c>
      <c r="L585" s="36">
        <f>_xll.DBRW($E$12,$F$16,$F$17,$F$18,$E585,$F$20,L$22,$H585,$F$19)</f>
        <v>0</v>
      </c>
      <c r="M585" s="36">
        <f>_xll.DBRW($E$12,$F$16,$F$17,$F$18,$E585,$F$20,M$22,$H585,$F$19)</f>
        <v>233.26</v>
      </c>
      <c r="N585" s="36">
        <f>_xll.DBRW($E$12,$F$16,$F$17,$F$18,$E585,$F$20,N$22,$H585,$F$19)</f>
        <v>0</v>
      </c>
      <c r="O585" s="36">
        <f>_xll.DBRW($E$12,$F$16,$F$17,$F$18,$E585,$F$20,O$22,$H585,$F$19)</f>
        <v>0</v>
      </c>
      <c r="P585" s="36">
        <f>_xll.DBRW($E$12,$F$16,$F$17,$F$18,$E585,$F$20,P$22,$H585,$F$19)</f>
        <v>0</v>
      </c>
      <c r="Q585" s="36">
        <f>_xll.DBRW($E$12,$F$16,$F$17,$F$18,$E585,$F$20,Q$22,$H585,$F$19)</f>
        <v>0</v>
      </c>
      <c r="R585" s="36">
        <f>_xll.DBRW($E$12,$F$16,$F$17,$F$18,$E585,$F$20,R$22,$H585,$F$19)</f>
        <v>0</v>
      </c>
      <c r="S585" s="36">
        <f>_xll.DBRW($E$12,$F$16,$F$17,$F$18,$E585,$F$20,S$22,$H585,$F$19)</f>
        <v>0</v>
      </c>
      <c r="T585" s="36">
        <f>_xll.DBRW($E$12,$F$16,$F$17,$F$18,$E585,$F$20,T$22,$H585,$F$19)</f>
        <v>0</v>
      </c>
      <c r="U585" s="36">
        <f>_xll.DBRW($E$12,$F$16,$F$17,$F$18,$E585,$F$20,U$22,$H585,$F$19)</f>
        <v>12493.56</v>
      </c>
    </row>
    <row r="586" spans="4:21" s="37" customFormat="1" ht="15" outlineLevel="1" thickBot="1" x14ac:dyDescent="0.35">
      <c r="D586" s="33" t="str">
        <f>IF(_xll.TM1RPTELISCONSOLIDATED($H$34,$H586),IF(_xll.TM1RPTELLEV($H$34,$H586)&lt;=5,_xll.TM1RPTELLEV($H$34,$H586),"Default"),"Leaf")</f>
        <v>Leaf</v>
      </c>
      <c r="E586" s="42" t="s">
        <v>694</v>
      </c>
      <c r="F586" s="34" t="str">
        <f>_xll.DBR($B$18,$H586,"Account_Type")</f>
        <v>NON LABOR</v>
      </c>
      <c r="G586" s="34" t="str">
        <f>_xll.DBR($B$18,$H586,"Description")</f>
        <v>Certificates/Licenses/Permits</v>
      </c>
      <c r="H586" s="43" t="s">
        <v>577</v>
      </c>
      <c r="I586" s="36">
        <f>_xll.DBRW($E$12,$F$16,$F$17,$F$18,$E586,$F$20,I$22,$H586,$F$19)</f>
        <v>0</v>
      </c>
      <c r="J586" s="36">
        <f>_xll.DBRW($E$12,$F$16,$F$17,$F$18,$E586,$F$20,J$22,$H586,$F$19)</f>
        <v>0</v>
      </c>
      <c r="K586" s="36">
        <f>_xll.DBRW($E$12,$F$16,$F$17,$F$18,$E586,$F$20,K$22,$H586,$F$19)</f>
        <v>0</v>
      </c>
      <c r="L586" s="36">
        <f>_xll.DBRW($E$12,$F$16,$F$17,$F$18,$E586,$F$20,L$22,$H586,$F$19)</f>
        <v>0</v>
      </c>
      <c r="M586" s="36">
        <f>_xll.DBRW($E$12,$F$16,$F$17,$F$18,$E586,$F$20,M$22,$H586,$F$19)</f>
        <v>0</v>
      </c>
      <c r="N586" s="36">
        <f>_xll.DBRW($E$12,$F$16,$F$17,$F$18,$E586,$F$20,N$22,$H586,$F$19)</f>
        <v>153</v>
      </c>
      <c r="O586" s="36">
        <f>_xll.DBRW($E$12,$F$16,$F$17,$F$18,$E586,$F$20,O$22,$H586,$F$19)</f>
        <v>0</v>
      </c>
      <c r="P586" s="36">
        <f>_xll.DBRW($E$12,$F$16,$F$17,$F$18,$E586,$F$20,P$22,$H586,$F$19)</f>
        <v>0</v>
      </c>
      <c r="Q586" s="36">
        <f>_xll.DBRW($E$12,$F$16,$F$17,$F$18,$E586,$F$20,Q$22,$H586,$F$19)</f>
        <v>0</v>
      </c>
      <c r="R586" s="36">
        <f>_xll.DBRW($E$12,$F$16,$F$17,$F$18,$E586,$F$20,R$22,$H586,$F$19)</f>
        <v>0</v>
      </c>
      <c r="S586" s="36">
        <f>_xll.DBRW($E$12,$F$16,$F$17,$F$18,$E586,$F$20,S$22,$H586,$F$19)</f>
        <v>0</v>
      </c>
      <c r="T586" s="36">
        <f>_xll.DBRW($E$12,$F$16,$F$17,$F$18,$E586,$F$20,T$22,$H586,$F$19)</f>
        <v>0</v>
      </c>
      <c r="U586" s="36">
        <f>_xll.DBRW($E$12,$F$16,$F$17,$F$18,$E586,$F$20,U$22,$H586,$F$19)</f>
        <v>153</v>
      </c>
    </row>
    <row r="587" spans="4:21" s="37" customFormat="1" ht="15" outlineLevel="1" thickBot="1" x14ac:dyDescent="0.35">
      <c r="D587" s="33" t="str">
        <f>IF(_xll.TM1RPTELISCONSOLIDATED($H$34,$H587),IF(_xll.TM1RPTELLEV($H$34,$H587)&lt;=5,_xll.TM1RPTELLEV($H$34,$H587),"Default"),"Leaf")</f>
        <v>Leaf</v>
      </c>
      <c r="E587" s="42" t="s">
        <v>694</v>
      </c>
      <c r="F587" s="34" t="str">
        <f>_xll.DBR($B$18,$H587,"Account_Type")</f>
        <v>NON LABOR</v>
      </c>
      <c r="G587" s="34" t="str">
        <f>_xll.DBR($B$18,$H587,"Description")</f>
        <v>Office Rent</v>
      </c>
      <c r="H587" s="43" t="s">
        <v>582</v>
      </c>
      <c r="I587" s="36">
        <f>_xll.DBRW($E$12,$F$16,$F$17,$F$18,$E587,$F$20,I$22,$H587,$F$19)</f>
        <v>1228.58</v>
      </c>
      <c r="J587" s="36">
        <f>_xll.DBRW($E$12,$F$16,$F$17,$F$18,$E587,$F$20,J$22,$H587,$F$19)</f>
        <v>1228.58</v>
      </c>
      <c r="K587" s="36">
        <f>_xll.DBRW($E$12,$F$16,$F$17,$F$18,$E587,$F$20,K$22,$H587,$F$19)</f>
        <v>1228.58</v>
      </c>
      <c r="L587" s="36">
        <f>_xll.DBRW($E$12,$F$16,$F$17,$F$18,$E587,$F$20,L$22,$H587,$F$19)</f>
        <v>1228.58</v>
      </c>
      <c r="M587" s="36">
        <f>_xll.DBRW($E$12,$F$16,$F$17,$F$18,$E587,$F$20,M$22,$H587,$F$19)</f>
        <v>1228.58</v>
      </c>
      <c r="N587" s="36">
        <f>_xll.DBRW($E$12,$F$16,$F$17,$F$18,$E587,$F$20,N$22,$H587,$F$19)</f>
        <v>1228.58</v>
      </c>
      <c r="O587" s="36">
        <f>_xll.DBRW($E$12,$F$16,$F$17,$F$18,$E587,$F$20,O$22,$H587,$F$19)</f>
        <v>0</v>
      </c>
      <c r="P587" s="36">
        <f>_xll.DBRW($E$12,$F$16,$F$17,$F$18,$E587,$F$20,P$22,$H587,$F$19)</f>
        <v>0</v>
      </c>
      <c r="Q587" s="36">
        <f>_xll.DBRW($E$12,$F$16,$F$17,$F$18,$E587,$F$20,Q$22,$H587,$F$19)</f>
        <v>0</v>
      </c>
      <c r="R587" s="36">
        <f>_xll.DBRW($E$12,$F$16,$F$17,$F$18,$E587,$F$20,R$22,$H587,$F$19)</f>
        <v>0</v>
      </c>
      <c r="S587" s="36">
        <f>_xll.DBRW($E$12,$F$16,$F$17,$F$18,$E587,$F$20,S$22,$H587,$F$19)</f>
        <v>0</v>
      </c>
      <c r="T587" s="36">
        <f>_xll.DBRW($E$12,$F$16,$F$17,$F$18,$E587,$F$20,T$22,$H587,$F$19)</f>
        <v>0</v>
      </c>
      <c r="U587" s="36">
        <f>_xll.DBRW($E$12,$F$16,$F$17,$F$18,$E587,$F$20,U$22,$H587,$F$19)</f>
        <v>7371.48</v>
      </c>
    </row>
    <row r="588" spans="4:21" s="37" customFormat="1" ht="15" outlineLevel="1" thickBot="1" x14ac:dyDescent="0.35">
      <c r="D588" s="33" t="str">
        <f>IF(_xll.TM1RPTELISCONSOLIDATED($H$34,$H588),IF(_xll.TM1RPTELLEV($H$34,$H588)&lt;=5,_xll.TM1RPTELLEV($H$34,$H588),"Default"),"Leaf")</f>
        <v>Leaf</v>
      </c>
      <c r="E588" s="42" t="s">
        <v>694</v>
      </c>
      <c r="F588" s="34" t="str">
        <f>_xll.DBR($B$18,$H588,"Account_Type")</f>
        <v>NON LABOR</v>
      </c>
      <c r="G588" s="34" t="str">
        <f>_xll.DBR($B$18,$H588,"Description")</f>
        <v>Professional Services / Consultants</v>
      </c>
      <c r="H588" s="43" t="s">
        <v>599</v>
      </c>
      <c r="I588" s="36">
        <f>_xll.DBRW($E$12,$F$16,$F$17,$F$18,$E588,$F$20,I$22,$H588,$F$19)</f>
        <v>3080</v>
      </c>
      <c r="J588" s="36">
        <f>_xll.DBRW($E$12,$F$16,$F$17,$F$18,$E588,$F$20,J$22,$H588,$F$19)</f>
        <v>0</v>
      </c>
      <c r="K588" s="36">
        <f>_xll.DBRW($E$12,$F$16,$F$17,$F$18,$E588,$F$20,K$22,$H588,$F$19)</f>
        <v>0</v>
      </c>
      <c r="L588" s="36">
        <f>_xll.DBRW($E$12,$F$16,$F$17,$F$18,$E588,$F$20,L$22,$H588,$F$19)</f>
        <v>0</v>
      </c>
      <c r="M588" s="36">
        <f>_xll.DBRW($E$12,$F$16,$F$17,$F$18,$E588,$F$20,M$22,$H588,$F$19)</f>
        <v>0</v>
      </c>
      <c r="N588" s="36">
        <f>_xll.DBRW($E$12,$F$16,$F$17,$F$18,$E588,$F$20,N$22,$H588,$F$19)</f>
        <v>0</v>
      </c>
      <c r="O588" s="36">
        <f>_xll.DBRW($E$12,$F$16,$F$17,$F$18,$E588,$F$20,O$22,$H588,$F$19)</f>
        <v>0</v>
      </c>
      <c r="P588" s="36">
        <f>_xll.DBRW($E$12,$F$16,$F$17,$F$18,$E588,$F$20,P$22,$H588,$F$19)</f>
        <v>0</v>
      </c>
      <c r="Q588" s="36">
        <f>_xll.DBRW($E$12,$F$16,$F$17,$F$18,$E588,$F$20,Q$22,$H588,$F$19)</f>
        <v>0</v>
      </c>
      <c r="R588" s="36">
        <f>_xll.DBRW($E$12,$F$16,$F$17,$F$18,$E588,$F$20,R$22,$H588,$F$19)</f>
        <v>0</v>
      </c>
      <c r="S588" s="36">
        <f>_xll.DBRW($E$12,$F$16,$F$17,$F$18,$E588,$F$20,S$22,$H588,$F$19)</f>
        <v>0</v>
      </c>
      <c r="T588" s="36">
        <f>_xll.DBRW($E$12,$F$16,$F$17,$F$18,$E588,$F$20,T$22,$H588,$F$19)</f>
        <v>0</v>
      </c>
      <c r="U588" s="36">
        <f>_xll.DBRW($E$12,$F$16,$F$17,$F$18,$E588,$F$20,U$22,$H588,$F$19)</f>
        <v>3080</v>
      </c>
    </row>
    <row r="589" spans="4:21" s="37" customFormat="1" ht="15" outlineLevel="1" thickBot="1" x14ac:dyDescent="0.35">
      <c r="D589" s="33" t="str">
        <f>IF(_xll.TM1RPTELISCONSOLIDATED($H$34,$H589),IF(_xll.TM1RPTELLEV($H$34,$H589)&lt;=5,_xll.TM1RPTELLEV($H$34,$H589),"Default"),"Leaf")</f>
        <v>Leaf</v>
      </c>
      <c r="E589" s="42" t="s">
        <v>694</v>
      </c>
      <c r="F589" s="34" t="str">
        <f>_xll.DBR($B$18,$H589,"Account_Type")</f>
        <v>NON LABOR</v>
      </c>
      <c r="G589" s="34" t="str">
        <f>_xll.DBR($B$18,$H589,"Description")</f>
        <v>Drug Testing &amp; Physicals</v>
      </c>
      <c r="H589" s="43" t="s">
        <v>605</v>
      </c>
      <c r="I589" s="36">
        <f>_xll.DBRW($E$12,$F$16,$F$17,$F$18,$E589,$F$20,I$22,$H589,$F$19)</f>
        <v>0</v>
      </c>
      <c r="J589" s="36">
        <f>_xll.DBRW($E$12,$F$16,$F$17,$F$18,$E589,$F$20,J$22,$H589,$F$19)</f>
        <v>0</v>
      </c>
      <c r="K589" s="36">
        <f>_xll.DBRW($E$12,$F$16,$F$17,$F$18,$E589,$F$20,K$22,$H589,$F$19)</f>
        <v>0</v>
      </c>
      <c r="L589" s="36">
        <f>_xll.DBRW($E$12,$F$16,$F$17,$F$18,$E589,$F$20,L$22,$H589,$F$19)</f>
        <v>750</v>
      </c>
      <c r="M589" s="36">
        <f>_xll.DBRW($E$12,$F$16,$F$17,$F$18,$E589,$F$20,M$22,$H589,$F$19)</f>
        <v>620</v>
      </c>
      <c r="N589" s="36">
        <f>_xll.DBRW($E$12,$F$16,$F$17,$F$18,$E589,$F$20,N$22,$H589,$F$19)</f>
        <v>108.77</v>
      </c>
      <c r="O589" s="36">
        <f>_xll.DBRW($E$12,$F$16,$F$17,$F$18,$E589,$F$20,O$22,$H589,$F$19)</f>
        <v>0</v>
      </c>
      <c r="P589" s="36">
        <f>_xll.DBRW($E$12,$F$16,$F$17,$F$18,$E589,$F$20,P$22,$H589,$F$19)</f>
        <v>0</v>
      </c>
      <c r="Q589" s="36">
        <f>_xll.DBRW($E$12,$F$16,$F$17,$F$18,$E589,$F$20,Q$22,$H589,$F$19)</f>
        <v>0</v>
      </c>
      <c r="R589" s="36">
        <f>_xll.DBRW($E$12,$F$16,$F$17,$F$18,$E589,$F$20,R$22,$H589,$F$19)</f>
        <v>0</v>
      </c>
      <c r="S589" s="36">
        <f>_xll.DBRW($E$12,$F$16,$F$17,$F$18,$E589,$F$20,S$22,$H589,$F$19)</f>
        <v>0</v>
      </c>
      <c r="T589" s="36">
        <f>_xll.DBRW($E$12,$F$16,$F$17,$F$18,$E589,$F$20,T$22,$H589,$F$19)</f>
        <v>0</v>
      </c>
      <c r="U589" s="36">
        <f>_xll.DBRW($E$12,$F$16,$F$17,$F$18,$E589,$F$20,U$22,$H589,$F$19)</f>
        <v>1478.77</v>
      </c>
    </row>
    <row r="590" spans="4:21" s="37" customFormat="1" ht="15" outlineLevel="1" thickBot="1" x14ac:dyDescent="0.35">
      <c r="D590" s="33" t="str">
        <f>IF(_xll.TM1RPTELISCONSOLIDATED($H$34,$H590),IF(_xll.TM1RPTELLEV($H$34,$H590)&lt;=5,_xll.TM1RPTELLEV($H$34,$H590),"Default"),"Leaf")</f>
        <v>Leaf</v>
      </c>
      <c r="E590" s="42" t="s">
        <v>694</v>
      </c>
      <c r="F590" s="34" t="str">
        <f>_xll.DBR($B$18,$H590,"Account_Type")</f>
        <v>NON LABOR</v>
      </c>
      <c r="G590" s="34" t="str">
        <f>_xll.DBR($B$18,$H590,"Description")</f>
        <v>Uniforms</v>
      </c>
      <c r="H590" s="43" t="s">
        <v>608</v>
      </c>
      <c r="I590" s="36">
        <f>_xll.DBRW($E$12,$F$16,$F$17,$F$18,$E590,$F$20,I$22,$H590,$F$19)</f>
        <v>0</v>
      </c>
      <c r="J590" s="36">
        <f>_xll.DBRW($E$12,$F$16,$F$17,$F$18,$E590,$F$20,J$22,$H590,$F$19)</f>
        <v>0</v>
      </c>
      <c r="K590" s="36">
        <f>_xll.DBRW($E$12,$F$16,$F$17,$F$18,$E590,$F$20,K$22,$H590,$F$19)</f>
        <v>0</v>
      </c>
      <c r="L590" s="36">
        <f>_xll.DBRW($E$12,$F$16,$F$17,$F$18,$E590,$F$20,L$22,$H590,$F$19)</f>
        <v>0</v>
      </c>
      <c r="M590" s="36">
        <f>_xll.DBRW($E$12,$F$16,$F$17,$F$18,$E590,$F$20,M$22,$H590,$F$19)</f>
        <v>0</v>
      </c>
      <c r="N590" s="36">
        <f>_xll.DBRW($E$12,$F$16,$F$17,$F$18,$E590,$F$20,N$22,$H590,$F$19)</f>
        <v>56.57</v>
      </c>
      <c r="O590" s="36">
        <f>_xll.DBRW($E$12,$F$16,$F$17,$F$18,$E590,$F$20,O$22,$H590,$F$19)</f>
        <v>0</v>
      </c>
      <c r="P590" s="36">
        <f>_xll.DBRW($E$12,$F$16,$F$17,$F$18,$E590,$F$20,P$22,$H590,$F$19)</f>
        <v>0</v>
      </c>
      <c r="Q590" s="36">
        <f>_xll.DBRW($E$12,$F$16,$F$17,$F$18,$E590,$F$20,Q$22,$H590,$F$19)</f>
        <v>0</v>
      </c>
      <c r="R590" s="36">
        <f>_xll.DBRW($E$12,$F$16,$F$17,$F$18,$E590,$F$20,R$22,$H590,$F$19)</f>
        <v>0</v>
      </c>
      <c r="S590" s="36">
        <f>_xll.DBRW($E$12,$F$16,$F$17,$F$18,$E590,$F$20,S$22,$H590,$F$19)</f>
        <v>0</v>
      </c>
      <c r="T590" s="36">
        <f>_xll.DBRW($E$12,$F$16,$F$17,$F$18,$E590,$F$20,T$22,$H590,$F$19)</f>
        <v>0</v>
      </c>
      <c r="U590" s="36">
        <f>_xll.DBRW($E$12,$F$16,$F$17,$F$18,$E590,$F$20,U$22,$H590,$F$19)</f>
        <v>56.57</v>
      </c>
    </row>
    <row r="591" spans="4:21" s="37" customFormat="1" ht="15" outlineLevel="1" thickBot="1" x14ac:dyDescent="0.35">
      <c r="D591" s="33" t="str">
        <f>IF(_xll.TM1RPTELISCONSOLIDATED($H$34,$H591),IF(_xll.TM1RPTELLEV($H$34,$H591)&lt;=5,_xll.TM1RPTELLEV($H$34,$H591),"Default"),"Leaf")</f>
        <v>Leaf</v>
      </c>
      <c r="E591" s="42" t="s">
        <v>694</v>
      </c>
      <c r="F591" s="34" t="str">
        <f>_xll.DBR($B$18,$H591,"Account_Type")</f>
        <v>NON LABOR</v>
      </c>
      <c r="G591" s="34" t="str">
        <f>_xll.DBR($B$18,$H591,"Description")</f>
        <v>Employee Morale &amp; Welfare</v>
      </c>
      <c r="H591" s="43" t="s">
        <v>614</v>
      </c>
      <c r="I591" s="36">
        <f>_xll.DBRW($E$12,$F$16,$F$17,$F$18,$E591,$F$20,I$22,$H591,$F$19)</f>
        <v>0</v>
      </c>
      <c r="J591" s="36">
        <f>_xll.DBRW($E$12,$F$16,$F$17,$F$18,$E591,$F$20,J$22,$H591,$F$19)</f>
        <v>0</v>
      </c>
      <c r="K591" s="36">
        <f>_xll.DBRW($E$12,$F$16,$F$17,$F$18,$E591,$F$20,K$22,$H591,$F$19)</f>
        <v>0</v>
      </c>
      <c r="L591" s="36">
        <f>_xll.DBRW($E$12,$F$16,$F$17,$F$18,$E591,$F$20,L$22,$H591,$F$19)</f>
        <v>0</v>
      </c>
      <c r="M591" s="36">
        <f>_xll.DBRW($E$12,$F$16,$F$17,$F$18,$E591,$F$20,M$22,$H591,$F$19)</f>
        <v>79.61</v>
      </c>
      <c r="N591" s="36">
        <f>_xll.DBRW($E$12,$F$16,$F$17,$F$18,$E591,$F$20,N$22,$H591,$F$19)</f>
        <v>0</v>
      </c>
      <c r="O591" s="36">
        <f>_xll.DBRW($E$12,$F$16,$F$17,$F$18,$E591,$F$20,O$22,$H591,$F$19)</f>
        <v>0</v>
      </c>
      <c r="P591" s="36">
        <f>_xll.DBRW($E$12,$F$16,$F$17,$F$18,$E591,$F$20,P$22,$H591,$F$19)</f>
        <v>0</v>
      </c>
      <c r="Q591" s="36">
        <f>_xll.DBRW($E$12,$F$16,$F$17,$F$18,$E591,$F$20,Q$22,$H591,$F$19)</f>
        <v>0</v>
      </c>
      <c r="R591" s="36">
        <f>_xll.DBRW($E$12,$F$16,$F$17,$F$18,$E591,$F$20,R$22,$H591,$F$19)</f>
        <v>0</v>
      </c>
      <c r="S591" s="36">
        <f>_xll.DBRW($E$12,$F$16,$F$17,$F$18,$E591,$F$20,S$22,$H591,$F$19)</f>
        <v>0</v>
      </c>
      <c r="T591" s="36">
        <f>_xll.DBRW($E$12,$F$16,$F$17,$F$18,$E591,$F$20,T$22,$H591,$F$19)</f>
        <v>0</v>
      </c>
      <c r="U591" s="36">
        <f>_xll.DBRW($E$12,$F$16,$F$17,$F$18,$E591,$F$20,U$22,$H591,$F$19)</f>
        <v>79.61</v>
      </c>
    </row>
    <row r="592" spans="4:21" s="37" customFormat="1" ht="15" outlineLevel="1" thickBot="1" x14ac:dyDescent="0.35">
      <c r="D592" s="33" t="str">
        <f>IF(_xll.TM1RPTELISCONSOLIDATED($H$34,$H592),IF(_xll.TM1RPTELLEV($H$34,$H592)&lt;=5,_xll.TM1RPTELLEV($H$34,$H592),"Default"),"Leaf")</f>
        <v>Leaf</v>
      </c>
      <c r="E592" s="42" t="s">
        <v>694</v>
      </c>
      <c r="F592" s="34" t="str">
        <f>_xll.DBR($B$18,$H592,"Account_Type")</f>
        <v>NON LABOR</v>
      </c>
      <c r="G592" s="34" t="str">
        <f>_xll.DBR($B$18,$H592,"Description")</f>
        <v>Employee Leased Vehicles</v>
      </c>
      <c r="H592" s="43" t="s">
        <v>635</v>
      </c>
      <c r="I592" s="36">
        <f>_xll.DBRW($E$12,$F$16,$F$17,$F$18,$E592,$F$20,I$22,$H592,$F$19)</f>
        <v>3100</v>
      </c>
      <c r="J592" s="36">
        <f>_xll.DBRW($E$12,$F$16,$F$17,$F$18,$E592,$F$20,J$22,$H592,$F$19)</f>
        <v>3100</v>
      </c>
      <c r="K592" s="36">
        <f>_xll.DBRW($E$12,$F$16,$F$17,$F$18,$E592,$F$20,K$22,$H592,$F$19)</f>
        <v>3100</v>
      </c>
      <c r="L592" s="36">
        <f>_xll.DBRW($E$12,$F$16,$F$17,$F$18,$E592,$F$20,L$22,$H592,$F$19)</f>
        <v>3100</v>
      </c>
      <c r="M592" s="36">
        <f>_xll.DBRW($E$12,$F$16,$F$17,$F$18,$E592,$F$20,M$22,$H592,$F$19)</f>
        <v>2333.33</v>
      </c>
      <c r="N592" s="36">
        <f>_xll.DBRW($E$12,$F$16,$F$17,$F$18,$E592,$F$20,N$22,$H592,$F$19)</f>
        <v>1950</v>
      </c>
      <c r="O592" s="36">
        <f>_xll.DBRW($E$12,$F$16,$F$17,$F$18,$E592,$F$20,O$22,$H592,$F$19)</f>
        <v>800</v>
      </c>
      <c r="P592" s="36">
        <f>_xll.DBRW($E$12,$F$16,$F$17,$F$18,$E592,$F$20,P$22,$H592,$F$19)</f>
        <v>0</v>
      </c>
      <c r="Q592" s="36">
        <f>_xll.DBRW($E$12,$F$16,$F$17,$F$18,$E592,$F$20,Q$22,$H592,$F$19)</f>
        <v>0</v>
      </c>
      <c r="R592" s="36">
        <f>_xll.DBRW($E$12,$F$16,$F$17,$F$18,$E592,$F$20,R$22,$H592,$F$19)</f>
        <v>0</v>
      </c>
      <c r="S592" s="36">
        <f>_xll.DBRW($E$12,$F$16,$F$17,$F$18,$E592,$F$20,S$22,$H592,$F$19)</f>
        <v>0</v>
      </c>
      <c r="T592" s="36">
        <f>_xll.DBRW($E$12,$F$16,$F$17,$F$18,$E592,$F$20,T$22,$H592,$F$19)</f>
        <v>0</v>
      </c>
      <c r="U592" s="36">
        <f>_xll.DBRW($E$12,$F$16,$F$17,$F$18,$E592,$F$20,U$22,$H592,$F$19)</f>
        <v>17483.330000000002</v>
      </c>
    </row>
    <row r="593" spans="4:21" s="37" customFormat="1" ht="15" outlineLevel="1" thickBot="1" x14ac:dyDescent="0.35">
      <c r="D593" s="33" t="str">
        <f>IF(_xll.TM1RPTELISCONSOLIDATED($H$34,$H593),IF(_xll.TM1RPTELLEV($H$34,$H593)&lt;=5,_xll.TM1RPTELLEV($H$34,$H593),"Default"),"Leaf")</f>
        <v>Leaf</v>
      </c>
      <c r="E593" s="42" t="s">
        <v>694</v>
      </c>
      <c r="F593" s="34" t="str">
        <f>_xll.DBR($B$18,$H593,"Account_Type")</f>
        <v>NON LABOR</v>
      </c>
      <c r="G593" s="34" t="str">
        <f>_xll.DBR($B$18,$H593,"Description")</f>
        <v>Fuel Purchases to Leased Vehicles</v>
      </c>
      <c r="H593" s="43" t="s">
        <v>649</v>
      </c>
      <c r="I593" s="36">
        <f>_xll.DBRW($E$12,$F$16,$F$17,$F$18,$E593,$F$20,I$22,$H593,$F$19)</f>
        <v>0</v>
      </c>
      <c r="J593" s="36">
        <f>_xll.DBRW($E$12,$F$16,$F$17,$F$18,$E593,$F$20,J$22,$H593,$F$19)</f>
        <v>240.2</v>
      </c>
      <c r="K593" s="36">
        <f>_xll.DBRW($E$12,$F$16,$F$17,$F$18,$E593,$F$20,K$22,$H593,$F$19)</f>
        <v>0</v>
      </c>
      <c r="L593" s="36">
        <f>_xll.DBRW($E$12,$F$16,$F$17,$F$18,$E593,$F$20,L$22,$H593,$F$19)</f>
        <v>0</v>
      </c>
      <c r="M593" s="36">
        <f>_xll.DBRW($E$12,$F$16,$F$17,$F$18,$E593,$F$20,M$22,$H593,$F$19)</f>
        <v>0</v>
      </c>
      <c r="N593" s="36">
        <f>_xll.DBRW($E$12,$F$16,$F$17,$F$18,$E593,$F$20,N$22,$H593,$F$19)</f>
        <v>0</v>
      </c>
      <c r="O593" s="36">
        <f>_xll.DBRW($E$12,$F$16,$F$17,$F$18,$E593,$F$20,O$22,$H593,$F$19)</f>
        <v>0</v>
      </c>
      <c r="P593" s="36">
        <f>_xll.DBRW($E$12,$F$16,$F$17,$F$18,$E593,$F$20,P$22,$H593,$F$19)</f>
        <v>0</v>
      </c>
      <c r="Q593" s="36">
        <f>_xll.DBRW($E$12,$F$16,$F$17,$F$18,$E593,$F$20,Q$22,$H593,$F$19)</f>
        <v>0</v>
      </c>
      <c r="R593" s="36">
        <f>_xll.DBRW($E$12,$F$16,$F$17,$F$18,$E593,$F$20,R$22,$H593,$F$19)</f>
        <v>0</v>
      </c>
      <c r="S593" s="36">
        <f>_xll.DBRW($E$12,$F$16,$F$17,$F$18,$E593,$F$20,S$22,$H593,$F$19)</f>
        <v>0</v>
      </c>
      <c r="T593" s="36">
        <f>_xll.DBRW($E$12,$F$16,$F$17,$F$18,$E593,$F$20,T$22,$H593,$F$19)</f>
        <v>0</v>
      </c>
      <c r="U593" s="36">
        <f>_xll.DBRW($E$12,$F$16,$F$17,$F$18,$E593,$F$20,U$22,$H593,$F$19)</f>
        <v>240.2</v>
      </c>
    </row>
    <row r="594" spans="4:21" s="37" customFormat="1" ht="15" outlineLevel="1" thickBot="1" x14ac:dyDescent="0.35">
      <c r="D594" s="33" t="str">
        <f>IF(_xll.TM1RPTELISCONSOLIDATED($H$34,$H594),IF(_xll.TM1RPTELLEV($H$34,$H594)&lt;=5,_xll.TM1RPTELLEV($H$34,$H594),"Default"),"Leaf")</f>
        <v>Leaf</v>
      </c>
      <c r="E594" s="42" t="s">
        <v>10</v>
      </c>
      <c r="F594" s="34" t="str">
        <f>_xll.DBR($B$18,$H594,"Account_Type")</f>
        <v>NON LABOR</v>
      </c>
      <c r="G594" s="34" t="str">
        <f>_xll.DBR($B$18,$H594,"Description")</f>
        <v>Travel &amp; Lodging</v>
      </c>
      <c r="H594" s="43" t="s">
        <v>464</v>
      </c>
      <c r="I594" s="36">
        <f>_xll.DBRW($E$12,$F$16,$F$17,$F$18,$E594,$F$20,I$22,$H594,$F$19)</f>
        <v>10055.64</v>
      </c>
      <c r="J594" s="36">
        <f>_xll.DBRW($E$12,$F$16,$F$17,$F$18,$E594,$F$20,J$22,$H594,$F$19)</f>
        <v>12167.15</v>
      </c>
      <c r="K594" s="36">
        <f>_xll.DBRW($E$12,$F$16,$F$17,$F$18,$E594,$F$20,K$22,$H594,$F$19)</f>
        <v>9042.9</v>
      </c>
      <c r="L594" s="36">
        <f>_xll.DBRW($E$12,$F$16,$F$17,$F$18,$E594,$F$20,L$22,$H594,$F$19)</f>
        <v>5949.58</v>
      </c>
      <c r="M594" s="36">
        <f>_xll.DBRW($E$12,$F$16,$F$17,$F$18,$E594,$F$20,M$22,$H594,$F$19)</f>
        <v>6113.77</v>
      </c>
      <c r="N594" s="36">
        <f>_xll.DBRW($E$12,$F$16,$F$17,$F$18,$E594,$F$20,N$22,$H594,$F$19)</f>
        <v>6507.1</v>
      </c>
      <c r="O594" s="36">
        <f>_xll.DBRW($E$12,$F$16,$F$17,$F$18,$E594,$F$20,O$22,$H594,$F$19)</f>
        <v>0</v>
      </c>
      <c r="P594" s="36">
        <f>_xll.DBRW($E$12,$F$16,$F$17,$F$18,$E594,$F$20,P$22,$H594,$F$19)</f>
        <v>0</v>
      </c>
      <c r="Q594" s="36">
        <f>_xll.DBRW($E$12,$F$16,$F$17,$F$18,$E594,$F$20,Q$22,$H594,$F$19)</f>
        <v>0</v>
      </c>
      <c r="R594" s="36">
        <f>_xll.DBRW($E$12,$F$16,$F$17,$F$18,$E594,$F$20,R$22,$H594,$F$19)</f>
        <v>0</v>
      </c>
      <c r="S594" s="36">
        <f>_xll.DBRW($E$12,$F$16,$F$17,$F$18,$E594,$F$20,S$22,$H594,$F$19)</f>
        <v>0</v>
      </c>
      <c r="T594" s="36">
        <f>_xll.DBRW($E$12,$F$16,$F$17,$F$18,$E594,$F$20,T$22,$H594,$F$19)</f>
        <v>0</v>
      </c>
      <c r="U594" s="36">
        <f>_xll.DBRW($E$12,$F$16,$F$17,$F$18,$E594,$F$20,U$22,$H594,$F$19)</f>
        <v>49836.140000000007</v>
      </c>
    </row>
    <row r="595" spans="4:21" s="37" customFormat="1" ht="15" outlineLevel="1" thickBot="1" x14ac:dyDescent="0.35">
      <c r="D595" s="33" t="str">
        <f>IF(_xll.TM1RPTELISCONSOLIDATED($H$34,$H595),IF(_xll.TM1RPTELLEV($H$34,$H595)&lt;=5,_xll.TM1RPTELLEV($H$34,$H595),"Default"),"Leaf")</f>
        <v>Leaf</v>
      </c>
      <c r="E595" s="42" t="s">
        <v>10</v>
      </c>
      <c r="F595" s="34" t="str">
        <f>_xll.DBR($B$18,$H595,"Account_Type")</f>
        <v>NON LABOR</v>
      </c>
      <c r="G595" s="34" t="str">
        <f>_xll.DBR($B$18,$H595,"Description")</f>
        <v>Business Meals &amp; Entertainment</v>
      </c>
      <c r="H595" s="43" t="s">
        <v>11</v>
      </c>
      <c r="I595" s="36">
        <f>_xll.DBRW($E$12,$F$16,$F$17,$F$18,$E595,$F$20,I$22,$H595,$F$19)</f>
        <v>0</v>
      </c>
      <c r="J595" s="36">
        <f>_xll.DBRW($E$12,$F$16,$F$17,$F$18,$E595,$F$20,J$22,$H595,$F$19)</f>
        <v>72.62</v>
      </c>
      <c r="K595" s="36">
        <f>_xll.DBRW($E$12,$F$16,$F$17,$F$18,$E595,$F$20,K$22,$H595,$F$19)</f>
        <v>0</v>
      </c>
      <c r="L595" s="36">
        <f>_xll.DBRW($E$12,$F$16,$F$17,$F$18,$E595,$F$20,L$22,$H595,$F$19)</f>
        <v>134.1</v>
      </c>
      <c r="M595" s="36">
        <f>_xll.DBRW($E$12,$F$16,$F$17,$F$18,$E595,$F$20,M$22,$H595,$F$19)</f>
        <v>0</v>
      </c>
      <c r="N595" s="36">
        <f>_xll.DBRW($E$12,$F$16,$F$17,$F$18,$E595,$F$20,N$22,$H595,$F$19)</f>
        <v>0</v>
      </c>
      <c r="O595" s="36">
        <f>_xll.DBRW($E$12,$F$16,$F$17,$F$18,$E595,$F$20,O$22,$H595,$F$19)</f>
        <v>0</v>
      </c>
      <c r="P595" s="36">
        <f>_xll.DBRW($E$12,$F$16,$F$17,$F$18,$E595,$F$20,P$22,$H595,$F$19)</f>
        <v>0</v>
      </c>
      <c r="Q595" s="36">
        <f>_xll.DBRW($E$12,$F$16,$F$17,$F$18,$E595,$F$20,Q$22,$H595,$F$19)</f>
        <v>0</v>
      </c>
      <c r="R595" s="36">
        <f>_xll.DBRW($E$12,$F$16,$F$17,$F$18,$E595,$F$20,R$22,$H595,$F$19)</f>
        <v>0</v>
      </c>
      <c r="S595" s="36">
        <f>_xll.DBRW($E$12,$F$16,$F$17,$F$18,$E595,$F$20,S$22,$H595,$F$19)</f>
        <v>0</v>
      </c>
      <c r="T595" s="36">
        <f>_xll.DBRW($E$12,$F$16,$F$17,$F$18,$E595,$F$20,T$22,$H595,$F$19)</f>
        <v>0</v>
      </c>
      <c r="U595" s="36">
        <f>_xll.DBRW($E$12,$F$16,$F$17,$F$18,$E595,$F$20,U$22,$H595,$F$19)</f>
        <v>206.72</v>
      </c>
    </row>
    <row r="596" spans="4:21" s="37" customFormat="1" ht="15" outlineLevel="1" thickBot="1" x14ac:dyDescent="0.35">
      <c r="D596" s="33" t="str">
        <f>IF(_xll.TM1RPTELISCONSOLIDATED($H$34,$H596),IF(_xll.TM1RPTELLEV($H$34,$H596)&lt;=5,_xll.TM1RPTELLEV($H$34,$H596),"Default"),"Leaf")</f>
        <v>Leaf</v>
      </c>
      <c r="E596" s="42" t="s">
        <v>10</v>
      </c>
      <c r="F596" s="34" t="str">
        <f>_xll.DBR($B$18,$H596,"Account_Type")</f>
        <v>NON LABOR</v>
      </c>
      <c r="G596" s="34" t="str">
        <f>_xll.DBR($B$18,$H596,"Description")</f>
        <v>Business Meals &amp; Entertainment</v>
      </c>
      <c r="H596" s="43" t="s">
        <v>12</v>
      </c>
      <c r="I596" s="36">
        <f>_xll.DBRW($E$12,$F$16,$F$17,$F$18,$E596,$F$20,I$22,$H596,$F$19)</f>
        <v>88.82</v>
      </c>
      <c r="J596" s="36">
        <f>_xll.DBRW($E$12,$F$16,$F$17,$F$18,$E596,$F$20,J$22,$H596,$F$19)</f>
        <v>72.61</v>
      </c>
      <c r="K596" s="36">
        <f>_xll.DBRW($E$12,$F$16,$F$17,$F$18,$E596,$F$20,K$22,$H596,$F$19)</f>
        <v>263.82</v>
      </c>
      <c r="L596" s="36">
        <f>_xll.DBRW($E$12,$F$16,$F$17,$F$18,$E596,$F$20,L$22,$H596,$F$19)</f>
        <v>177.9</v>
      </c>
      <c r="M596" s="36">
        <f>_xll.DBRW($E$12,$F$16,$F$17,$F$18,$E596,$F$20,M$22,$H596,$F$19)</f>
        <v>768.27</v>
      </c>
      <c r="N596" s="36">
        <f>_xll.DBRW($E$12,$F$16,$F$17,$F$18,$E596,$F$20,N$22,$H596,$F$19)</f>
        <v>0</v>
      </c>
      <c r="O596" s="36">
        <f>_xll.DBRW($E$12,$F$16,$F$17,$F$18,$E596,$F$20,O$22,$H596,$F$19)</f>
        <v>0</v>
      </c>
      <c r="P596" s="36">
        <f>_xll.DBRW($E$12,$F$16,$F$17,$F$18,$E596,$F$20,P$22,$H596,$F$19)</f>
        <v>0</v>
      </c>
      <c r="Q596" s="36">
        <f>_xll.DBRW($E$12,$F$16,$F$17,$F$18,$E596,$F$20,Q$22,$H596,$F$19)</f>
        <v>0</v>
      </c>
      <c r="R596" s="36">
        <f>_xll.DBRW($E$12,$F$16,$F$17,$F$18,$E596,$F$20,R$22,$H596,$F$19)</f>
        <v>0</v>
      </c>
      <c r="S596" s="36">
        <f>_xll.DBRW($E$12,$F$16,$F$17,$F$18,$E596,$F$20,S$22,$H596,$F$19)</f>
        <v>0</v>
      </c>
      <c r="T596" s="36">
        <f>_xll.DBRW($E$12,$F$16,$F$17,$F$18,$E596,$F$20,T$22,$H596,$F$19)</f>
        <v>0</v>
      </c>
      <c r="U596" s="36">
        <f>_xll.DBRW($E$12,$F$16,$F$17,$F$18,$E596,$F$20,U$22,$H596,$F$19)</f>
        <v>1371.42</v>
      </c>
    </row>
    <row r="597" spans="4:21" s="37" customFormat="1" ht="15" outlineLevel="1" thickBot="1" x14ac:dyDescent="0.35">
      <c r="D597" s="33" t="str">
        <f>IF(_xll.TM1RPTELISCONSOLIDATED($H$34,$H597),IF(_xll.TM1RPTELLEV($H$34,$H597)&lt;=5,_xll.TM1RPTELLEV($H$34,$H597),"Default"),"Leaf")</f>
        <v>Leaf</v>
      </c>
      <c r="E597" s="42" t="s">
        <v>10</v>
      </c>
      <c r="F597" s="34" t="str">
        <f>_xll.DBR($B$18,$H597,"Account_Type")</f>
        <v>NON LABOR</v>
      </c>
      <c r="G597" s="34" t="str">
        <f>_xll.DBR($B$18,$H597,"Description")</f>
        <v>Telecommunications / Internet</v>
      </c>
      <c r="H597" s="43" t="s">
        <v>13</v>
      </c>
      <c r="I597" s="36">
        <f>_xll.DBRW($E$12,$F$16,$F$17,$F$18,$E597,$F$20,I$22,$H597,$F$19)</f>
        <v>377.73</v>
      </c>
      <c r="J597" s="36">
        <f>_xll.DBRW($E$12,$F$16,$F$17,$F$18,$E597,$F$20,J$22,$H597,$F$19)</f>
        <v>428.81</v>
      </c>
      <c r="K597" s="36">
        <f>_xll.DBRW($E$12,$F$16,$F$17,$F$18,$E597,$F$20,K$22,$H597,$F$19)</f>
        <v>287.91000000000003</v>
      </c>
      <c r="L597" s="36">
        <f>_xll.DBRW($E$12,$F$16,$F$17,$F$18,$E597,$F$20,L$22,$H597,$F$19)</f>
        <v>518.6</v>
      </c>
      <c r="M597" s="36">
        <f>_xll.DBRW($E$12,$F$16,$F$17,$F$18,$E597,$F$20,M$22,$H597,$F$19)</f>
        <v>178.93</v>
      </c>
      <c r="N597" s="36">
        <f>_xll.DBRW($E$12,$F$16,$F$17,$F$18,$E597,$F$20,N$22,$H597,$F$19)</f>
        <v>227.4</v>
      </c>
      <c r="O597" s="36">
        <f>_xll.DBRW($E$12,$F$16,$F$17,$F$18,$E597,$F$20,O$22,$H597,$F$19)</f>
        <v>50</v>
      </c>
      <c r="P597" s="36">
        <f>_xll.DBRW($E$12,$F$16,$F$17,$F$18,$E597,$F$20,P$22,$H597,$F$19)</f>
        <v>0</v>
      </c>
      <c r="Q597" s="36">
        <f>_xll.DBRW($E$12,$F$16,$F$17,$F$18,$E597,$F$20,Q$22,$H597,$F$19)</f>
        <v>0</v>
      </c>
      <c r="R597" s="36">
        <f>_xll.DBRW($E$12,$F$16,$F$17,$F$18,$E597,$F$20,R$22,$H597,$F$19)</f>
        <v>0</v>
      </c>
      <c r="S597" s="36">
        <f>_xll.DBRW($E$12,$F$16,$F$17,$F$18,$E597,$F$20,S$22,$H597,$F$19)</f>
        <v>0</v>
      </c>
      <c r="T597" s="36">
        <f>_xll.DBRW($E$12,$F$16,$F$17,$F$18,$E597,$F$20,T$22,$H597,$F$19)</f>
        <v>0</v>
      </c>
      <c r="U597" s="36">
        <f>_xll.DBRW($E$12,$F$16,$F$17,$F$18,$E597,$F$20,U$22,$H597,$F$19)</f>
        <v>2069.38</v>
      </c>
    </row>
    <row r="598" spans="4:21" s="37" customFormat="1" ht="15" outlineLevel="1" thickBot="1" x14ac:dyDescent="0.35">
      <c r="D598" s="33" t="str">
        <f>IF(_xll.TM1RPTELISCONSOLIDATED($H$34,$H598),IF(_xll.TM1RPTELLEV($H$34,$H598)&lt;=5,_xll.TM1RPTELLEV($H$34,$H598),"Default"),"Leaf")</f>
        <v>Leaf</v>
      </c>
      <c r="E598" s="42" t="s">
        <v>10</v>
      </c>
      <c r="F598" s="34" t="str">
        <f>_xll.DBR($B$18,$H598,"Account_Type")</f>
        <v>NON LABOR</v>
      </c>
      <c r="G598" s="34" t="str">
        <f>_xll.DBR($B$18,$H598,"Description")</f>
        <v>Office/Computer Supplies &amp; Eqpt</v>
      </c>
      <c r="H598" s="43" t="s">
        <v>14</v>
      </c>
      <c r="I598" s="36">
        <f>_xll.DBRW($E$12,$F$16,$F$17,$F$18,$E598,$F$20,I$22,$H598,$F$19)</f>
        <v>1030.17</v>
      </c>
      <c r="J598" s="36">
        <f>_xll.DBRW($E$12,$F$16,$F$17,$F$18,$E598,$F$20,J$22,$H598,$F$19)</f>
        <v>4566.82</v>
      </c>
      <c r="K598" s="36">
        <f>_xll.DBRW($E$12,$F$16,$F$17,$F$18,$E598,$F$20,K$22,$H598,$F$19)</f>
        <v>24217.72</v>
      </c>
      <c r="L598" s="36">
        <f>_xll.DBRW($E$12,$F$16,$F$17,$F$18,$E598,$F$20,L$22,$H598,$F$19)</f>
        <v>12295.32</v>
      </c>
      <c r="M598" s="36">
        <f>_xll.DBRW($E$12,$F$16,$F$17,$F$18,$E598,$F$20,M$22,$H598,$F$19)</f>
        <v>4630.49</v>
      </c>
      <c r="N598" s="36">
        <f>_xll.DBRW($E$12,$F$16,$F$17,$F$18,$E598,$F$20,N$22,$H598,$F$19)</f>
        <v>8272.0400000000009</v>
      </c>
      <c r="O598" s="36">
        <f>_xll.DBRW($E$12,$F$16,$F$17,$F$18,$E598,$F$20,O$22,$H598,$F$19)</f>
        <v>-327.22000000000003</v>
      </c>
      <c r="P598" s="36">
        <f>_xll.DBRW($E$12,$F$16,$F$17,$F$18,$E598,$F$20,P$22,$H598,$F$19)</f>
        <v>0</v>
      </c>
      <c r="Q598" s="36">
        <f>_xll.DBRW($E$12,$F$16,$F$17,$F$18,$E598,$F$20,Q$22,$H598,$F$19)</f>
        <v>0</v>
      </c>
      <c r="R598" s="36">
        <f>_xll.DBRW($E$12,$F$16,$F$17,$F$18,$E598,$F$20,R$22,$H598,$F$19)</f>
        <v>0</v>
      </c>
      <c r="S598" s="36">
        <f>_xll.DBRW($E$12,$F$16,$F$17,$F$18,$E598,$F$20,S$22,$H598,$F$19)</f>
        <v>0</v>
      </c>
      <c r="T598" s="36">
        <f>_xll.DBRW($E$12,$F$16,$F$17,$F$18,$E598,$F$20,T$22,$H598,$F$19)</f>
        <v>0</v>
      </c>
      <c r="U598" s="36">
        <f>_xll.DBRW($E$12,$F$16,$F$17,$F$18,$E598,$F$20,U$22,$H598,$F$19)</f>
        <v>54685.34</v>
      </c>
    </row>
    <row r="599" spans="4:21" s="37" customFormat="1" ht="15" outlineLevel="1" thickBot="1" x14ac:dyDescent="0.35">
      <c r="D599" s="33" t="str">
        <f>IF(_xll.TM1RPTELISCONSOLIDATED($H$34,$H599),IF(_xll.TM1RPTELLEV($H$34,$H599)&lt;=5,_xll.TM1RPTELLEV($H$34,$H599),"Default"),"Leaf")</f>
        <v>Leaf</v>
      </c>
      <c r="E599" s="42" t="s">
        <v>10</v>
      </c>
      <c r="F599" s="34" t="str">
        <f>_xll.DBR($B$18,$H599,"Account_Type")</f>
        <v>NON LABOR</v>
      </c>
      <c r="G599" s="34" t="str">
        <f>_xll.DBR($B$18,$H599,"Description")</f>
        <v>Postage &amp; Courier Fees</v>
      </c>
      <c r="H599" s="43" t="s">
        <v>15</v>
      </c>
      <c r="I599" s="36">
        <f>_xll.DBRW($E$12,$F$16,$F$17,$F$18,$E599,$F$20,I$22,$H599,$F$19)</f>
        <v>19.3</v>
      </c>
      <c r="J599" s="36">
        <f>_xll.DBRW($E$12,$F$16,$F$17,$F$18,$E599,$F$20,J$22,$H599,$F$19)</f>
        <v>102.13</v>
      </c>
      <c r="K599" s="36">
        <f>_xll.DBRW($E$12,$F$16,$F$17,$F$18,$E599,$F$20,K$22,$H599,$F$19)</f>
        <v>48.61</v>
      </c>
      <c r="L599" s="36">
        <f>_xll.DBRW($E$12,$F$16,$F$17,$F$18,$E599,$F$20,L$22,$H599,$F$19)</f>
        <v>132.44</v>
      </c>
      <c r="M599" s="36">
        <f>_xll.DBRW($E$12,$F$16,$F$17,$F$18,$E599,$F$20,M$22,$H599,$F$19)</f>
        <v>72.33</v>
      </c>
      <c r="N599" s="36">
        <f>_xll.DBRW($E$12,$F$16,$F$17,$F$18,$E599,$F$20,N$22,$H599,$F$19)</f>
        <v>99.56</v>
      </c>
      <c r="O599" s="36">
        <f>_xll.DBRW($E$12,$F$16,$F$17,$F$18,$E599,$F$20,O$22,$H599,$F$19)</f>
        <v>0</v>
      </c>
      <c r="P599" s="36">
        <f>_xll.DBRW($E$12,$F$16,$F$17,$F$18,$E599,$F$20,P$22,$H599,$F$19)</f>
        <v>0</v>
      </c>
      <c r="Q599" s="36">
        <f>_xll.DBRW($E$12,$F$16,$F$17,$F$18,$E599,$F$20,Q$22,$H599,$F$19)</f>
        <v>0</v>
      </c>
      <c r="R599" s="36">
        <f>_xll.DBRW($E$12,$F$16,$F$17,$F$18,$E599,$F$20,R$22,$H599,$F$19)</f>
        <v>0</v>
      </c>
      <c r="S599" s="36">
        <f>_xll.DBRW($E$12,$F$16,$F$17,$F$18,$E599,$F$20,S$22,$H599,$F$19)</f>
        <v>0</v>
      </c>
      <c r="T599" s="36">
        <f>_xll.DBRW($E$12,$F$16,$F$17,$F$18,$E599,$F$20,T$22,$H599,$F$19)</f>
        <v>0</v>
      </c>
      <c r="U599" s="36">
        <f>_xll.DBRW($E$12,$F$16,$F$17,$F$18,$E599,$F$20,U$22,$H599,$F$19)</f>
        <v>474.37</v>
      </c>
    </row>
    <row r="600" spans="4:21" s="37" customFormat="1" ht="15" outlineLevel="1" thickBot="1" x14ac:dyDescent="0.35">
      <c r="D600" s="33" t="str">
        <f>IF(_xll.TM1RPTELISCONSOLIDATED($H$34,$H600),IF(_xll.TM1RPTELLEV($H$34,$H600)&lt;=5,_xll.TM1RPTELLEV($H$34,$H600),"Default"),"Leaf")</f>
        <v>Leaf</v>
      </c>
      <c r="E600" s="42" t="s">
        <v>10</v>
      </c>
      <c r="F600" s="34" t="str">
        <f>_xll.DBR($B$18,$H600,"Account_Type")</f>
        <v>NON LABOR</v>
      </c>
      <c r="G600" s="34" t="str">
        <f>_xll.DBR($B$18,$H600,"Description")</f>
        <v>Printing &amp; Reproduction</v>
      </c>
      <c r="H600" s="43" t="s">
        <v>16</v>
      </c>
      <c r="I600" s="36">
        <f>_xll.DBRW($E$12,$F$16,$F$17,$F$18,$E600,$F$20,I$22,$H600,$F$19)</f>
        <v>858.53</v>
      </c>
      <c r="J600" s="36">
        <f>_xll.DBRW($E$12,$F$16,$F$17,$F$18,$E600,$F$20,J$22,$H600,$F$19)</f>
        <v>0</v>
      </c>
      <c r="K600" s="36">
        <f>_xll.DBRW($E$12,$F$16,$F$17,$F$18,$E600,$F$20,K$22,$H600,$F$19)</f>
        <v>57.95</v>
      </c>
      <c r="L600" s="36">
        <f>_xll.DBRW($E$12,$F$16,$F$17,$F$18,$E600,$F$20,L$22,$H600,$F$19)</f>
        <v>0</v>
      </c>
      <c r="M600" s="36">
        <f>_xll.DBRW($E$12,$F$16,$F$17,$F$18,$E600,$F$20,M$22,$H600,$F$19)</f>
        <v>0</v>
      </c>
      <c r="N600" s="36">
        <f>_xll.DBRW($E$12,$F$16,$F$17,$F$18,$E600,$F$20,N$22,$H600,$F$19)</f>
        <v>0</v>
      </c>
      <c r="O600" s="36">
        <f>_xll.DBRW($E$12,$F$16,$F$17,$F$18,$E600,$F$20,O$22,$H600,$F$19)</f>
        <v>0</v>
      </c>
      <c r="P600" s="36">
        <f>_xll.DBRW($E$12,$F$16,$F$17,$F$18,$E600,$F$20,P$22,$H600,$F$19)</f>
        <v>0</v>
      </c>
      <c r="Q600" s="36">
        <f>_xll.DBRW($E$12,$F$16,$F$17,$F$18,$E600,$F$20,Q$22,$H600,$F$19)</f>
        <v>0</v>
      </c>
      <c r="R600" s="36">
        <f>_xll.DBRW($E$12,$F$16,$F$17,$F$18,$E600,$F$20,R$22,$H600,$F$19)</f>
        <v>0</v>
      </c>
      <c r="S600" s="36">
        <f>_xll.DBRW($E$12,$F$16,$F$17,$F$18,$E600,$F$20,S$22,$H600,$F$19)</f>
        <v>0</v>
      </c>
      <c r="T600" s="36">
        <f>_xll.DBRW($E$12,$F$16,$F$17,$F$18,$E600,$F$20,T$22,$H600,$F$19)</f>
        <v>0</v>
      </c>
      <c r="U600" s="36">
        <f>_xll.DBRW($E$12,$F$16,$F$17,$F$18,$E600,$F$20,U$22,$H600,$F$19)</f>
        <v>916.48</v>
      </c>
    </row>
    <row r="601" spans="4:21" s="37" customFormat="1" ht="15" outlineLevel="1" thickBot="1" x14ac:dyDescent="0.35">
      <c r="D601" s="33" t="str">
        <f>IF(_xll.TM1RPTELISCONSOLIDATED($H$34,$H601),IF(_xll.TM1RPTELLEV($H$34,$H601)&lt;=5,_xll.TM1RPTELLEV($H$34,$H601),"Default"),"Leaf")</f>
        <v>Leaf</v>
      </c>
      <c r="E601" s="42" t="s">
        <v>10</v>
      </c>
      <c r="F601" s="34" t="str">
        <f>_xll.DBR($B$18,$H601,"Account_Type")</f>
        <v>NON LABOR</v>
      </c>
      <c r="G601" s="34" t="str">
        <f>_xll.DBR($B$18,$H601,"Description")</f>
        <v>Education/Training/Dues/Subscriptions</v>
      </c>
      <c r="H601" s="43" t="s">
        <v>17</v>
      </c>
      <c r="I601" s="36">
        <f>_xll.DBRW($E$12,$F$16,$F$17,$F$18,$E601,$F$20,I$22,$H601,$F$19)</f>
        <v>4126.88</v>
      </c>
      <c r="J601" s="36">
        <f>_xll.DBRW($E$12,$F$16,$F$17,$F$18,$E601,$F$20,J$22,$H601,$F$19)</f>
        <v>2</v>
      </c>
      <c r="K601" s="36">
        <f>_xll.DBRW($E$12,$F$16,$F$17,$F$18,$E601,$F$20,K$22,$H601,$F$19)</f>
        <v>0</v>
      </c>
      <c r="L601" s="36">
        <f>_xll.DBRW($E$12,$F$16,$F$17,$F$18,$E601,$F$20,L$22,$H601,$F$19)</f>
        <v>80.03</v>
      </c>
      <c r="M601" s="36">
        <f>_xll.DBRW($E$12,$F$16,$F$17,$F$18,$E601,$F$20,M$22,$H601,$F$19)</f>
        <v>6.39</v>
      </c>
      <c r="N601" s="36">
        <f>_xll.DBRW($E$12,$F$16,$F$17,$F$18,$E601,$F$20,N$22,$H601,$F$19)</f>
        <v>141.33000000000001</v>
      </c>
      <c r="O601" s="36">
        <f>_xll.DBRW($E$12,$F$16,$F$17,$F$18,$E601,$F$20,O$22,$H601,$F$19)</f>
        <v>0</v>
      </c>
      <c r="P601" s="36">
        <f>_xll.DBRW($E$12,$F$16,$F$17,$F$18,$E601,$F$20,P$22,$H601,$F$19)</f>
        <v>0</v>
      </c>
      <c r="Q601" s="36">
        <f>_xll.DBRW($E$12,$F$16,$F$17,$F$18,$E601,$F$20,Q$22,$H601,$F$19)</f>
        <v>0</v>
      </c>
      <c r="R601" s="36">
        <f>_xll.DBRW($E$12,$F$16,$F$17,$F$18,$E601,$F$20,R$22,$H601,$F$19)</f>
        <v>0</v>
      </c>
      <c r="S601" s="36">
        <f>_xll.DBRW($E$12,$F$16,$F$17,$F$18,$E601,$F$20,S$22,$H601,$F$19)</f>
        <v>0</v>
      </c>
      <c r="T601" s="36">
        <f>_xll.DBRW($E$12,$F$16,$F$17,$F$18,$E601,$F$20,T$22,$H601,$F$19)</f>
        <v>0</v>
      </c>
      <c r="U601" s="36">
        <f>_xll.DBRW($E$12,$F$16,$F$17,$F$18,$E601,$F$20,U$22,$H601,$F$19)</f>
        <v>4356.63</v>
      </c>
    </row>
    <row r="602" spans="4:21" s="37" customFormat="1" ht="15" outlineLevel="1" thickBot="1" x14ac:dyDescent="0.35">
      <c r="D602" s="33" t="str">
        <f>IF(_xll.TM1RPTELISCONSOLIDATED($H$34,$H602),IF(_xll.TM1RPTELLEV($H$34,$H602)&lt;=5,_xll.TM1RPTELLEV($H$34,$H602),"Default"),"Leaf")</f>
        <v>Leaf</v>
      </c>
      <c r="E602" s="42" t="s">
        <v>10</v>
      </c>
      <c r="F602" s="34" t="str">
        <f>_xll.DBR($B$18,$H602,"Account_Type")</f>
        <v>NON LABOR</v>
      </c>
      <c r="G602" s="34" t="str">
        <f>_xll.DBR($B$18,$H602,"Description")</f>
        <v>Certificates/Licenses/Permits</v>
      </c>
      <c r="H602" s="43" t="s">
        <v>18</v>
      </c>
      <c r="I602" s="36">
        <f>_xll.DBRW($E$12,$F$16,$F$17,$F$18,$E602,$F$20,I$22,$H602,$F$19)</f>
        <v>0</v>
      </c>
      <c r="J602" s="36">
        <f>_xll.DBRW($E$12,$F$16,$F$17,$F$18,$E602,$F$20,J$22,$H602,$F$19)</f>
        <v>0</v>
      </c>
      <c r="K602" s="36">
        <f>_xll.DBRW($E$12,$F$16,$F$17,$F$18,$E602,$F$20,K$22,$H602,$F$19)</f>
        <v>0</v>
      </c>
      <c r="L602" s="36">
        <f>_xll.DBRW($E$12,$F$16,$F$17,$F$18,$E602,$F$20,L$22,$H602,$F$19)</f>
        <v>0</v>
      </c>
      <c r="M602" s="36">
        <f>_xll.DBRW($E$12,$F$16,$F$17,$F$18,$E602,$F$20,M$22,$H602,$F$19)</f>
        <v>0</v>
      </c>
      <c r="N602" s="36">
        <f>_xll.DBRW($E$12,$F$16,$F$17,$F$18,$E602,$F$20,N$22,$H602,$F$19)</f>
        <v>285.5</v>
      </c>
      <c r="O602" s="36">
        <f>_xll.DBRW($E$12,$F$16,$F$17,$F$18,$E602,$F$20,O$22,$H602,$F$19)</f>
        <v>0</v>
      </c>
      <c r="P602" s="36">
        <f>_xll.DBRW($E$12,$F$16,$F$17,$F$18,$E602,$F$20,P$22,$H602,$F$19)</f>
        <v>0</v>
      </c>
      <c r="Q602" s="36">
        <f>_xll.DBRW($E$12,$F$16,$F$17,$F$18,$E602,$F$20,Q$22,$H602,$F$19)</f>
        <v>0</v>
      </c>
      <c r="R602" s="36">
        <f>_xll.DBRW($E$12,$F$16,$F$17,$F$18,$E602,$F$20,R$22,$H602,$F$19)</f>
        <v>0</v>
      </c>
      <c r="S602" s="36">
        <f>_xll.DBRW($E$12,$F$16,$F$17,$F$18,$E602,$F$20,S$22,$H602,$F$19)</f>
        <v>0</v>
      </c>
      <c r="T602" s="36">
        <f>_xll.DBRW($E$12,$F$16,$F$17,$F$18,$E602,$F$20,T$22,$H602,$F$19)</f>
        <v>0</v>
      </c>
      <c r="U602" s="36">
        <f>_xll.DBRW($E$12,$F$16,$F$17,$F$18,$E602,$F$20,U$22,$H602,$F$19)</f>
        <v>285.5</v>
      </c>
    </row>
    <row r="603" spans="4:21" s="37" customFormat="1" ht="15" outlineLevel="1" thickBot="1" x14ac:dyDescent="0.35">
      <c r="D603" s="33" t="str">
        <f>IF(_xll.TM1RPTELISCONSOLIDATED($H$34,$H603),IF(_xll.TM1RPTELLEV($H$34,$H603)&lt;=5,_xll.TM1RPTELLEV($H$34,$H603),"Default"),"Leaf")</f>
        <v>Leaf</v>
      </c>
      <c r="E603" s="42" t="s">
        <v>10</v>
      </c>
      <c r="F603" s="34" t="str">
        <f>_xll.DBR($B$18,$H603,"Account_Type")</f>
        <v>NON LABOR</v>
      </c>
      <c r="G603" s="34" t="str">
        <f>_xll.DBR($B$18,$H603,"Description")</f>
        <v>Temporary Service/Recruiting/Relocation</v>
      </c>
      <c r="H603" s="43" t="s">
        <v>19</v>
      </c>
      <c r="I603" s="36">
        <f>_xll.DBRW($E$12,$F$16,$F$17,$F$18,$E603,$F$20,I$22,$H603,$F$19)</f>
        <v>558.72</v>
      </c>
      <c r="J603" s="36">
        <f>_xll.DBRW($E$12,$F$16,$F$17,$F$18,$E603,$F$20,J$22,$H603,$F$19)</f>
        <v>136.09</v>
      </c>
      <c r="K603" s="36">
        <f>_xll.DBRW($E$12,$F$16,$F$17,$F$18,$E603,$F$20,K$22,$H603,$F$19)</f>
        <v>220.02</v>
      </c>
      <c r="L603" s="36">
        <f>_xll.DBRW($E$12,$F$16,$F$17,$F$18,$E603,$F$20,L$22,$H603,$F$19)</f>
        <v>0</v>
      </c>
      <c r="M603" s="36">
        <f>_xll.DBRW($E$12,$F$16,$F$17,$F$18,$E603,$F$20,M$22,$H603,$F$19)</f>
        <v>1085</v>
      </c>
      <c r="N603" s="36">
        <f>_xll.DBRW($E$12,$F$16,$F$17,$F$18,$E603,$F$20,N$22,$H603,$F$19)</f>
        <v>0</v>
      </c>
      <c r="O603" s="36">
        <f>_xll.DBRW($E$12,$F$16,$F$17,$F$18,$E603,$F$20,O$22,$H603,$F$19)</f>
        <v>0</v>
      </c>
      <c r="P603" s="36">
        <f>_xll.DBRW($E$12,$F$16,$F$17,$F$18,$E603,$F$20,P$22,$H603,$F$19)</f>
        <v>0</v>
      </c>
      <c r="Q603" s="36">
        <f>_xll.DBRW($E$12,$F$16,$F$17,$F$18,$E603,$F$20,Q$22,$H603,$F$19)</f>
        <v>0</v>
      </c>
      <c r="R603" s="36">
        <f>_xll.DBRW($E$12,$F$16,$F$17,$F$18,$E603,$F$20,R$22,$H603,$F$19)</f>
        <v>0</v>
      </c>
      <c r="S603" s="36">
        <f>_xll.DBRW($E$12,$F$16,$F$17,$F$18,$E603,$F$20,S$22,$H603,$F$19)</f>
        <v>0</v>
      </c>
      <c r="T603" s="36">
        <f>_xll.DBRW($E$12,$F$16,$F$17,$F$18,$E603,$F$20,T$22,$H603,$F$19)</f>
        <v>0</v>
      </c>
      <c r="U603" s="36">
        <f>_xll.DBRW($E$12,$F$16,$F$17,$F$18,$E603,$F$20,U$22,$H603,$F$19)</f>
        <v>1999.83</v>
      </c>
    </row>
    <row r="604" spans="4:21" s="37" customFormat="1" ht="15" outlineLevel="1" thickBot="1" x14ac:dyDescent="0.35">
      <c r="D604" s="33" t="str">
        <f>IF(_xll.TM1RPTELISCONSOLIDATED($H$34,$H604),IF(_xll.TM1RPTELLEV($H$34,$H604)&lt;=5,_xll.TM1RPTELLEV($H$34,$H604),"Default"),"Leaf")</f>
        <v>Leaf</v>
      </c>
      <c r="E604" s="42" t="s">
        <v>10</v>
      </c>
      <c r="F604" s="34" t="str">
        <f>_xll.DBR($B$18,$H604,"Account_Type")</f>
        <v>NON LABOR</v>
      </c>
      <c r="G604" s="34" t="str">
        <f>_xll.DBR($B$18,$H604,"Description")</f>
        <v>Office Rent</v>
      </c>
      <c r="H604" s="43" t="s">
        <v>20</v>
      </c>
      <c r="I604" s="36">
        <f>_xll.DBRW($E$12,$F$16,$F$17,$F$18,$E604,$F$20,I$22,$H604,$F$19)</f>
        <v>6186.69</v>
      </c>
      <c r="J604" s="36">
        <f>_xll.DBRW($E$12,$F$16,$F$17,$F$18,$E604,$F$20,J$22,$H604,$F$19)</f>
        <v>8202.59</v>
      </c>
      <c r="K604" s="36">
        <f>_xll.DBRW($E$12,$F$16,$F$17,$F$18,$E604,$F$20,K$22,$H604,$F$19)</f>
        <v>8898.8799999999992</v>
      </c>
      <c r="L604" s="36">
        <f>_xll.DBRW($E$12,$F$16,$F$17,$F$18,$E604,$F$20,L$22,$H604,$F$19)</f>
        <v>229.36</v>
      </c>
      <c r="M604" s="36">
        <f>_xll.DBRW($E$12,$F$16,$F$17,$F$18,$E604,$F$20,M$22,$H604,$F$19)</f>
        <v>8282.32</v>
      </c>
      <c r="N604" s="36">
        <f>_xll.DBRW($E$12,$F$16,$F$17,$F$18,$E604,$F$20,N$22,$H604,$F$19)</f>
        <v>554.37</v>
      </c>
      <c r="O604" s="36">
        <f>_xll.DBRW($E$12,$F$16,$F$17,$F$18,$E604,$F$20,O$22,$H604,$F$19)</f>
        <v>0</v>
      </c>
      <c r="P604" s="36">
        <f>_xll.DBRW($E$12,$F$16,$F$17,$F$18,$E604,$F$20,P$22,$H604,$F$19)</f>
        <v>0</v>
      </c>
      <c r="Q604" s="36">
        <f>_xll.DBRW($E$12,$F$16,$F$17,$F$18,$E604,$F$20,Q$22,$H604,$F$19)</f>
        <v>0</v>
      </c>
      <c r="R604" s="36">
        <f>_xll.DBRW($E$12,$F$16,$F$17,$F$18,$E604,$F$20,R$22,$H604,$F$19)</f>
        <v>0</v>
      </c>
      <c r="S604" s="36">
        <f>_xll.DBRW($E$12,$F$16,$F$17,$F$18,$E604,$F$20,S$22,$H604,$F$19)</f>
        <v>0</v>
      </c>
      <c r="T604" s="36">
        <f>_xll.DBRW($E$12,$F$16,$F$17,$F$18,$E604,$F$20,T$22,$H604,$F$19)</f>
        <v>0</v>
      </c>
      <c r="U604" s="36">
        <f>_xll.DBRW($E$12,$F$16,$F$17,$F$18,$E604,$F$20,U$22,$H604,$F$19)</f>
        <v>32354.209999999995</v>
      </c>
    </row>
    <row r="605" spans="4:21" s="37" customFormat="1" ht="15" outlineLevel="1" thickBot="1" x14ac:dyDescent="0.35">
      <c r="D605" s="33" t="str">
        <f>IF(_xll.TM1RPTELISCONSOLIDATED($H$34,$H605),IF(_xll.TM1RPTELLEV($H$34,$H605)&lt;=5,_xll.TM1RPTELLEV($H$34,$H605),"Default"),"Leaf")</f>
        <v>Leaf</v>
      </c>
      <c r="E605" s="42" t="s">
        <v>10</v>
      </c>
      <c r="F605" s="34" t="str">
        <f>_xll.DBR($B$18,$H605,"Account_Type")</f>
        <v>NON LABOR</v>
      </c>
      <c r="G605" s="34" t="str">
        <f>_xll.DBR($B$18,$H605,"Description")</f>
        <v>Utilities</v>
      </c>
      <c r="H605" s="43" t="s">
        <v>21</v>
      </c>
      <c r="I605" s="36">
        <f>_xll.DBRW($E$12,$F$16,$F$17,$F$18,$E605,$F$20,I$22,$H605,$F$19)</f>
        <v>5.34</v>
      </c>
      <c r="J605" s="36">
        <f>_xll.DBRW($E$12,$F$16,$F$17,$F$18,$E605,$F$20,J$22,$H605,$F$19)</f>
        <v>43.84</v>
      </c>
      <c r="K605" s="36">
        <f>_xll.DBRW($E$12,$F$16,$F$17,$F$18,$E605,$F$20,K$22,$H605,$F$19)</f>
        <v>82.34</v>
      </c>
      <c r="L605" s="36">
        <f>_xll.DBRW($E$12,$F$16,$F$17,$F$18,$E605,$F$20,L$22,$H605,$F$19)</f>
        <v>30.64</v>
      </c>
      <c r="M605" s="36">
        <f>_xll.DBRW($E$12,$F$16,$F$17,$F$18,$E605,$F$20,M$22,$H605,$F$19)</f>
        <v>30.64</v>
      </c>
      <c r="N605" s="36">
        <f>_xll.DBRW($E$12,$F$16,$F$17,$F$18,$E605,$F$20,N$22,$H605,$F$19)</f>
        <v>5.34</v>
      </c>
      <c r="O605" s="36">
        <f>_xll.DBRW($E$12,$F$16,$F$17,$F$18,$E605,$F$20,O$22,$H605,$F$19)</f>
        <v>0</v>
      </c>
      <c r="P605" s="36">
        <f>_xll.DBRW($E$12,$F$16,$F$17,$F$18,$E605,$F$20,P$22,$H605,$F$19)</f>
        <v>0</v>
      </c>
      <c r="Q605" s="36">
        <f>_xll.DBRW($E$12,$F$16,$F$17,$F$18,$E605,$F$20,Q$22,$H605,$F$19)</f>
        <v>0</v>
      </c>
      <c r="R605" s="36">
        <f>_xll.DBRW($E$12,$F$16,$F$17,$F$18,$E605,$F$20,R$22,$H605,$F$19)</f>
        <v>0</v>
      </c>
      <c r="S605" s="36">
        <f>_xll.DBRW($E$12,$F$16,$F$17,$F$18,$E605,$F$20,S$22,$H605,$F$19)</f>
        <v>0</v>
      </c>
      <c r="T605" s="36">
        <f>_xll.DBRW($E$12,$F$16,$F$17,$F$18,$E605,$F$20,T$22,$H605,$F$19)</f>
        <v>0</v>
      </c>
      <c r="U605" s="36">
        <f>_xll.DBRW($E$12,$F$16,$F$17,$F$18,$E605,$F$20,U$22,$H605,$F$19)</f>
        <v>198.14000000000001</v>
      </c>
    </row>
    <row r="606" spans="4:21" s="37" customFormat="1" ht="15" outlineLevel="1" thickBot="1" x14ac:dyDescent="0.35">
      <c r="D606" s="33" t="str">
        <f>IF(_xll.TM1RPTELISCONSOLIDATED($H$34,$H606),IF(_xll.TM1RPTELLEV($H$34,$H606)&lt;=5,_xll.TM1RPTELLEV($H$34,$H606),"Default"),"Leaf")</f>
        <v>Leaf</v>
      </c>
      <c r="E606" s="42" t="s">
        <v>10</v>
      </c>
      <c r="F606" s="34" t="str">
        <f>_xll.DBR($B$18,$H606,"Account_Type")</f>
        <v>NON LABOR</v>
      </c>
      <c r="G606" s="34" t="str">
        <f>_xll.DBR($B$18,$H606,"Description")</f>
        <v>Security / Janitorial Charges</v>
      </c>
      <c r="H606" s="43" t="s">
        <v>22</v>
      </c>
      <c r="I606" s="36">
        <f>_xll.DBRW($E$12,$F$16,$F$17,$F$18,$E606,$F$20,I$22,$H606,$F$19)</f>
        <v>19</v>
      </c>
      <c r="J606" s="36">
        <f>_xll.DBRW($E$12,$F$16,$F$17,$F$18,$E606,$F$20,J$22,$H606,$F$19)</f>
        <v>19</v>
      </c>
      <c r="K606" s="36">
        <f>_xll.DBRW($E$12,$F$16,$F$17,$F$18,$E606,$F$20,K$22,$H606,$F$19)</f>
        <v>23.75</v>
      </c>
      <c r="L606" s="36">
        <f>_xll.DBRW($E$12,$F$16,$F$17,$F$18,$E606,$F$20,L$22,$H606,$F$19)</f>
        <v>23.75</v>
      </c>
      <c r="M606" s="36">
        <f>_xll.DBRW($E$12,$F$16,$F$17,$F$18,$E606,$F$20,M$22,$H606,$F$19)</f>
        <v>0</v>
      </c>
      <c r="N606" s="36">
        <f>_xll.DBRW($E$12,$F$16,$F$17,$F$18,$E606,$F$20,N$22,$H606,$F$19)</f>
        <v>23.75</v>
      </c>
      <c r="O606" s="36">
        <f>_xll.DBRW($E$12,$F$16,$F$17,$F$18,$E606,$F$20,O$22,$H606,$F$19)</f>
        <v>0</v>
      </c>
      <c r="P606" s="36">
        <f>_xll.DBRW($E$12,$F$16,$F$17,$F$18,$E606,$F$20,P$22,$H606,$F$19)</f>
        <v>0</v>
      </c>
      <c r="Q606" s="36">
        <f>_xll.DBRW($E$12,$F$16,$F$17,$F$18,$E606,$F$20,Q$22,$H606,$F$19)</f>
        <v>0</v>
      </c>
      <c r="R606" s="36">
        <f>_xll.DBRW($E$12,$F$16,$F$17,$F$18,$E606,$F$20,R$22,$H606,$F$19)</f>
        <v>0</v>
      </c>
      <c r="S606" s="36">
        <f>_xll.DBRW($E$12,$F$16,$F$17,$F$18,$E606,$F$20,S$22,$H606,$F$19)</f>
        <v>0</v>
      </c>
      <c r="T606" s="36">
        <f>_xll.DBRW($E$12,$F$16,$F$17,$F$18,$E606,$F$20,T$22,$H606,$F$19)</f>
        <v>0</v>
      </c>
      <c r="U606" s="36">
        <f>_xll.DBRW($E$12,$F$16,$F$17,$F$18,$E606,$F$20,U$22,$H606,$F$19)</f>
        <v>109.25</v>
      </c>
    </row>
    <row r="607" spans="4:21" s="37" customFormat="1" ht="15" outlineLevel="1" thickBot="1" x14ac:dyDescent="0.35">
      <c r="D607" s="33" t="str">
        <f>IF(_xll.TM1RPTELISCONSOLIDATED($H$34,$H607),IF(_xll.TM1RPTELLEV($H$34,$H607)&lt;=5,_xll.TM1RPTELLEV($H$34,$H607),"Default"),"Leaf")</f>
        <v>Leaf</v>
      </c>
      <c r="E607" s="42" t="s">
        <v>10</v>
      </c>
      <c r="F607" s="34" t="str">
        <f>_xll.DBR($B$18,$H607,"Account_Type")</f>
        <v>NON LABOR</v>
      </c>
      <c r="G607" s="34" t="str">
        <f>_xll.DBR($B$18,$H607,"Description")</f>
        <v>Professional Services / Consultants</v>
      </c>
      <c r="H607" s="43" t="s">
        <v>23</v>
      </c>
      <c r="I607" s="36">
        <f>_xll.DBRW($E$12,$F$16,$F$17,$F$18,$E607,$F$20,I$22,$H607,$F$19)</f>
        <v>0</v>
      </c>
      <c r="J607" s="36">
        <f>_xll.DBRW($E$12,$F$16,$F$17,$F$18,$E607,$F$20,J$22,$H607,$F$19)</f>
        <v>108585</v>
      </c>
      <c r="K607" s="36">
        <f>_xll.DBRW($E$12,$F$16,$F$17,$F$18,$E607,$F$20,K$22,$H607,$F$19)</f>
        <v>59975</v>
      </c>
      <c r="L607" s="36">
        <f>_xll.DBRW($E$12,$F$16,$F$17,$F$18,$E607,$F$20,L$22,$H607,$F$19)</f>
        <v>90226.2</v>
      </c>
      <c r="M607" s="36">
        <f>_xll.DBRW($E$12,$F$16,$F$17,$F$18,$E607,$F$20,M$22,$H607,$F$19)</f>
        <v>102041.8</v>
      </c>
      <c r="N607" s="36">
        <f>_xll.DBRW($E$12,$F$16,$F$17,$F$18,$E607,$F$20,N$22,$H607,$F$19)</f>
        <v>32745</v>
      </c>
      <c r="O607" s="36">
        <f>_xll.DBRW($E$12,$F$16,$F$17,$F$18,$E607,$F$20,O$22,$H607,$F$19)</f>
        <v>-134786.79999999999</v>
      </c>
      <c r="P607" s="36">
        <f>_xll.DBRW($E$12,$F$16,$F$17,$F$18,$E607,$F$20,P$22,$H607,$F$19)</f>
        <v>0</v>
      </c>
      <c r="Q607" s="36">
        <f>_xll.DBRW($E$12,$F$16,$F$17,$F$18,$E607,$F$20,Q$22,$H607,$F$19)</f>
        <v>0</v>
      </c>
      <c r="R607" s="36">
        <f>_xll.DBRW($E$12,$F$16,$F$17,$F$18,$E607,$F$20,R$22,$H607,$F$19)</f>
        <v>0</v>
      </c>
      <c r="S607" s="36">
        <f>_xll.DBRW($E$12,$F$16,$F$17,$F$18,$E607,$F$20,S$22,$H607,$F$19)</f>
        <v>0</v>
      </c>
      <c r="T607" s="36">
        <f>_xll.DBRW($E$12,$F$16,$F$17,$F$18,$E607,$F$20,T$22,$H607,$F$19)</f>
        <v>0</v>
      </c>
      <c r="U607" s="36">
        <f>_xll.DBRW($E$12,$F$16,$F$17,$F$18,$E607,$F$20,U$22,$H607,$F$19)</f>
        <v>258786.2</v>
      </c>
    </row>
    <row r="608" spans="4:21" s="37" customFormat="1" ht="15" outlineLevel="1" thickBot="1" x14ac:dyDescent="0.35">
      <c r="D608" s="33" t="str">
        <f>IF(_xll.TM1RPTELISCONSOLIDATED($H$34,$H608),IF(_xll.TM1RPTELLEV($H$34,$H608)&lt;=5,_xll.TM1RPTELLEV($H$34,$H608),"Default"),"Leaf")</f>
        <v>Leaf</v>
      </c>
      <c r="E608" s="42" t="s">
        <v>10</v>
      </c>
      <c r="F608" s="34" t="str">
        <f>_xll.DBR($B$18,$H608,"Account_Type")</f>
        <v>NON LABOR</v>
      </c>
      <c r="G608" s="34" t="str">
        <f>_xll.DBR($B$18,$H608,"Description")</f>
        <v>Professional Services / Consultants</v>
      </c>
      <c r="H608" s="43" t="s">
        <v>24</v>
      </c>
      <c r="I608" s="36">
        <f>_xll.DBRW($E$12,$F$16,$F$17,$F$18,$E608,$F$20,I$22,$H608,$F$19)</f>
        <v>88741</v>
      </c>
      <c r="J608" s="36">
        <f>_xll.DBRW($E$12,$F$16,$F$17,$F$18,$E608,$F$20,J$22,$H608,$F$19)</f>
        <v>5000</v>
      </c>
      <c r="K608" s="36">
        <f>_xll.DBRW($E$12,$F$16,$F$17,$F$18,$E608,$F$20,K$22,$H608,$F$19)</f>
        <v>0</v>
      </c>
      <c r="L608" s="36">
        <f>_xll.DBRW($E$12,$F$16,$F$17,$F$18,$E608,$F$20,L$22,$H608,$F$19)</f>
        <v>0</v>
      </c>
      <c r="M608" s="36">
        <f>_xll.DBRW($E$12,$F$16,$F$17,$F$18,$E608,$F$20,M$22,$H608,$F$19)</f>
        <v>0</v>
      </c>
      <c r="N608" s="36">
        <f>_xll.DBRW($E$12,$F$16,$F$17,$F$18,$E608,$F$20,N$22,$H608,$F$19)</f>
        <v>0</v>
      </c>
      <c r="O608" s="36">
        <f>_xll.DBRW($E$12,$F$16,$F$17,$F$18,$E608,$F$20,O$22,$H608,$F$19)</f>
        <v>0</v>
      </c>
      <c r="P608" s="36">
        <f>_xll.DBRW($E$12,$F$16,$F$17,$F$18,$E608,$F$20,P$22,$H608,$F$19)</f>
        <v>0</v>
      </c>
      <c r="Q608" s="36">
        <f>_xll.DBRW($E$12,$F$16,$F$17,$F$18,$E608,$F$20,Q$22,$H608,$F$19)</f>
        <v>0</v>
      </c>
      <c r="R608" s="36">
        <f>_xll.DBRW($E$12,$F$16,$F$17,$F$18,$E608,$F$20,R$22,$H608,$F$19)</f>
        <v>0</v>
      </c>
      <c r="S608" s="36">
        <f>_xll.DBRW($E$12,$F$16,$F$17,$F$18,$E608,$F$20,S$22,$H608,$F$19)</f>
        <v>0</v>
      </c>
      <c r="T608" s="36">
        <f>_xll.DBRW($E$12,$F$16,$F$17,$F$18,$E608,$F$20,T$22,$H608,$F$19)</f>
        <v>0</v>
      </c>
      <c r="U608" s="36">
        <f>_xll.DBRW($E$12,$F$16,$F$17,$F$18,$E608,$F$20,U$22,$H608,$F$19)</f>
        <v>93741</v>
      </c>
    </row>
    <row r="609" spans="4:21" s="37" customFormat="1" ht="15" outlineLevel="1" thickBot="1" x14ac:dyDescent="0.35">
      <c r="D609" s="33" t="str">
        <f>IF(_xll.TM1RPTELISCONSOLIDATED($H$34,$H609),IF(_xll.TM1RPTELLEV($H$34,$H609)&lt;=5,_xll.TM1RPTELLEV($H$34,$H609),"Default"),"Leaf")</f>
        <v>Leaf</v>
      </c>
      <c r="E609" s="42" t="s">
        <v>10</v>
      </c>
      <c r="F609" s="34" t="str">
        <f>_xll.DBR($B$18,$H609,"Account_Type")</f>
        <v>NON LABOR</v>
      </c>
      <c r="G609" s="34" t="str">
        <f>_xll.DBR($B$18,$H609,"Description")</f>
        <v>Professional Services / Consultants</v>
      </c>
      <c r="H609" s="43" t="s">
        <v>706</v>
      </c>
      <c r="I609" s="36">
        <f>_xll.DBRW($E$12,$F$16,$F$17,$F$18,$E609,$F$20,I$22,$H609,$F$19)</f>
        <v>0</v>
      </c>
      <c r="J609" s="36">
        <f>_xll.DBRW($E$12,$F$16,$F$17,$F$18,$E609,$F$20,J$22,$H609,$F$19)</f>
        <v>-2334.7800000000002</v>
      </c>
      <c r="K609" s="36">
        <f>_xll.DBRW($E$12,$F$16,$F$17,$F$18,$E609,$F$20,K$22,$H609,$F$19)</f>
        <v>2334.7800000000002</v>
      </c>
      <c r="L609" s="36">
        <f>_xll.DBRW($E$12,$F$16,$F$17,$F$18,$E609,$F$20,L$22,$H609,$F$19)</f>
        <v>0</v>
      </c>
      <c r="M609" s="36">
        <f>_xll.DBRW($E$12,$F$16,$F$17,$F$18,$E609,$F$20,M$22,$H609,$F$19)</f>
        <v>0</v>
      </c>
      <c r="N609" s="36">
        <f>_xll.DBRW($E$12,$F$16,$F$17,$F$18,$E609,$F$20,N$22,$H609,$F$19)</f>
        <v>0</v>
      </c>
      <c r="O609" s="36">
        <f>_xll.DBRW($E$12,$F$16,$F$17,$F$18,$E609,$F$20,O$22,$H609,$F$19)</f>
        <v>0</v>
      </c>
      <c r="P609" s="36">
        <f>_xll.DBRW($E$12,$F$16,$F$17,$F$18,$E609,$F$20,P$22,$H609,$F$19)</f>
        <v>0</v>
      </c>
      <c r="Q609" s="36">
        <f>_xll.DBRW($E$12,$F$16,$F$17,$F$18,$E609,$F$20,Q$22,$H609,$F$19)</f>
        <v>0</v>
      </c>
      <c r="R609" s="36">
        <f>_xll.DBRW($E$12,$F$16,$F$17,$F$18,$E609,$F$20,R$22,$H609,$F$19)</f>
        <v>0</v>
      </c>
      <c r="S609" s="36">
        <f>_xll.DBRW($E$12,$F$16,$F$17,$F$18,$E609,$F$20,S$22,$H609,$F$19)</f>
        <v>0</v>
      </c>
      <c r="T609" s="36">
        <f>_xll.DBRW($E$12,$F$16,$F$17,$F$18,$E609,$F$20,T$22,$H609,$F$19)</f>
        <v>0</v>
      </c>
      <c r="U609" s="36">
        <f>_xll.DBRW($E$12,$F$16,$F$17,$F$18,$E609,$F$20,U$22,$H609,$F$19)</f>
        <v>0</v>
      </c>
    </row>
    <row r="610" spans="4:21" s="37" customFormat="1" ht="15" outlineLevel="1" thickBot="1" x14ac:dyDescent="0.35">
      <c r="D610" s="33" t="str">
        <f>IF(_xll.TM1RPTELISCONSOLIDATED($H$34,$H610),IF(_xll.TM1RPTELLEV($H$34,$H610)&lt;=5,_xll.TM1RPTELLEV($H$34,$H610),"Default"),"Leaf")</f>
        <v>Leaf</v>
      </c>
      <c r="E610" s="42" t="s">
        <v>10</v>
      </c>
      <c r="F610" s="34" t="str">
        <f>_xll.DBR($B$18,$H610,"Account_Type")</f>
        <v>NON LABOR</v>
      </c>
      <c r="G610" s="34" t="str">
        <f>_xll.DBR($B$18,$H610,"Description")</f>
        <v>Legal Fees</v>
      </c>
      <c r="H610" s="43" t="s">
        <v>25</v>
      </c>
      <c r="I610" s="36">
        <f>_xll.DBRW($E$12,$F$16,$F$17,$F$18,$E610,$F$20,I$22,$H610,$F$19)</f>
        <v>3445</v>
      </c>
      <c r="J610" s="36">
        <f>_xll.DBRW($E$12,$F$16,$F$17,$F$18,$E610,$F$20,J$22,$H610,$F$19)</f>
        <v>810</v>
      </c>
      <c r="K610" s="36">
        <f>_xll.DBRW($E$12,$F$16,$F$17,$F$18,$E610,$F$20,K$22,$H610,$F$19)</f>
        <v>0</v>
      </c>
      <c r="L610" s="36">
        <f>_xll.DBRW($E$12,$F$16,$F$17,$F$18,$E610,$F$20,L$22,$H610,$F$19)</f>
        <v>0</v>
      </c>
      <c r="M610" s="36">
        <f>_xll.DBRW($E$12,$F$16,$F$17,$F$18,$E610,$F$20,M$22,$H610,$F$19)</f>
        <v>0</v>
      </c>
      <c r="N610" s="36">
        <f>_xll.DBRW($E$12,$F$16,$F$17,$F$18,$E610,$F$20,N$22,$H610,$F$19)</f>
        <v>0</v>
      </c>
      <c r="O610" s="36">
        <f>_xll.DBRW($E$12,$F$16,$F$17,$F$18,$E610,$F$20,O$22,$H610,$F$19)</f>
        <v>0</v>
      </c>
      <c r="P610" s="36">
        <f>_xll.DBRW($E$12,$F$16,$F$17,$F$18,$E610,$F$20,P$22,$H610,$F$19)</f>
        <v>0</v>
      </c>
      <c r="Q610" s="36">
        <f>_xll.DBRW($E$12,$F$16,$F$17,$F$18,$E610,$F$20,Q$22,$H610,$F$19)</f>
        <v>0</v>
      </c>
      <c r="R610" s="36">
        <f>_xll.DBRW($E$12,$F$16,$F$17,$F$18,$E610,$F$20,R$22,$H610,$F$19)</f>
        <v>0</v>
      </c>
      <c r="S610" s="36">
        <f>_xll.DBRW($E$12,$F$16,$F$17,$F$18,$E610,$F$20,S$22,$H610,$F$19)</f>
        <v>0</v>
      </c>
      <c r="T610" s="36">
        <f>_xll.DBRW($E$12,$F$16,$F$17,$F$18,$E610,$F$20,T$22,$H610,$F$19)</f>
        <v>0</v>
      </c>
      <c r="U610" s="36">
        <f>_xll.DBRW($E$12,$F$16,$F$17,$F$18,$E610,$F$20,U$22,$H610,$F$19)</f>
        <v>4255</v>
      </c>
    </row>
    <row r="611" spans="4:21" s="37" customFormat="1" ht="15" outlineLevel="1" thickBot="1" x14ac:dyDescent="0.35">
      <c r="D611" s="33" t="str">
        <f>IF(_xll.TM1RPTELISCONSOLIDATED($H$34,$H611),IF(_xll.TM1RPTELLEV($H$34,$H611)&lt;=5,_xll.TM1RPTELLEV($H$34,$H611),"Default"),"Leaf")</f>
        <v>Leaf</v>
      </c>
      <c r="E611" s="42" t="s">
        <v>10</v>
      </c>
      <c r="F611" s="34" t="str">
        <f>_xll.DBR($B$18,$H611,"Account_Type")</f>
        <v>NON LABOR</v>
      </c>
      <c r="G611" s="34" t="str">
        <f>_xll.DBR($B$18,$H611,"Description")</f>
        <v>Employee Morale &amp; Welfare</v>
      </c>
      <c r="H611" s="43" t="s">
        <v>26</v>
      </c>
      <c r="I611" s="36">
        <f>_xll.DBRW($E$12,$F$16,$F$17,$F$18,$E611,$F$20,I$22,$H611,$F$19)</f>
        <v>50</v>
      </c>
      <c r="J611" s="36">
        <f>_xll.DBRW($E$12,$F$16,$F$17,$F$18,$E611,$F$20,J$22,$H611,$F$19)</f>
        <v>0</v>
      </c>
      <c r="K611" s="36">
        <f>_xll.DBRW($E$12,$F$16,$F$17,$F$18,$E611,$F$20,K$22,$H611,$F$19)</f>
        <v>0</v>
      </c>
      <c r="L611" s="36">
        <f>_xll.DBRW($E$12,$F$16,$F$17,$F$18,$E611,$F$20,L$22,$H611,$F$19)</f>
        <v>0</v>
      </c>
      <c r="M611" s="36">
        <f>_xll.DBRW($E$12,$F$16,$F$17,$F$18,$E611,$F$20,M$22,$H611,$F$19)</f>
        <v>0</v>
      </c>
      <c r="N611" s="36">
        <f>_xll.DBRW($E$12,$F$16,$F$17,$F$18,$E611,$F$20,N$22,$H611,$F$19)</f>
        <v>0</v>
      </c>
      <c r="O611" s="36">
        <f>_xll.DBRW($E$12,$F$16,$F$17,$F$18,$E611,$F$20,O$22,$H611,$F$19)</f>
        <v>0</v>
      </c>
      <c r="P611" s="36">
        <f>_xll.DBRW($E$12,$F$16,$F$17,$F$18,$E611,$F$20,P$22,$H611,$F$19)</f>
        <v>0</v>
      </c>
      <c r="Q611" s="36">
        <f>_xll.DBRW($E$12,$F$16,$F$17,$F$18,$E611,$F$20,Q$22,$H611,$F$19)</f>
        <v>0</v>
      </c>
      <c r="R611" s="36">
        <f>_xll.DBRW($E$12,$F$16,$F$17,$F$18,$E611,$F$20,R$22,$H611,$F$19)</f>
        <v>0</v>
      </c>
      <c r="S611" s="36">
        <f>_xll.DBRW($E$12,$F$16,$F$17,$F$18,$E611,$F$20,S$22,$H611,$F$19)</f>
        <v>0</v>
      </c>
      <c r="T611" s="36">
        <f>_xll.DBRW($E$12,$F$16,$F$17,$F$18,$E611,$F$20,T$22,$H611,$F$19)</f>
        <v>0</v>
      </c>
      <c r="U611" s="36">
        <f>_xll.DBRW($E$12,$F$16,$F$17,$F$18,$E611,$F$20,U$22,$H611,$F$19)</f>
        <v>50</v>
      </c>
    </row>
    <row r="612" spans="4:21" s="37" customFormat="1" ht="15" outlineLevel="1" thickBot="1" x14ac:dyDescent="0.35">
      <c r="D612" s="33" t="str">
        <f>IF(_xll.TM1RPTELISCONSOLIDATED($H$34,$H612),IF(_xll.TM1RPTELLEV($H$34,$H612)&lt;=5,_xll.TM1RPTELLEV($H$34,$H612),"Default"),"Leaf")</f>
        <v>Leaf</v>
      </c>
      <c r="E612" s="42" t="s">
        <v>10</v>
      </c>
      <c r="F612" s="34" t="str">
        <f>_xll.DBR($B$18,$H612,"Account_Type")</f>
        <v>NON LABOR</v>
      </c>
      <c r="G612" s="34" t="str">
        <f>_xll.DBR($B$18,$H612,"Description")</f>
        <v>Employee Leased Vehicles</v>
      </c>
      <c r="H612" s="43" t="s">
        <v>27</v>
      </c>
      <c r="I612" s="36">
        <f>_xll.DBRW($E$12,$F$16,$F$17,$F$18,$E612,$F$20,I$22,$H612,$F$19)</f>
        <v>4350</v>
      </c>
      <c r="J612" s="36">
        <f>_xll.DBRW($E$12,$F$16,$F$17,$F$18,$E612,$F$20,J$22,$H612,$F$19)</f>
        <v>4350</v>
      </c>
      <c r="K612" s="36">
        <f>_xll.DBRW($E$12,$F$16,$F$17,$F$18,$E612,$F$20,K$22,$H612,$F$19)</f>
        <v>4350</v>
      </c>
      <c r="L612" s="36">
        <f>_xll.DBRW($E$12,$F$16,$F$17,$F$18,$E612,$F$20,L$22,$H612,$F$19)</f>
        <v>4350</v>
      </c>
      <c r="M612" s="36">
        <f>_xll.DBRW($E$12,$F$16,$F$17,$F$18,$E612,$F$20,M$22,$H612,$F$19)</f>
        <v>6050</v>
      </c>
      <c r="N612" s="36">
        <f>_xll.DBRW($E$12,$F$16,$F$17,$F$18,$E612,$F$20,N$22,$H612,$F$19)</f>
        <v>2650</v>
      </c>
      <c r="O612" s="36">
        <f>_xll.DBRW($E$12,$F$16,$F$17,$F$18,$E612,$F$20,O$22,$H612,$F$19)</f>
        <v>2650</v>
      </c>
      <c r="P612" s="36">
        <f>_xll.DBRW($E$12,$F$16,$F$17,$F$18,$E612,$F$20,P$22,$H612,$F$19)</f>
        <v>0</v>
      </c>
      <c r="Q612" s="36">
        <f>_xll.DBRW($E$12,$F$16,$F$17,$F$18,$E612,$F$20,Q$22,$H612,$F$19)</f>
        <v>0</v>
      </c>
      <c r="R612" s="36">
        <f>_xll.DBRW($E$12,$F$16,$F$17,$F$18,$E612,$F$20,R$22,$H612,$F$19)</f>
        <v>0</v>
      </c>
      <c r="S612" s="36">
        <f>_xll.DBRW($E$12,$F$16,$F$17,$F$18,$E612,$F$20,S$22,$H612,$F$19)</f>
        <v>0</v>
      </c>
      <c r="T612" s="36">
        <f>_xll.DBRW($E$12,$F$16,$F$17,$F$18,$E612,$F$20,T$22,$H612,$F$19)</f>
        <v>0</v>
      </c>
      <c r="U612" s="36">
        <f>_xll.DBRW($E$12,$F$16,$F$17,$F$18,$E612,$F$20,U$22,$H612,$F$19)</f>
        <v>28750</v>
      </c>
    </row>
    <row r="613" spans="4:21" s="37" customFormat="1" ht="15" outlineLevel="1" thickBot="1" x14ac:dyDescent="0.35">
      <c r="D613" s="33" t="str">
        <f>IF(_xll.TM1RPTELISCONSOLIDATED($H$34,$H613),IF(_xll.TM1RPTELLEV($H$34,$H613)&lt;=5,_xll.TM1RPTELLEV($H$34,$H613),"Default"),"Leaf")</f>
        <v>Leaf</v>
      </c>
      <c r="E613" s="42" t="s">
        <v>10</v>
      </c>
      <c r="F613" s="34" t="str">
        <f>_xll.DBR($B$18,$H613,"Account_Type")</f>
        <v>NON LABOR</v>
      </c>
      <c r="G613" s="34" t="str">
        <f>_xll.DBR($B$18,$H613,"Description")</f>
        <v>Fuel Purchases to Leased Vehicles</v>
      </c>
      <c r="H613" s="43" t="s">
        <v>28</v>
      </c>
      <c r="I613" s="36">
        <f>_xll.DBRW($E$12,$F$16,$F$17,$F$18,$E613,$F$20,I$22,$H613,$F$19)</f>
        <v>0</v>
      </c>
      <c r="J613" s="36">
        <f>_xll.DBRW($E$12,$F$16,$F$17,$F$18,$E613,$F$20,J$22,$H613,$F$19)</f>
        <v>111.14</v>
      </c>
      <c r="K613" s="36">
        <f>_xll.DBRW($E$12,$F$16,$F$17,$F$18,$E613,$F$20,K$22,$H613,$F$19)</f>
        <v>0</v>
      </c>
      <c r="L613" s="36">
        <f>_xll.DBRW($E$12,$F$16,$F$17,$F$18,$E613,$F$20,L$22,$H613,$F$19)</f>
        <v>238.38</v>
      </c>
      <c r="M613" s="36">
        <f>_xll.DBRW($E$12,$F$16,$F$17,$F$18,$E613,$F$20,M$22,$H613,$F$19)</f>
        <v>0</v>
      </c>
      <c r="N613" s="36">
        <f>_xll.DBRW($E$12,$F$16,$F$17,$F$18,$E613,$F$20,N$22,$H613,$F$19)</f>
        <v>0</v>
      </c>
      <c r="O613" s="36">
        <f>_xll.DBRW($E$12,$F$16,$F$17,$F$18,$E613,$F$20,O$22,$H613,$F$19)</f>
        <v>0</v>
      </c>
      <c r="P613" s="36">
        <f>_xll.DBRW($E$12,$F$16,$F$17,$F$18,$E613,$F$20,P$22,$H613,$F$19)</f>
        <v>0</v>
      </c>
      <c r="Q613" s="36">
        <f>_xll.DBRW($E$12,$F$16,$F$17,$F$18,$E613,$F$20,Q$22,$H613,$F$19)</f>
        <v>0</v>
      </c>
      <c r="R613" s="36">
        <f>_xll.DBRW($E$12,$F$16,$F$17,$F$18,$E613,$F$20,R$22,$H613,$F$19)</f>
        <v>0</v>
      </c>
      <c r="S613" s="36">
        <f>_xll.DBRW($E$12,$F$16,$F$17,$F$18,$E613,$F$20,S$22,$H613,$F$19)</f>
        <v>0</v>
      </c>
      <c r="T613" s="36">
        <f>_xll.DBRW($E$12,$F$16,$F$17,$F$18,$E613,$F$20,T$22,$H613,$F$19)</f>
        <v>0</v>
      </c>
      <c r="U613" s="36">
        <f>_xll.DBRW($E$12,$F$16,$F$17,$F$18,$E613,$F$20,U$22,$H613,$F$19)</f>
        <v>349.52</v>
      </c>
    </row>
    <row r="614" spans="4:21" s="37" customFormat="1" ht="15" outlineLevel="1" thickBot="1" x14ac:dyDescent="0.35">
      <c r="D614" s="33" t="str">
        <f>IF(_xll.TM1RPTELISCONSOLIDATED($H$34,$H614),IF(_xll.TM1RPTELLEV($H$34,$H614)&lt;=5,_xll.TM1RPTELLEV($H$34,$H614),"Default"),"Leaf")</f>
        <v>Leaf</v>
      </c>
      <c r="E614" s="42" t="s">
        <v>10</v>
      </c>
      <c r="F614" s="34" t="str">
        <f>_xll.DBR($B$18,$H614,"Account_Type")</f>
        <v>NON LABOR</v>
      </c>
      <c r="G614" s="34" t="str">
        <f>_xll.DBR($B$18,$H614,"Description")</f>
        <v>Fuel to Company Owned Equipment</v>
      </c>
      <c r="H614" s="43" t="s">
        <v>29</v>
      </c>
      <c r="I614" s="36">
        <f>_xll.DBRW($E$12,$F$16,$F$17,$F$18,$E614,$F$20,I$22,$H614,$F$19)</f>
        <v>83.8</v>
      </c>
      <c r="J614" s="36">
        <f>_xll.DBRW($E$12,$F$16,$F$17,$F$18,$E614,$F$20,J$22,$H614,$F$19)</f>
        <v>150.54</v>
      </c>
      <c r="K614" s="36">
        <f>_xll.DBRW($E$12,$F$16,$F$17,$F$18,$E614,$F$20,K$22,$H614,$F$19)</f>
        <v>71.37</v>
      </c>
      <c r="L614" s="36">
        <f>_xll.DBRW($E$12,$F$16,$F$17,$F$18,$E614,$F$20,L$22,$H614,$F$19)</f>
        <v>120.68</v>
      </c>
      <c r="M614" s="36">
        <f>_xll.DBRW($E$12,$F$16,$F$17,$F$18,$E614,$F$20,M$22,$H614,$F$19)</f>
        <v>127.01</v>
      </c>
      <c r="N614" s="36">
        <f>_xll.DBRW($E$12,$F$16,$F$17,$F$18,$E614,$F$20,N$22,$H614,$F$19)</f>
        <v>0</v>
      </c>
      <c r="O614" s="36">
        <f>_xll.DBRW($E$12,$F$16,$F$17,$F$18,$E614,$F$20,O$22,$H614,$F$19)</f>
        <v>0</v>
      </c>
      <c r="P614" s="36">
        <f>_xll.DBRW($E$12,$F$16,$F$17,$F$18,$E614,$F$20,P$22,$H614,$F$19)</f>
        <v>0</v>
      </c>
      <c r="Q614" s="36">
        <f>_xll.DBRW($E$12,$F$16,$F$17,$F$18,$E614,$F$20,Q$22,$H614,$F$19)</f>
        <v>0</v>
      </c>
      <c r="R614" s="36">
        <f>_xll.DBRW($E$12,$F$16,$F$17,$F$18,$E614,$F$20,R$22,$H614,$F$19)</f>
        <v>0</v>
      </c>
      <c r="S614" s="36">
        <f>_xll.DBRW($E$12,$F$16,$F$17,$F$18,$E614,$F$20,S$22,$H614,$F$19)</f>
        <v>0</v>
      </c>
      <c r="T614" s="36">
        <f>_xll.DBRW($E$12,$F$16,$F$17,$F$18,$E614,$F$20,T$22,$H614,$F$19)</f>
        <v>0</v>
      </c>
      <c r="U614" s="36">
        <f>_xll.DBRW($E$12,$F$16,$F$17,$F$18,$E614,$F$20,U$22,$H614,$F$19)</f>
        <v>553.4</v>
      </c>
    </row>
    <row r="615" spans="4:21" s="37" customFormat="1" ht="15" outlineLevel="1" thickBot="1" x14ac:dyDescent="0.35">
      <c r="D615" s="33" t="str">
        <f>IF(_xll.TM1RPTELISCONSOLIDATED($H$34,$H615),IF(_xll.TM1RPTELLEV($H$34,$H615)&lt;=5,_xll.TM1RPTELLEV($H$34,$H615),"Default"),"Leaf")</f>
        <v>Leaf</v>
      </c>
      <c r="E615" s="42" t="s">
        <v>695</v>
      </c>
      <c r="F615" s="34" t="str">
        <f>_xll.DBR($B$18,$H615,"Account_Type")</f>
        <v>NON LABOR</v>
      </c>
      <c r="G615" s="34" t="str">
        <f>_xll.DBR($B$18,$H615,"Description")</f>
        <v>Business Meals &amp; Entertainment</v>
      </c>
      <c r="H615" s="43" t="s">
        <v>489</v>
      </c>
      <c r="I615" s="36">
        <f>_xll.DBRW($E$12,$F$16,$F$17,$F$18,$E615,$F$20,I$22,$H615,$F$19)</f>
        <v>13.26</v>
      </c>
      <c r="J615" s="36">
        <f>_xll.DBRW($E$12,$F$16,$F$17,$F$18,$E615,$F$20,J$22,$H615,$F$19)</f>
        <v>0</v>
      </c>
      <c r="K615" s="36">
        <f>_xll.DBRW($E$12,$F$16,$F$17,$F$18,$E615,$F$20,K$22,$H615,$F$19)</f>
        <v>0</v>
      </c>
      <c r="L615" s="36">
        <f>_xll.DBRW($E$12,$F$16,$F$17,$F$18,$E615,$F$20,L$22,$H615,$F$19)</f>
        <v>0</v>
      </c>
      <c r="M615" s="36">
        <f>_xll.DBRW($E$12,$F$16,$F$17,$F$18,$E615,$F$20,M$22,$H615,$F$19)</f>
        <v>113.61</v>
      </c>
      <c r="N615" s="36">
        <f>_xll.DBRW($E$12,$F$16,$F$17,$F$18,$E615,$F$20,N$22,$H615,$F$19)</f>
        <v>0</v>
      </c>
      <c r="O615" s="36">
        <f>_xll.DBRW($E$12,$F$16,$F$17,$F$18,$E615,$F$20,O$22,$H615,$F$19)</f>
        <v>0</v>
      </c>
      <c r="P615" s="36">
        <f>_xll.DBRW($E$12,$F$16,$F$17,$F$18,$E615,$F$20,P$22,$H615,$F$19)</f>
        <v>0</v>
      </c>
      <c r="Q615" s="36">
        <f>_xll.DBRW($E$12,$F$16,$F$17,$F$18,$E615,$F$20,Q$22,$H615,$F$19)</f>
        <v>0</v>
      </c>
      <c r="R615" s="36">
        <f>_xll.DBRW($E$12,$F$16,$F$17,$F$18,$E615,$F$20,R$22,$H615,$F$19)</f>
        <v>0</v>
      </c>
      <c r="S615" s="36">
        <f>_xll.DBRW($E$12,$F$16,$F$17,$F$18,$E615,$F$20,S$22,$H615,$F$19)</f>
        <v>0</v>
      </c>
      <c r="T615" s="36">
        <f>_xll.DBRW($E$12,$F$16,$F$17,$F$18,$E615,$F$20,T$22,$H615,$F$19)</f>
        <v>0</v>
      </c>
      <c r="U615" s="36">
        <f>_xll.DBRW($E$12,$F$16,$F$17,$F$18,$E615,$F$20,U$22,$H615,$F$19)</f>
        <v>126.87</v>
      </c>
    </row>
    <row r="616" spans="4:21" s="37" customFormat="1" ht="15" outlineLevel="1" thickBot="1" x14ac:dyDescent="0.35">
      <c r="D616" s="33" t="str">
        <f>IF(_xll.TM1RPTELISCONSOLIDATED($H$34,$H616),IF(_xll.TM1RPTELLEV($H$34,$H616)&lt;=5,_xll.TM1RPTELLEV($H$34,$H616),"Default"),"Leaf")</f>
        <v>Leaf</v>
      </c>
      <c r="E616" s="42" t="s">
        <v>695</v>
      </c>
      <c r="F616" s="34" t="str">
        <f>_xll.DBR($B$18,$H616,"Account_Type")</f>
        <v>NON LABOR</v>
      </c>
      <c r="G616" s="34" t="str">
        <f>_xll.DBR($B$18,$H616,"Description")</f>
        <v>Telecommunications / Internet</v>
      </c>
      <c r="H616" s="43" t="s">
        <v>510</v>
      </c>
      <c r="I616" s="36">
        <f>_xll.DBRW($E$12,$F$16,$F$17,$F$18,$E616,$F$20,I$22,$H616,$F$19)</f>
        <v>31.95</v>
      </c>
      <c r="J616" s="36">
        <f>_xll.DBRW($E$12,$F$16,$F$17,$F$18,$E616,$F$20,J$22,$H616,$F$19)</f>
        <v>0</v>
      </c>
      <c r="K616" s="36">
        <f>_xll.DBRW($E$12,$F$16,$F$17,$F$18,$E616,$F$20,K$22,$H616,$F$19)</f>
        <v>63.88</v>
      </c>
      <c r="L616" s="36">
        <f>_xll.DBRW($E$12,$F$16,$F$17,$F$18,$E616,$F$20,L$22,$H616,$F$19)</f>
        <v>31.94</v>
      </c>
      <c r="M616" s="36">
        <f>_xll.DBRW($E$12,$F$16,$F$17,$F$18,$E616,$F$20,M$22,$H616,$F$19)</f>
        <v>25.91</v>
      </c>
      <c r="N616" s="36">
        <f>_xll.DBRW($E$12,$F$16,$F$17,$F$18,$E616,$F$20,N$22,$H616,$F$19)</f>
        <v>0</v>
      </c>
      <c r="O616" s="36">
        <f>_xll.DBRW($E$12,$F$16,$F$17,$F$18,$E616,$F$20,O$22,$H616,$F$19)</f>
        <v>0</v>
      </c>
      <c r="P616" s="36">
        <f>_xll.DBRW($E$12,$F$16,$F$17,$F$18,$E616,$F$20,P$22,$H616,$F$19)</f>
        <v>0</v>
      </c>
      <c r="Q616" s="36">
        <f>_xll.DBRW($E$12,$F$16,$F$17,$F$18,$E616,$F$20,Q$22,$H616,$F$19)</f>
        <v>0</v>
      </c>
      <c r="R616" s="36">
        <f>_xll.DBRW($E$12,$F$16,$F$17,$F$18,$E616,$F$20,R$22,$H616,$F$19)</f>
        <v>0</v>
      </c>
      <c r="S616" s="36">
        <f>_xll.DBRW($E$12,$F$16,$F$17,$F$18,$E616,$F$20,S$22,$H616,$F$19)</f>
        <v>0</v>
      </c>
      <c r="T616" s="36">
        <f>_xll.DBRW($E$12,$F$16,$F$17,$F$18,$E616,$F$20,T$22,$H616,$F$19)</f>
        <v>0</v>
      </c>
      <c r="U616" s="36">
        <f>_xll.DBRW($E$12,$F$16,$F$17,$F$18,$E616,$F$20,U$22,$H616,$F$19)</f>
        <v>153.68</v>
      </c>
    </row>
    <row r="617" spans="4:21" s="37" customFormat="1" ht="15" outlineLevel="1" thickBot="1" x14ac:dyDescent="0.35">
      <c r="D617" s="33" t="str">
        <f>IF(_xll.TM1RPTELISCONSOLIDATED($H$34,$H617),IF(_xll.TM1RPTELLEV($H$34,$H617)&lt;=5,_xll.TM1RPTELLEV($H$34,$H617),"Default"),"Leaf")</f>
        <v>Leaf</v>
      </c>
      <c r="E617" s="42" t="s">
        <v>695</v>
      </c>
      <c r="F617" s="34" t="str">
        <f>_xll.DBR($B$18,$H617,"Account_Type")</f>
        <v>NON LABOR</v>
      </c>
      <c r="G617" s="34" t="str">
        <f>_xll.DBR($B$18,$H617,"Description")</f>
        <v>Education/Training/Dues/Subscriptions</v>
      </c>
      <c r="H617" s="43" t="s">
        <v>574</v>
      </c>
      <c r="I617" s="36">
        <f>_xll.DBRW($E$12,$F$16,$F$17,$F$18,$E617,$F$20,I$22,$H617,$F$19)</f>
        <v>0</v>
      </c>
      <c r="J617" s="36">
        <f>_xll.DBRW($E$12,$F$16,$F$17,$F$18,$E617,$F$20,J$22,$H617,$F$19)</f>
        <v>216.5</v>
      </c>
      <c r="K617" s="36">
        <f>_xll.DBRW($E$12,$F$16,$F$17,$F$18,$E617,$F$20,K$22,$H617,$F$19)</f>
        <v>0</v>
      </c>
      <c r="L617" s="36">
        <f>_xll.DBRW($E$12,$F$16,$F$17,$F$18,$E617,$F$20,L$22,$H617,$F$19)</f>
        <v>0</v>
      </c>
      <c r="M617" s="36">
        <f>_xll.DBRW($E$12,$F$16,$F$17,$F$18,$E617,$F$20,M$22,$H617,$F$19)</f>
        <v>0</v>
      </c>
      <c r="N617" s="36">
        <f>_xll.DBRW($E$12,$F$16,$F$17,$F$18,$E617,$F$20,N$22,$H617,$F$19)</f>
        <v>0</v>
      </c>
      <c r="O617" s="36">
        <f>_xll.DBRW($E$12,$F$16,$F$17,$F$18,$E617,$F$20,O$22,$H617,$F$19)</f>
        <v>0</v>
      </c>
      <c r="P617" s="36">
        <f>_xll.DBRW($E$12,$F$16,$F$17,$F$18,$E617,$F$20,P$22,$H617,$F$19)</f>
        <v>0</v>
      </c>
      <c r="Q617" s="36">
        <f>_xll.DBRW($E$12,$F$16,$F$17,$F$18,$E617,$F$20,Q$22,$H617,$F$19)</f>
        <v>0</v>
      </c>
      <c r="R617" s="36">
        <f>_xll.DBRW($E$12,$F$16,$F$17,$F$18,$E617,$F$20,R$22,$H617,$F$19)</f>
        <v>0</v>
      </c>
      <c r="S617" s="36">
        <f>_xll.DBRW($E$12,$F$16,$F$17,$F$18,$E617,$F$20,S$22,$H617,$F$19)</f>
        <v>0</v>
      </c>
      <c r="T617" s="36">
        <f>_xll.DBRW($E$12,$F$16,$F$17,$F$18,$E617,$F$20,T$22,$H617,$F$19)</f>
        <v>0</v>
      </c>
      <c r="U617" s="36">
        <f>_xll.DBRW($E$12,$F$16,$F$17,$F$18,$E617,$F$20,U$22,$H617,$F$19)</f>
        <v>216.5</v>
      </c>
    </row>
    <row r="618" spans="4:21" s="37" customFormat="1" ht="15" outlineLevel="1" thickBot="1" x14ac:dyDescent="0.35">
      <c r="D618" s="33" t="str">
        <f>IF(_xll.TM1RPTELISCONSOLIDATED($H$34,$H618),IF(_xll.TM1RPTELLEV($H$34,$H618)&lt;=5,_xll.TM1RPTELLEV($H$34,$H618),"Default"),"Leaf")</f>
        <v>Leaf</v>
      </c>
      <c r="E618" s="42" t="s">
        <v>696</v>
      </c>
      <c r="F618" s="34" t="str">
        <f>_xll.DBR($B$18,$H618,"Account_Type")</f>
        <v>NON LABOR</v>
      </c>
      <c r="G618" s="34" t="str">
        <f>_xll.DBR($B$18,$H618,"Description")</f>
        <v>Travel &amp; Lodging</v>
      </c>
      <c r="H618" s="43" t="s">
        <v>466</v>
      </c>
      <c r="I618" s="36">
        <f>_xll.DBRW($E$12,$F$16,$F$17,$F$18,$E618,$F$20,I$22,$H618,$F$19)</f>
        <v>9812.2999999999993</v>
      </c>
      <c r="J618" s="36">
        <f>_xll.DBRW($E$12,$F$16,$F$17,$F$18,$E618,$F$20,J$22,$H618,$F$19)</f>
        <v>8751.49</v>
      </c>
      <c r="K618" s="36">
        <f>_xll.DBRW($E$12,$F$16,$F$17,$F$18,$E618,$F$20,K$22,$H618,$F$19)</f>
        <v>5701.86</v>
      </c>
      <c r="L618" s="36">
        <f>_xll.DBRW($E$12,$F$16,$F$17,$F$18,$E618,$F$20,L$22,$H618,$F$19)</f>
        <v>10350.19</v>
      </c>
      <c r="M618" s="36">
        <f>_xll.DBRW($E$12,$F$16,$F$17,$F$18,$E618,$F$20,M$22,$H618,$F$19)</f>
        <v>6000.85</v>
      </c>
      <c r="N618" s="36">
        <f>_xll.DBRW($E$12,$F$16,$F$17,$F$18,$E618,$F$20,N$22,$H618,$F$19)</f>
        <v>6402.43</v>
      </c>
      <c r="O618" s="36">
        <f>_xll.DBRW($E$12,$F$16,$F$17,$F$18,$E618,$F$20,O$22,$H618,$F$19)</f>
        <v>0</v>
      </c>
      <c r="P618" s="36">
        <f>_xll.DBRW($E$12,$F$16,$F$17,$F$18,$E618,$F$20,P$22,$H618,$F$19)</f>
        <v>0</v>
      </c>
      <c r="Q618" s="36">
        <f>_xll.DBRW($E$12,$F$16,$F$17,$F$18,$E618,$F$20,Q$22,$H618,$F$19)</f>
        <v>0</v>
      </c>
      <c r="R618" s="36">
        <f>_xll.DBRW($E$12,$F$16,$F$17,$F$18,$E618,$F$20,R$22,$H618,$F$19)</f>
        <v>0</v>
      </c>
      <c r="S618" s="36">
        <f>_xll.DBRW($E$12,$F$16,$F$17,$F$18,$E618,$F$20,S$22,$H618,$F$19)</f>
        <v>0</v>
      </c>
      <c r="T618" s="36">
        <f>_xll.DBRW($E$12,$F$16,$F$17,$F$18,$E618,$F$20,T$22,$H618,$F$19)</f>
        <v>0</v>
      </c>
      <c r="U618" s="36">
        <f>_xll.DBRW($E$12,$F$16,$F$17,$F$18,$E618,$F$20,U$22,$H618,$F$19)</f>
        <v>47019.12</v>
      </c>
    </row>
    <row r="619" spans="4:21" s="37" customFormat="1" ht="15" outlineLevel="1" thickBot="1" x14ac:dyDescent="0.35">
      <c r="D619" s="33" t="str">
        <f>IF(_xll.TM1RPTELISCONSOLIDATED($H$34,$H619),IF(_xll.TM1RPTELLEV($H$34,$H619)&lt;=5,_xll.TM1RPTELLEV($H$34,$H619),"Default"),"Leaf")</f>
        <v>Leaf</v>
      </c>
      <c r="E619" s="42" t="s">
        <v>696</v>
      </c>
      <c r="F619" s="34" t="str">
        <f>_xll.DBR($B$18,$H619,"Account_Type")</f>
        <v>NON LABOR</v>
      </c>
      <c r="G619" s="34" t="str">
        <f>_xll.DBR($B$18,$H619,"Description")</f>
        <v>Travel &amp; Lodging</v>
      </c>
      <c r="H619" s="43" t="s">
        <v>471</v>
      </c>
      <c r="I619" s="36">
        <f>_xll.DBRW($E$12,$F$16,$F$17,$F$18,$E619,$F$20,I$22,$H619,$F$19)</f>
        <v>577.96</v>
      </c>
      <c r="J619" s="36">
        <f>_xll.DBRW($E$12,$F$16,$F$17,$F$18,$E619,$F$20,J$22,$H619,$F$19)</f>
        <v>0</v>
      </c>
      <c r="K619" s="36">
        <f>_xll.DBRW($E$12,$F$16,$F$17,$F$18,$E619,$F$20,K$22,$H619,$F$19)</f>
        <v>1371.41</v>
      </c>
      <c r="L619" s="36">
        <f>_xll.DBRW($E$12,$F$16,$F$17,$F$18,$E619,$F$20,L$22,$H619,$F$19)</f>
        <v>0</v>
      </c>
      <c r="M619" s="36">
        <f>_xll.DBRW($E$12,$F$16,$F$17,$F$18,$E619,$F$20,M$22,$H619,$F$19)</f>
        <v>0</v>
      </c>
      <c r="N619" s="36">
        <f>_xll.DBRW($E$12,$F$16,$F$17,$F$18,$E619,$F$20,N$22,$H619,$F$19)</f>
        <v>0</v>
      </c>
      <c r="O619" s="36">
        <f>_xll.DBRW($E$12,$F$16,$F$17,$F$18,$E619,$F$20,O$22,$H619,$F$19)</f>
        <v>0</v>
      </c>
      <c r="P619" s="36">
        <f>_xll.DBRW($E$12,$F$16,$F$17,$F$18,$E619,$F$20,P$22,$H619,$F$19)</f>
        <v>0</v>
      </c>
      <c r="Q619" s="36">
        <f>_xll.DBRW($E$12,$F$16,$F$17,$F$18,$E619,$F$20,Q$22,$H619,$F$19)</f>
        <v>0</v>
      </c>
      <c r="R619" s="36">
        <f>_xll.DBRW($E$12,$F$16,$F$17,$F$18,$E619,$F$20,R$22,$H619,$F$19)</f>
        <v>0</v>
      </c>
      <c r="S619" s="36">
        <f>_xll.DBRW($E$12,$F$16,$F$17,$F$18,$E619,$F$20,S$22,$H619,$F$19)</f>
        <v>0</v>
      </c>
      <c r="T619" s="36">
        <f>_xll.DBRW($E$12,$F$16,$F$17,$F$18,$E619,$F$20,T$22,$H619,$F$19)</f>
        <v>0</v>
      </c>
      <c r="U619" s="36">
        <f>_xll.DBRW($E$12,$F$16,$F$17,$F$18,$E619,$F$20,U$22,$H619,$F$19)</f>
        <v>1949.3700000000001</v>
      </c>
    </row>
    <row r="620" spans="4:21" s="37" customFormat="1" ht="15" outlineLevel="1" thickBot="1" x14ac:dyDescent="0.35">
      <c r="D620" s="33" t="str">
        <f>IF(_xll.TM1RPTELISCONSOLIDATED($H$34,$H620),IF(_xll.TM1RPTELLEV($H$34,$H620)&lt;=5,_xll.TM1RPTELLEV($H$34,$H620),"Default"),"Leaf")</f>
        <v>Leaf</v>
      </c>
      <c r="E620" s="42" t="s">
        <v>696</v>
      </c>
      <c r="F620" s="34" t="str">
        <f>_xll.DBR($B$18,$H620,"Account_Type")</f>
        <v>NON LABOR</v>
      </c>
      <c r="G620" s="34" t="str">
        <f>_xll.DBR($B$18,$H620,"Description")</f>
        <v>Business Meals &amp; Entertainment</v>
      </c>
      <c r="H620" s="43" t="s">
        <v>481</v>
      </c>
      <c r="I620" s="36">
        <f>_xll.DBRW($E$12,$F$16,$F$17,$F$18,$E620,$F$20,I$22,$H620,$F$19)</f>
        <v>90.7</v>
      </c>
      <c r="J620" s="36">
        <f>_xll.DBRW($E$12,$F$16,$F$17,$F$18,$E620,$F$20,J$22,$H620,$F$19)</f>
        <v>0</v>
      </c>
      <c r="K620" s="36">
        <f>_xll.DBRW($E$12,$F$16,$F$17,$F$18,$E620,$F$20,K$22,$H620,$F$19)</f>
        <v>0</v>
      </c>
      <c r="L620" s="36">
        <f>_xll.DBRW($E$12,$F$16,$F$17,$F$18,$E620,$F$20,L$22,$H620,$F$19)</f>
        <v>46.45</v>
      </c>
      <c r="M620" s="36">
        <f>_xll.DBRW($E$12,$F$16,$F$17,$F$18,$E620,$F$20,M$22,$H620,$F$19)</f>
        <v>0</v>
      </c>
      <c r="N620" s="36">
        <f>_xll.DBRW($E$12,$F$16,$F$17,$F$18,$E620,$F$20,N$22,$H620,$F$19)</f>
        <v>0</v>
      </c>
      <c r="O620" s="36">
        <f>_xll.DBRW($E$12,$F$16,$F$17,$F$18,$E620,$F$20,O$22,$H620,$F$19)</f>
        <v>0</v>
      </c>
      <c r="P620" s="36">
        <f>_xll.DBRW($E$12,$F$16,$F$17,$F$18,$E620,$F$20,P$22,$H620,$F$19)</f>
        <v>0</v>
      </c>
      <c r="Q620" s="36">
        <f>_xll.DBRW($E$12,$F$16,$F$17,$F$18,$E620,$F$20,Q$22,$H620,$F$19)</f>
        <v>0</v>
      </c>
      <c r="R620" s="36">
        <f>_xll.DBRW($E$12,$F$16,$F$17,$F$18,$E620,$F$20,R$22,$H620,$F$19)</f>
        <v>0</v>
      </c>
      <c r="S620" s="36">
        <f>_xll.DBRW($E$12,$F$16,$F$17,$F$18,$E620,$F$20,S$22,$H620,$F$19)</f>
        <v>0</v>
      </c>
      <c r="T620" s="36">
        <f>_xll.DBRW($E$12,$F$16,$F$17,$F$18,$E620,$F$20,T$22,$H620,$F$19)</f>
        <v>0</v>
      </c>
      <c r="U620" s="36">
        <f>_xll.DBRW($E$12,$F$16,$F$17,$F$18,$E620,$F$20,U$22,$H620,$F$19)</f>
        <v>137.15</v>
      </c>
    </row>
    <row r="621" spans="4:21" s="37" customFormat="1" ht="15" outlineLevel="1" thickBot="1" x14ac:dyDescent="0.35">
      <c r="D621" s="33" t="str">
        <f>IF(_xll.TM1RPTELISCONSOLIDATED($H$34,$H621),IF(_xll.TM1RPTELLEV($H$34,$H621)&lt;=5,_xll.TM1RPTELLEV($H$34,$H621),"Default"),"Leaf")</f>
        <v>Leaf</v>
      </c>
      <c r="E621" s="42" t="s">
        <v>696</v>
      </c>
      <c r="F621" s="34" t="str">
        <f>_xll.DBR($B$18,$H621,"Account_Type")</f>
        <v>NON LABOR</v>
      </c>
      <c r="G621" s="34" t="str">
        <f>_xll.DBR($B$18,$H621,"Description")</f>
        <v>Business Meals &amp; Entertainment</v>
      </c>
      <c r="H621" s="43" t="s">
        <v>482</v>
      </c>
      <c r="I621" s="36">
        <f>_xll.DBRW($E$12,$F$16,$F$17,$F$18,$E621,$F$20,I$22,$H621,$F$19)</f>
        <v>293.86</v>
      </c>
      <c r="J621" s="36">
        <f>_xll.DBRW($E$12,$F$16,$F$17,$F$18,$E621,$F$20,J$22,$H621,$F$19)</f>
        <v>279.85000000000002</v>
      </c>
      <c r="K621" s="36">
        <f>_xll.DBRW($E$12,$F$16,$F$17,$F$18,$E621,$F$20,K$22,$H621,$F$19)</f>
        <v>0</v>
      </c>
      <c r="L621" s="36">
        <f>_xll.DBRW($E$12,$F$16,$F$17,$F$18,$E621,$F$20,L$22,$H621,$F$19)</f>
        <v>260.29000000000002</v>
      </c>
      <c r="M621" s="36">
        <f>_xll.DBRW($E$12,$F$16,$F$17,$F$18,$E621,$F$20,M$22,$H621,$F$19)</f>
        <v>160.03</v>
      </c>
      <c r="N621" s="36">
        <f>_xll.DBRW($E$12,$F$16,$F$17,$F$18,$E621,$F$20,N$22,$H621,$F$19)</f>
        <v>118.02</v>
      </c>
      <c r="O621" s="36">
        <f>_xll.DBRW($E$12,$F$16,$F$17,$F$18,$E621,$F$20,O$22,$H621,$F$19)</f>
        <v>0</v>
      </c>
      <c r="P621" s="36">
        <f>_xll.DBRW($E$12,$F$16,$F$17,$F$18,$E621,$F$20,P$22,$H621,$F$19)</f>
        <v>0</v>
      </c>
      <c r="Q621" s="36">
        <f>_xll.DBRW($E$12,$F$16,$F$17,$F$18,$E621,$F$20,Q$22,$H621,$F$19)</f>
        <v>0</v>
      </c>
      <c r="R621" s="36">
        <f>_xll.DBRW($E$12,$F$16,$F$17,$F$18,$E621,$F$20,R$22,$H621,$F$19)</f>
        <v>0</v>
      </c>
      <c r="S621" s="36">
        <f>_xll.DBRW($E$12,$F$16,$F$17,$F$18,$E621,$F$20,S$22,$H621,$F$19)</f>
        <v>0</v>
      </c>
      <c r="T621" s="36">
        <f>_xll.DBRW($E$12,$F$16,$F$17,$F$18,$E621,$F$20,T$22,$H621,$F$19)</f>
        <v>0</v>
      </c>
      <c r="U621" s="36">
        <f>_xll.DBRW($E$12,$F$16,$F$17,$F$18,$E621,$F$20,U$22,$H621,$F$19)</f>
        <v>1112.05</v>
      </c>
    </row>
    <row r="622" spans="4:21" s="37" customFormat="1" ht="15" outlineLevel="1" thickBot="1" x14ac:dyDescent="0.35">
      <c r="D622" s="33" t="str">
        <f>IF(_xll.TM1RPTELISCONSOLIDATED($H$34,$H622),IF(_xll.TM1RPTELLEV($H$34,$H622)&lt;=5,_xll.TM1RPTELLEV($H$34,$H622),"Default"),"Leaf")</f>
        <v>Leaf</v>
      </c>
      <c r="E622" s="42" t="s">
        <v>696</v>
      </c>
      <c r="F622" s="34" t="str">
        <f>_xll.DBR($B$18,$H622,"Account_Type")</f>
        <v>NON LABOR</v>
      </c>
      <c r="G622" s="34" t="str">
        <f>_xll.DBR($B$18,$H622,"Description")</f>
        <v>Business Meals &amp; Entertainment</v>
      </c>
      <c r="H622" s="43" t="s">
        <v>491</v>
      </c>
      <c r="I622" s="36">
        <f>_xll.DBRW($E$12,$F$16,$F$17,$F$18,$E622,$F$20,I$22,$H622,$F$19)</f>
        <v>88.27</v>
      </c>
      <c r="J622" s="36">
        <f>_xll.DBRW($E$12,$F$16,$F$17,$F$18,$E622,$F$20,J$22,$H622,$F$19)</f>
        <v>0</v>
      </c>
      <c r="K622" s="36">
        <f>_xll.DBRW($E$12,$F$16,$F$17,$F$18,$E622,$F$20,K$22,$H622,$F$19)</f>
        <v>0</v>
      </c>
      <c r="L622" s="36">
        <f>_xll.DBRW($E$12,$F$16,$F$17,$F$18,$E622,$F$20,L$22,$H622,$F$19)</f>
        <v>0</v>
      </c>
      <c r="M622" s="36">
        <f>_xll.DBRW($E$12,$F$16,$F$17,$F$18,$E622,$F$20,M$22,$H622,$F$19)</f>
        <v>0</v>
      </c>
      <c r="N622" s="36">
        <f>_xll.DBRW($E$12,$F$16,$F$17,$F$18,$E622,$F$20,N$22,$H622,$F$19)</f>
        <v>0</v>
      </c>
      <c r="O622" s="36">
        <f>_xll.DBRW($E$12,$F$16,$F$17,$F$18,$E622,$F$20,O$22,$H622,$F$19)</f>
        <v>0</v>
      </c>
      <c r="P622" s="36">
        <f>_xll.DBRW($E$12,$F$16,$F$17,$F$18,$E622,$F$20,P$22,$H622,$F$19)</f>
        <v>0</v>
      </c>
      <c r="Q622" s="36">
        <f>_xll.DBRW($E$12,$F$16,$F$17,$F$18,$E622,$F$20,Q$22,$H622,$F$19)</f>
        <v>0</v>
      </c>
      <c r="R622" s="36">
        <f>_xll.DBRW($E$12,$F$16,$F$17,$F$18,$E622,$F$20,R$22,$H622,$F$19)</f>
        <v>0</v>
      </c>
      <c r="S622" s="36">
        <f>_xll.DBRW($E$12,$F$16,$F$17,$F$18,$E622,$F$20,S$22,$H622,$F$19)</f>
        <v>0</v>
      </c>
      <c r="T622" s="36">
        <f>_xll.DBRW($E$12,$F$16,$F$17,$F$18,$E622,$F$20,T$22,$H622,$F$19)</f>
        <v>0</v>
      </c>
      <c r="U622" s="36">
        <f>_xll.DBRW($E$12,$F$16,$F$17,$F$18,$E622,$F$20,U$22,$H622,$F$19)</f>
        <v>88.27</v>
      </c>
    </row>
    <row r="623" spans="4:21" s="37" customFormat="1" ht="15" outlineLevel="1" thickBot="1" x14ac:dyDescent="0.35">
      <c r="D623" s="33" t="str">
        <f>IF(_xll.TM1RPTELISCONSOLIDATED($H$34,$H623),IF(_xll.TM1RPTELLEV($H$34,$H623)&lt;=5,_xll.TM1RPTELLEV($H$34,$H623),"Default"),"Leaf")</f>
        <v>Leaf</v>
      </c>
      <c r="E623" s="42" t="s">
        <v>696</v>
      </c>
      <c r="F623" s="34" t="str">
        <f>_xll.DBR($B$18,$H623,"Account_Type")</f>
        <v>NON LABOR</v>
      </c>
      <c r="G623" s="34" t="str">
        <f>_xll.DBR($B$18,$H623,"Description")</f>
        <v>Business Meals &amp; Entertainment</v>
      </c>
      <c r="H623" s="43" t="s">
        <v>492</v>
      </c>
      <c r="I623" s="36">
        <f>_xll.DBRW($E$12,$F$16,$F$17,$F$18,$E623,$F$20,I$22,$H623,$F$19)</f>
        <v>151.30000000000001</v>
      </c>
      <c r="J623" s="36">
        <f>_xll.DBRW($E$12,$F$16,$F$17,$F$18,$E623,$F$20,J$22,$H623,$F$19)</f>
        <v>0</v>
      </c>
      <c r="K623" s="36">
        <f>_xll.DBRW($E$12,$F$16,$F$17,$F$18,$E623,$F$20,K$22,$H623,$F$19)</f>
        <v>0</v>
      </c>
      <c r="L623" s="36">
        <f>_xll.DBRW($E$12,$F$16,$F$17,$F$18,$E623,$F$20,L$22,$H623,$F$19)</f>
        <v>0</v>
      </c>
      <c r="M623" s="36">
        <f>_xll.DBRW($E$12,$F$16,$F$17,$F$18,$E623,$F$20,M$22,$H623,$F$19)</f>
        <v>0</v>
      </c>
      <c r="N623" s="36">
        <f>_xll.DBRW($E$12,$F$16,$F$17,$F$18,$E623,$F$20,N$22,$H623,$F$19)</f>
        <v>0</v>
      </c>
      <c r="O623" s="36">
        <f>_xll.DBRW($E$12,$F$16,$F$17,$F$18,$E623,$F$20,O$22,$H623,$F$19)</f>
        <v>0</v>
      </c>
      <c r="P623" s="36">
        <f>_xll.DBRW($E$12,$F$16,$F$17,$F$18,$E623,$F$20,P$22,$H623,$F$19)</f>
        <v>0</v>
      </c>
      <c r="Q623" s="36">
        <f>_xll.DBRW($E$12,$F$16,$F$17,$F$18,$E623,$F$20,Q$22,$H623,$F$19)</f>
        <v>0</v>
      </c>
      <c r="R623" s="36">
        <f>_xll.DBRW($E$12,$F$16,$F$17,$F$18,$E623,$F$20,R$22,$H623,$F$19)</f>
        <v>0</v>
      </c>
      <c r="S623" s="36">
        <f>_xll.DBRW($E$12,$F$16,$F$17,$F$18,$E623,$F$20,S$22,$H623,$F$19)</f>
        <v>0</v>
      </c>
      <c r="T623" s="36">
        <f>_xll.DBRW($E$12,$F$16,$F$17,$F$18,$E623,$F$20,T$22,$H623,$F$19)</f>
        <v>0</v>
      </c>
      <c r="U623" s="36">
        <f>_xll.DBRW($E$12,$F$16,$F$17,$F$18,$E623,$F$20,U$22,$H623,$F$19)</f>
        <v>151.30000000000001</v>
      </c>
    </row>
    <row r="624" spans="4:21" s="37" customFormat="1" ht="15" outlineLevel="1" thickBot="1" x14ac:dyDescent="0.35">
      <c r="D624" s="33" t="str">
        <f>IF(_xll.TM1RPTELISCONSOLIDATED($H$34,$H624),IF(_xll.TM1RPTELLEV($H$34,$H624)&lt;=5,_xll.TM1RPTELLEV($H$34,$H624),"Default"),"Leaf")</f>
        <v>Leaf</v>
      </c>
      <c r="E624" s="42" t="s">
        <v>696</v>
      </c>
      <c r="F624" s="34" t="str">
        <f>_xll.DBR($B$18,$H624,"Account_Type")</f>
        <v>NON LABOR</v>
      </c>
      <c r="G624" s="34" t="str">
        <f>_xll.DBR($B$18,$H624,"Description")</f>
        <v>Telecommunications / Internet</v>
      </c>
      <c r="H624" s="43" t="s">
        <v>501</v>
      </c>
      <c r="I624" s="36">
        <f>_xll.DBRW($E$12,$F$16,$F$17,$F$18,$E624,$F$20,I$22,$H624,$F$19)</f>
        <v>2278.7399999999998</v>
      </c>
      <c r="J624" s="36">
        <f>_xll.DBRW($E$12,$F$16,$F$17,$F$18,$E624,$F$20,J$22,$H624,$F$19)</f>
        <v>747.98</v>
      </c>
      <c r="K624" s="36">
        <f>_xll.DBRW($E$12,$F$16,$F$17,$F$18,$E624,$F$20,K$22,$H624,$F$19)</f>
        <v>1095.01</v>
      </c>
      <c r="L624" s="36">
        <f>_xll.DBRW($E$12,$F$16,$F$17,$F$18,$E624,$F$20,L$22,$H624,$F$19)</f>
        <v>242.22</v>
      </c>
      <c r="M624" s="36">
        <f>_xll.DBRW($E$12,$F$16,$F$17,$F$18,$E624,$F$20,M$22,$H624,$F$19)</f>
        <v>-354.65</v>
      </c>
      <c r="N624" s="36">
        <f>_xll.DBRW($E$12,$F$16,$F$17,$F$18,$E624,$F$20,N$22,$H624,$F$19)</f>
        <v>497.1</v>
      </c>
      <c r="O624" s="36">
        <f>_xll.DBRW($E$12,$F$16,$F$17,$F$18,$E624,$F$20,O$22,$H624,$F$19)</f>
        <v>25</v>
      </c>
      <c r="P624" s="36">
        <f>_xll.DBRW($E$12,$F$16,$F$17,$F$18,$E624,$F$20,P$22,$H624,$F$19)</f>
        <v>0</v>
      </c>
      <c r="Q624" s="36">
        <f>_xll.DBRW($E$12,$F$16,$F$17,$F$18,$E624,$F$20,Q$22,$H624,$F$19)</f>
        <v>0</v>
      </c>
      <c r="R624" s="36">
        <f>_xll.DBRW($E$12,$F$16,$F$17,$F$18,$E624,$F$20,R$22,$H624,$F$19)</f>
        <v>0</v>
      </c>
      <c r="S624" s="36">
        <f>_xll.DBRW($E$12,$F$16,$F$17,$F$18,$E624,$F$20,S$22,$H624,$F$19)</f>
        <v>0</v>
      </c>
      <c r="T624" s="36">
        <f>_xll.DBRW($E$12,$F$16,$F$17,$F$18,$E624,$F$20,T$22,$H624,$F$19)</f>
        <v>0</v>
      </c>
      <c r="U624" s="36">
        <f>_xll.DBRW($E$12,$F$16,$F$17,$F$18,$E624,$F$20,U$22,$H624,$F$19)</f>
        <v>4531.3999999999996</v>
      </c>
    </row>
    <row r="625" spans="4:21" s="37" customFormat="1" ht="15" outlineLevel="1" thickBot="1" x14ac:dyDescent="0.35">
      <c r="D625" s="33" t="str">
        <f>IF(_xll.TM1RPTELISCONSOLIDATED($H$34,$H625),IF(_xll.TM1RPTELLEV($H$34,$H625)&lt;=5,_xll.TM1RPTELLEV($H$34,$H625),"Default"),"Leaf")</f>
        <v>Leaf</v>
      </c>
      <c r="E625" s="42" t="s">
        <v>696</v>
      </c>
      <c r="F625" s="34" t="str">
        <f>_xll.DBR($B$18,$H625,"Account_Type")</f>
        <v>NON LABOR</v>
      </c>
      <c r="G625" s="34" t="str">
        <f>_xll.DBR($B$18,$H625,"Description")</f>
        <v>Telecommunications / Internet</v>
      </c>
      <c r="H625" s="43" t="s">
        <v>512</v>
      </c>
      <c r="I625" s="36">
        <f>_xll.DBRW($E$12,$F$16,$F$17,$F$18,$E625,$F$20,I$22,$H625,$F$19)</f>
        <v>0</v>
      </c>
      <c r="J625" s="36">
        <f>_xll.DBRW($E$12,$F$16,$F$17,$F$18,$E625,$F$20,J$22,$H625,$F$19)</f>
        <v>0</v>
      </c>
      <c r="K625" s="36">
        <f>_xll.DBRW($E$12,$F$16,$F$17,$F$18,$E625,$F$20,K$22,$H625,$F$19)</f>
        <v>49.43</v>
      </c>
      <c r="L625" s="36">
        <f>_xll.DBRW($E$12,$F$16,$F$17,$F$18,$E625,$F$20,L$22,$H625,$F$19)</f>
        <v>0</v>
      </c>
      <c r="M625" s="36">
        <f>_xll.DBRW($E$12,$F$16,$F$17,$F$18,$E625,$F$20,M$22,$H625,$F$19)</f>
        <v>0</v>
      </c>
      <c r="N625" s="36">
        <f>_xll.DBRW($E$12,$F$16,$F$17,$F$18,$E625,$F$20,N$22,$H625,$F$19)</f>
        <v>0</v>
      </c>
      <c r="O625" s="36">
        <f>_xll.DBRW($E$12,$F$16,$F$17,$F$18,$E625,$F$20,O$22,$H625,$F$19)</f>
        <v>0</v>
      </c>
      <c r="P625" s="36">
        <f>_xll.DBRW($E$12,$F$16,$F$17,$F$18,$E625,$F$20,P$22,$H625,$F$19)</f>
        <v>0</v>
      </c>
      <c r="Q625" s="36">
        <f>_xll.DBRW($E$12,$F$16,$F$17,$F$18,$E625,$F$20,Q$22,$H625,$F$19)</f>
        <v>0</v>
      </c>
      <c r="R625" s="36">
        <f>_xll.DBRW($E$12,$F$16,$F$17,$F$18,$E625,$F$20,R$22,$H625,$F$19)</f>
        <v>0</v>
      </c>
      <c r="S625" s="36">
        <f>_xll.DBRW($E$12,$F$16,$F$17,$F$18,$E625,$F$20,S$22,$H625,$F$19)</f>
        <v>0</v>
      </c>
      <c r="T625" s="36">
        <f>_xll.DBRW($E$12,$F$16,$F$17,$F$18,$E625,$F$20,T$22,$H625,$F$19)</f>
        <v>0</v>
      </c>
      <c r="U625" s="36">
        <f>_xll.DBRW($E$12,$F$16,$F$17,$F$18,$E625,$F$20,U$22,$H625,$F$19)</f>
        <v>49.43</v>
      </c>
    </row>
    <row r="626" spans="4:21" s="37" customFormat="1" ht="15" outlineLevel="1" thickBot="1" x14ac:dyDescent="0.35">
      <c r="D626" s="33" t="str">
        <f>IF(_xll.TM1RPTELISCONSOLIDATED($H$34,$H626),IF(_xll.TM1RPTELLEV($H$34,$H626)&lt;=5,_xll.TM1RPTELLEV($H$34,$H626),"Default"),"Leaf")</f>
        <v>Leaf</v>
      </c>
      <c r="E626" s="42" t="s">
        <v>696</v>
      </c>
      <c r="F626" s="34" t="str">
        <f>_xll.DBR($B$18,$H626,"Account_Type")</f>
        <v>NON LABOR</v>
      </c>
      <c r="G626" s="34" t="str">
        <f>_xll.DBR($B$18,$H626,"Description")</f>
        <v>Telecommunications / Internet</v>
      </c>
      <c r="H626" s="43" t="s">
        <v>517</v>
      </c>
      <c r="I626" s="36">
        <f>_xll.DBRW($E$12,$F$16,$F$17,$F$18,$E626,$F$20,I$22,$H626,$F$19)</f>
        <v>25</v>
      </c>
      <c r="J626" s="36">
        <f>_xll.DBRW($E$12,$F$16,$F$17,$F$18,$E626,$F$20,J$22,$H626,$F$19)</f>
        <v>25</v>
      </c>
      <c r="K626" s="36">
        <f>_xll.DBRW($E$12,$F$16,$F$17,$F$18,$E626,$F$20,K$22,$H626,$F$19)</f>
        <v>25</v>
      </c>
      <c r="L626" s="36">
        <f>_xll.DBRW($E$12,$F$16,$F$17,$F$18,$E626,$F$20,L$22,$H626,$F$19)</f>
        <v>25</v>
      </c>
      <c r="M626" s="36">
        <f>_xll.DBRW($E$12,$F$16,$F$17,$F$18,$E626,$F$20,M$22,$H626,$F$19)</f>
        <v>25</v>
      </c>
      <c r="N626" s="36">
        <f>_xll.DBRW($E$12,$F$16,$F$17,$F$18,$E626,$F$20,N$22,$H626,$F$19)</f>
        <v>25</v>
      </c>
      <c r="O626" s="36">
        <f>_xll.DBRW($E$12,$F$16,$F$17,$F$18,$E626,$F$20,O$22,$H626,$F$19)</f>
        <v>25</v>
      </c>
      <c r="P626" s="36">
        <f>_xll.DBRW($E$12,$F$16,$F$17,$F$18,$E626,$F$20,P$22,$H626,$F$19)</f>
        <v>0</v>
      </c>
      <c r="Q626" s="36">
        <f>_xll.DBRW($E$12,$F$16,$F$17,$F$18,$E626,$F$20,Q$22,$H626,$F$19)</f>
        <v>0</v>
      </c>
      <c r="R626" s="36">
        <f>_xll.DBRW($E$12,$F$16,$F$17,$F$18,$E626,$F$20,R$22,$H626,$F$19)</f>
        <v>0</v>
      </c>
      <c r="S626" s="36">
        <f>_xll.DBRW($E$12,$F$16,$F$17,$F$18,$E626,$F$20,S$22,$H626,$F$19)</f>
        <v>0</v>
      </c>
      <c r="T626" s="36">
        <f>_xll.DBRW($E$12,$F$16,$F$17,$F$18,$E626,$F$20,T$22,$H626,$F$19)</f>
        <v>0</v>
      </c>
      <c r="U626" s="36">
        <f>_xll.DBRW($E$12,$F$16,$F$17,$F$18,$E626,$F$20,U$22,$H626,$F$19)</f>
        <v>175</v>
      </c>
    </row>
    <row r="627" spans="4:21" s="37" customFormat="1" ht="15" outlineLevel="1" thickBot="1" x14ac:dyDescent="0.35">
      <c r="D627" s="33" t="str">
        <f>IF(_xll.TM1RPTELISCONSOLIDATED($H$34,$H627),IF(_xll.TM1RPTELLEV($H$34,$H627)&lt;=5,_xll.TM1RPTELLEV($H$34,$H627),"Default"),"Leaf")</f>
        <v>Leaf</v>
      </c>
      <c r="E627" s="42" t="s">
        <v>696</v>
      </c>
      <c r="F627" s="34" t="str">
        <f>_xll.DBR($B$18,$H627,"Account_Type")</f>
        <v>NON LABOR</v>
      </c>
      <c r="G627" s="34" t="str">
        <f>_xll.DBR($B$18,$H627,"Description")</f>
        <v>Office/Computer Supplies &amp; Eqpt</v>
      </c>
      <c r="H627" s="43" t="s">
        <v>528</v>
      </c>
      <c r="I627" s="36">
        <f>_xll.DBRW($E$12,$F$16,$F$17,$F$18,$E627,$F$20,I$22,$H627,$F$19)</f>
        <v>2042.99</v>
      </c>
      <c r="J627" s="36">
        <f>_xll.DBRW($E$12,$F$16,$F$17,$F$18,$E627,$F$20,J$22,$H627,$F$19)</f>
        <v>3488.81</v>
      </c>
      <c r="K627" s="36">
        <f>_xll.DBRW($E$12,$F$16,$F$17,$F$18,$E627,$F$20,K$22,$H627,$F$19)</f>
        <v>1300.96</v>
      </c>
      <c r="L627" s="36">
        <f>_xll.DBRW($E$12,$F$16,$F$17,$F$18,$E627,$F$20,L$22,$H627,$F$19)</f>
        <v>1516.19</v>
      </c>
      <c r="M627" s="36">
        <f>_xll.DBRW($E$12,$F$16,$F$17,$F$18,$E627,$F$20,M$22,$H627,$F$19)</f>
        <v>1436.5</v>
      </c>
      <c r="N627" s="36">
        <f>_xll.DBRW($E$12,$F$16,$F$17,$F$18,$E627,$F$20,N$22,$H627,$F$19)</f>
        <v>130</v>
      </c>
      <c r="O627" s="36">
        <f>_xll.DBRW($E$12,$F$16,$F$17,$F$18,$E627,$F$20,O$22,$H627,$F$19)</f>
        <v>0</v>
      </c>
      <c r="P627" s="36">
        <f>_xll.DBRW($E$12,$F$16,$F$17,$F$18,$E627,$F$20,P$22,$H627,$F$19)</f>
        <v>0</v>
      </c>
      <c r="Q627" s="36">
        <f>_xll.DBRW($E$12,$F$16,$F$17,$F$18,$E627,$F$20,Q$22,$H627,$F$19)</f>
        <v>0</v>
      </c>
      <c r="R627" s="36">
        <f>_xll.DBRW($E$12,$F$16,$F$17,$F$18,$E627,$F$20,R$22,$H627,$F$19)</f>
        <v>0</v>
      </c>
      <c r="S627" s="36">
        <f>_xll.DBRW($E$12,$F$16,$F$17,$F$18,$E627,$F$20,S$22,$H627,$F$19)</f>
        <v>0</v>
      </c>
      <c r="T627" s="36">
        <f>_xll.DBRW($E$12,$F$16,$F$17,$F$18,$E627,$F$20,T$22,$H627,$F$19)</f>
        <v>0</v>
      </c>
      <c r="U627" s="36">
        <f>_xll.DBRW($E$12,$F$16,$F$17,$F$18,$E627,$F$20,U$22,$H627,$F$19)</f>
        <v>9915.4500000000007</v>
      </c>
    </row>
    <row r="628" spans="4:21" s="37" customFormat="1" ht="15" outlineLevel="1" thickBot="1" x14ac:dyDescent="0.35">
      <c r="D628" s="33" t="str">
        <f>IF(_xll.TM1RPTELISCONSOLIDATED($H$34,$H628),IF(_xll.TM1RPTELLEV($H$34,$H628)&lt;=5,_xll.TM1RPTELLEV($H$34,$H628),"Default"),"Leaf")</f>
        <v>Leaf</v>
      </c>
      <c r="E628" s="42" t="s">
        <v>696</v>
      </c>
      <c r="F628" s="34" t="str">
        <f>_xll.DBR($B$18,$H628,"Account_Type")</f>
        <v>NON LABOR</v>
      </c>
      <c r="G628" s="34" t="str">
        <f>_xll.DBR($B$18,$H628,"Description")</f>
        <v>Office/Computer Supplies &amp; Eqpt</v>
      </c>
      <c r="H628" s="43" t="s">
        <v>540</v>
      </c>
      <c r="I628" s="36">
        <f>_xll.DBRW($E$12,$F$16,$F$17,$F$18,$E628,$F$20,I$22,$H628,$F$19)</f>
        <v>319.81</v>
      </c>
      <c r="J628" s="36">
        <f>_xll.DBRW($E$12,$F$16,$F$17,$F$18,$E628,$F$20,J$22,$H628,$F$19)</f>
        <v>140.43</v>
      </c>
      <c r="K628" s="36">
        <f>_xll.DBRW($E$12,$F$16,$F$17,$F$18,$E628,$F$20,K$22,$H628,$F$19)</f>
        <v>477.63</v>
      </c>
      <c r="L628" s="36">
        <f>_xll.DBRW($E$12,$F$16,$F$17,$F$18,$E628,$F$20,L$22,$H628,$F$19)</f>
        <v>0</v>
      </c>
      <c r="M628" s="36">
        <f>_xll.DBRW($E$12,$F$16,$F$17,$F$18,$E628,$F$20,M$22,$H628,$F$19)</f>
        <v>385.56</v>
      </c>
      <c r="N628" s="36">
        <f>_xll.DBRW($E$12,$F$16,$F$17,$F$18,$E628,$F$20,N$22,$H628,$F$19)</f>
        <v>-385.56</v>
      </c>
      <c r="O628" s="36">
        <f>_xll.DBRW($E$12,$F$16,$F$17,$F$18,$E628,$F$20,O$22,$H628,$F$19)</f>
        <v>0</v>
      </c>
      <c r="P628" s="36">
        <f>_xll.DBRW($E$12,$F$16,$F$17,$F$18,$E628,$F$20,P$22,$H628,$F$19)</f>
        <v>0</v>
      </c>
      <c r="Q628" s="36">
        <f>_xll.DBRW($E$12,$F$16,$F$17,$F$18,$E628,$F$20,Q$22,$H628,$F$19)</f>
        <v>0</v>
      </c>
      <c r="R628" s="36">
        <f>_xll.DBRW($E$12,$F$16,$F$17,$F$18,$E628,$F$20,R$22,$H628,$F$19)</f>
        <v>0</v>
      </c>
      <c r="S628" s="36">
        <f>_xll.DBRW($E$12,$F$16,$F$17,$F$18,$E628,$F$20,S$22,$H628,$F$19)</f>
        <v>0</v>
      </c>
      <c r="T628" s="36">
        <f>_xll.DBRW($E$12,$F$16,$F$17,$F$18,$E628,$F$20,T$22,$H628,$F$19)</f>
        <v>0</v>
      </c>
      <c r="U628" s="36">
        <f>_xll.DBRW($E$12,$F$16,$F$17,$F$18,$E628,$F$20,U$22,$H628,$F$19)</f>
        <v>937.87000000000012</v>
      </c>
    </row>
    <row r="629" spans="4:21" s="37" customFormat="1" ht="15" outlineLevel="1" thickBot="1" x14ac:dyDescent="0.35">
      <c r="D629" s="33" t="str">
        <f>IF(_xll.TM1RPTELISCONSOLIDATED($H$34,$H629),IF(_xll.TM1RPTELLEV($H$34,$H629)&lt;=5,_xll.TM1RPTELLEV($H$34,$H629),"Default"),"Leaf")</f>
        <v>Leaf</v>
      </c>
      <c r="E629" s="42" t="s">
        <v>696</v>
      </c>
      <c r="F629" s="34" t="str">
        <f>_xll.DBR($B$18,$H629,"Account_Type")</f>
        <v>NON LABOR</v>
      </c>
      <c r="G629" s="34" t="str">
        <f>_xll.DBR($B$18,$H629,"Description")</f>
        <v>Postage &amp; Courier Fees</v>
      </c>
      <c r="H629" s="43" t="s">
        <v>547</v>
      </c>
      <c r="I629" s="36">
        <f>_xll.DBRW($E$12,$F$16,$F$17,$F$18,$E629,$F$20,I$22,$H629,$F$19)</f>
        <v>0</v>
      </c>
      <c r="J629" s="36">
        <f>_xll.DBRW($E$12,$F$16,$F$17,$F$18,$E629,$F$20,J$22,$H629,$F$19)</f>
        <v>76.33</v>
      </c>
      <c r="K629" s="36">
        <f>_xll.DBRW($E$12,$F$16,$F$17,$F$18,$E629,$F$20,K$22,$H629,$F$19)</f>
        <v>0</v>
      </c>
      <c r="L629" s="36">
        <f>_xll.DBRW($E$12,$F$16,$F$17,$F$18,$E629,$F$20,L$22,$H629,$F$19)</f>
        <v>168.7</v>
      </c>
      <c r="M629" s="36">
        <f>_xll.DBRW($E$12,$F$16,$F$17,$F$18,$E629,$F$20,M$22,$H629,$F$19)</f>
        <v>11.26</v>
      </c>
      <c r="N629" s="36">
        <f>_xll.DBRW($E$12,$F$16,$F$17,$F$18,$E629,$F$20,N$22,$H629,$F$19)</f>
        <v>47.13</v>
      </c>
      <c r="O629" s="36">
        <f>_xll.DBRW($E$12,$F$16,$F$17,$F$18,$E629,$F$20,O$22,$H629,$F$19)</f>
        <v>0</v>
      </c>
      <c r="P629" s="36">
        <f>_xll.DBRW($E$12,$F$16,$F$17,$F$18,$E629,$F$20,P$22,$H629,$F$19)</f>
        <v>0</v>
      </c>
      <c r="Q629" s="36">
        <f>_xll.DBRW($E$12,$F$16,$F$17,$F$18,$E629,$F$20,Q$22,$H629,$F$19)</f>
        <v>0</v>
      </c>
      <c r="R629" s="36">
        <f>_xll.DBRW($E$12,$F$16,$F$17,$F$18,$E629,$F$20,R$22,$H629,$F$19)</f>
        <v>0</v>
      </c>
      <c r="S629" s="36">
        <f>_xll.DBRW($E$12,$F$16,$F$17,$F$18,$E629,$F$20,S$22,$H629,$F$19)</f>
        <v>0</v>
      </c>
      <c r="T629" s="36">
        <f>_xll.DBRW($E$12,$F$16,$F$17,$F$18,$E629,$F$20,T$22,$H629,$F$19)</f>
        <v>0</v>
      </c>
      <c r="U629" s="36">
        <f>_xll.DBRW($E$12,$F$16,$F$17,$F$18,$E629,$F$20,U$22,$H629,$F$19)</f>
        <v>303.41999999999996</v>
      </c>
    </row>
    <row r="630" spans="4:21" s="37" customFormat="1" ht="15" outlineLevel="1" thickBot="1" x14ac:dyDescent="0.35">
      <c r="D630" s="33" t="str">
        <f>IF(_xll.TM1RPTELISCONSOLIDATED($H$34,$H630),IF(_xll.TM1RPTELLEV($H$34,$H630)&lt;=5,_xll.TM1RPTELLEV($H$34,$H630),"Default"),"Leaf")</f>
        <v>Leaf</v>
      </c>
      <c r="E630" s="42" t="s">
        <v>696</v>
      </c>
      <c r="F630" s="34" t="str">
        <f>_xll.DBR($B$18,$H630,"Account_Type")</f>
        <v>NON LABOR</v>
      </c>
      <c r="G630" s="34" t="str">
        <f>_xll.DBR($B$18,$H630,"Description")</f>
        <v>Postage &amp; Courier Fees</v>
      </c>
      <c r="H630" s="43" t="s">
        <v>554</v>
      </c>
      <c r="I630" s="36">
        <f>_xll.DBRW($E$12,$F$16,$F$17,$F$18,$E630,$F$20,I$22,$H630,$F$19)</f>
        <v>0</v>
      </c>
      <c r="J630" s="36">
        <f>_xll.DBRW($E$12,$F$16,$F$17,$F$18,$E630,$F$20,J$22,$H630,$F$19)</f>
        <v>0</v>
      </c>
      <c r="K630" s="36">
        <f>_xll.DBRW($E$12,$F$16,$F$17,$F$18,$E630,$F$20,K$22,$H630,$F$19)</f>
        <v>0</v>
      </c>
      <c r="L630" s="36">
        <f>_xll.DBRW($E$12,$F$16,$F$17,$F$18,$E630,$F$20,L$22,$H630,$F$19)</f>
        <v>14.67</v>
      </c>
      <c r="M630" s="36">
        <f>_xll.DBRW($E$12,$F$16,$F$17,$F$18,$E630,$F$20,M$22,$H630,$F$19)</f>
        <v>0</v>
      </c>
      <c r="N630" s="36">
        <f>_xll.DBRW($E$12,$F$16,$F$17,$F$18,$E630,$F$20,N$22,$H630,$F$19)</f>
        <v>0</v>
      </c>
      <c r="O630" s="36">
        <f>_xll.DBRW($E$12,$F$16,$F$17,$F$18,$E630,$F$20,O$22,$H630,$F$19)</f>
        <v>0</v>
      </c>
      <c r="P630" s="36">
        <f>_xll.DBRW($E$12,$F$16,$F$17,$F$18,$E630,$F$20,P$22,$H630,$F$19)</f>
        <v>0</v>
      </c>
      <c r="Q630" s="36">
        <f>_xll.DBRW($E$12,$F$16,$F$17,$F$18,$E630,$F$20,Q$22,$H630,$F$19)</f>
        <v>0</v>
      </c>
      <c r="R630" s="36">
        <f>_xll.DBRW($E$12,$F$16,$F$17,$F$18,$E630,$F$20,R$22,$H630,$F$19)</f>
        <v>0</v>
      </c>
      <c r="S630" s="36">
        <f>_xll.DBRW($E$12,$F$16,$F$17,$F$18,$E630,$F$20,S$22,$H630,$F$19)</f>
        <v>0</v>
      </c>
      <c r="T630" s="36">
        <f>_xll.DBRW($E$12,$F$16,$F$17,$F$18,$E630,$F$20,T$22,$H630,$F$19)</f>
        <v>0</v>
      </c>
      <c r="U630" s="36">
        <f>_xll.DBRW($E$12,$F$16,$F$17,$F$18,$E630,$F$20,U$22,$H630,$F$19)</f>
        <v>14.67</v>
      </c>
    </row>
    <row r="631" spans="4:21" s="37" customFormat="1" ht="15" outlineLevel="1" thickBot="1" x14ac:dyDescent="0.35">
      <c r="D631" s="33" t="str">
        <f>IF(_xll.TM1RPTELISCONSOLIDATED($H$34,$H631),IF(_xll.TM1RPTELLEV($H$34,$H631)&lt;=5,_xll.TM1RPTELLEV($H$34,$H631),"Default"),"Leaf")</f>
        <v>Leaf</v>
      </c>
      <c r="E631" s="42" t="s">
        <v>696</v>
      </c>
      <c r="F631" s="34" t="str">
        <f>_xll.DBR($B$18,$H631,"Account_Type")</f>
        <v>NON LABOR</v>
      </c>
      <c r="G631" s="34" t="str">
        <f>_xll.DBR($B$18,$H631,"Description")</f>
        <v>Printing &amp; Reproduction</v>
      </c>
      <c r="H631" s="43" t="s">
        <v>559</v>
      </c>
      <c r="I631" s="36">
        <f>_xll.DBRW($E$12,$F$16,$F$17,$F$18,$E631,$F$20,I$22,$H631,$F$19)</f>
        <v>0</v>
      </c>
      <c r="J631" s="36">
        <f>_xll.DBRW($E$12,$F$16,$F$17,$F$18,$E631,$F$20,J$22,$H631,$F$19)</f>
        <v>0</v>
      </c>
      <c r="K631" s="36">
        <f>_xll.DBRW($E$12,$F$16,$F$17,$F$18,$E631,$F$20,K$22,$H631,$F$19)</f>
        <v>0</v>
      </c>
      <c r="L631" s="36">
        <f>_xll.DBRW($E$12,$F$16,$F$17,$F$18,$E631,$F$20,L$22,$H631,$F$19)</f>
        <v>0</v>
      </c>
      <c r="M631" s="36">
        <f>_xll.DBRW($E$12,$F$16,$F$17,$F$18,$E631,$F$20,M$22,$H631,$F$19)</f>
        <v>930.69</v>
      </c>
      <c r="N631" s="36">
        <f>_xll.DBRW($E$12,$F$16,$F$17,$F$18,$E631,$F$20,N$22,$H631,$F$19)</f>
        <v>3922.37</v>
      </c>
      <c r="O631" s="36">
        <f>_xll.DBRW($E$12,$F$16,$F$17,$F$18,$E631,$F$20,O$22,$H631,$F$19)</f>
        <v>-3922.37</v>
      </c>
      <c r="P631" s="36">
        <f>_xll.DBRW($E$12,$F$16,$F$17,$F$18,$E631,$F$20,P$22,$H631,$F$19)</f>
        <v>0</v>
      </c>
      <c r="Q631" s="36">
        <f>_xll.DBRW($E$12,$F$16,$F$17,$F$18,$E631,$F$20,Q$22,$H631,$F$19)</f>
        <v>0</v>
      </c>
      <c r="R631" s="36">
        <f>_xll.DBRW($E$12,$F$16,$F$17,$F$18,$E631,$F$20,R$22,$H631,$F$19)</f>
        <v>0</v>
      </c>
      <c r="S631" s="36">
        <f>_xll.DBRW($E$12,$F$16,$F$17,$F$18,$E631,$F$20,S$22,$H631,$F$19)</f>
        <v>0</v>
      </c>
      <c r="T631" s="36">
        <f>_xll.DBRW($E$12,$F$16,$F$17,$F$18,$E631,$F$20,T$22,$H631,$F$19)</f>
        <v>0</v>
      </c>
      <c r="U631" s="36">
        <f>_xll.DBRW($E$12,$F$16,$F$17,$F$18,$E631,$F$20,U$22,$H631,$F$19)</f>
        <v>930.6899999999996</v>
      </c>
    </row>
    <row r="632" spans="4:21" s="37" customFormat="1" ht="15" outlineLevel="1" thickBot="1" x14ac:dyDescent="0.35">
      <c r="D632" s="33" t="str">
        <f>IF(_xll.TM1RPTELISCONSOLIDATED($H$34,$H632),IF(_xll.TM1RPTELLEV($H$34,$H632)&lt;=5,_xll.TM1RPTELLEV($H$34,$H632),"Default"),"Leaf")</f>
        <v>Leaf</v>
      </c>
      <c r="E632" s="42" t="s">
        <v>696</v>
      </c>
      <c r="F632" s="34" t="str">
        <f>_xll.DBR($B$18,$H632,"Account_Type")</f>
        <v>NON LABOR</v>
      </c>
      <c r="G632" s="34" t="str">
        <f>_xll.DBR($B$18,$H632,"Description")</f>
        <v>Printing &amp; Reproduction</v>
      </c>
      <c r="H632" s="43" t="s">
        <v>563</v>
      </c>
      <c r="I632" s="36">
        <f>_xll.DBRW($E$12,$F$16,$F$17,$F$18,$E632,$F$20,I$22,$H632,$F$19)</f>
        <v>0</v>
      </c>
      <c r="J632" s="36">
        <f>_xll.DBRW($E$12,$F$16,$F$17,$F$18,$E632,$F$20,J$22,$H632,$F$19)</f>
        <v>118.95</v>
      </c>
      <c r="K632" s="36">
        <f>_xll.DBRW($E$12,$F$16,$F$17,$F$18,$E632,$F$20,K$22,$H632,$F$19)</f>
        <v>0</v>
      </c>
      <c r="L632" s="36">
        <f>_xll.DBRW($E$12,$F$16,$F$17,$F$18,$E632,$F$20,L$22,$H632,$F$19)</f>
        <v>0</v>
      </c>
      <c r="M632" s="36">
        <f>_xll.DBRW($E$12,$F$16,$F$17,$F$18,$E632,$F$20,M$22,$H632,$F$19)</f>
        <v>0</v>
      </c>
      <c r="N632" s="36">
        <f>_xll.DBRW($E$12,$F$16,$F$17,$F$18,$E632,$F$20,N$22,$H632,$F$19)</f>
        <v>0</v>
      </c>
      <c r="O632" s="36">
        <f>_xll.DBRW($E$12,$F$16,$F$17,$F$18,$E632,$F$20,O$22,$H632,$F$19)</f>
        <v>0</v>
      </c>
      <c r="P632" s="36">
        <f>_xll.DBRW($E$12,$F$16,$F$17,$F$18,$E632,$F$20,P$22,$H632,$F$19)</f>
        <v>0</v>
      </c>
      <c r="Q632" s="36">
        <f>_xll.DBRW($E$12,$F$16,$F$17,$F$18,$E632,$F$20,Q$22,$H632,$F$19)</f>
        <v>0</v>
      </c>
      <c r="R632" s="36">
        <f>_xll.DBRW($E$12,$F$16,$F$17,$F$18,$E632,$F$20,R$22,$H632,$F$19)</f>
        <v>0</v>
      </c>
      <c r="S632" s="36">
        <f>_xll.DBRW($E$12,$F$16,$F$17,$F$18,$E632,$F$20,S$22,$H632,$F$19)</f>
        <v>0</v>
      </c>
      <c r="T632" s="36">
        <f>_xll.DBRW($E$12,$F$16,$F$17,$F$18,$E632,$F$20,T$22,$H632,$F$19)</f>
        <v>0</v>
      </c>
      <c r="U632" s="36">
        <f>_xll.DBRW($E$12,$F$16,$F$17,$F$18,$E632,$F$20,U$22,$H632,$F$19)</f>
        <v>118.95</v>
      </c>
    </row>
    <row r="633" spans="4:21" s="37" customFormat="1" ht="15" outlineLevel="1" thickBot="1" x14ac:dyDescent="0.35">
      <c r="D633" s="33" t="str">
        <f>IF(_xll.TM1RPTELISCONSOLIDATED($H$34,$H633),IF(_xll.TM1RPTELLEV($H$34,$H633)&lt;=5,_xll.TM1RPTELLEV($H$34,$H633),"Default"),"Leaf")</f>
        <v>Leaf</v>
      </c>
      <c r="E633" s="42" t="s">
        <v>696</v>
      </c>
      <c r="F633" s="34" t="str">
        <f>_xll.DBR($B$18,$H633,"Account_Type")</f>
        <v>NON LABOR</v>
      </c>
      <c r="G633" s="34" t="str">
        <f>_xll.DBR($B$18,$H633,"Description")</f>
        <v>Education/Training/Dues/Subscriptions</v>
      </c>
      <c r="H633" s="43" t="s">
        <v>567</v>
      </c>
      <c r="I633" s="36">
        <f>_xll.DBRW($E$12,$F$16,$F$17,$F$18,$E633,$F$20,I$22,$H633,$F$19)</f>
        <v>4904.0200000000004</v>
      </c>
      <c r="J633" s="36">
        <f>_xll.DBRW($E$12,$F$16,$F$17,$F$18,$E633,$F$20,J$22,$H633,$F$19)</f>
        <v>8122.85</v>
      </c>
      <c r="K633" s="36">
        <f>_xll.DBRW($E$12,$F$16,$F$17,$F$18,$E633,$F$20,K$22,$H633,$F$19)</f>
        <v>1276.68</v>
      </c>
      <c r="L633" s="36">
        <f>_xll.DBRW($E$12,$F$16,$F$17,$F$18,$E633,$F$20,L$22,$H633,$F$19)</f>
        <v>1583.74</v>
      </c>
      <c r="M633" s="36">
        <f>_xll.DBRW($E$12,$F$16,$F$17,$F$18,$E633,$F$20,M$22,$H633,$F$19)</f>
        <v>2853.51</v>
      </c>
      <c r="N633" s="36">
        <f>_xll.DBRW($E$12,$F$16,$F$17,$F$18,$E633,$F$20,N$22,$H633,$F$19)</f>
        <v>11796.19</v>
      </c>
      <c r="O633" s="36">
        <f>_xll.DBRW($E$12,$F$16,$F$17,$F$18,$E633,$F$20,O$22,$H633,$F$19)</f>
        <v>0</v>
      </c>
      <c r="P633" s="36">
        <f>_xll.DBRW($E$12,$F$16,$F$17,$F$18,$E633,$F$20,P$22,$H633,$F$19)</f>
        <v>0</v>
      </c>
      <c r="Q633" s="36">
        <f>_xll.DBRW($E$12,$F$16,$F$17,$F$18,$E633,$F$20,Q$22,$H633,$F$19)</f>
        <v>0</v>
      </c>
      <c r="R633" s="36">
        <f>_xll.DBRW($E$12,$F$16,$F$17,$F$18,$E633,$F$20,R$22,$H633,$F$19)</f>
        <v>0</v>
      </c>
      <c r="S633" s="36">
        <f>_xll.DBRW($E$12,$F$16,$F$17,$F$18,$E633,$F$20,S$22,$H633,$F$19)</f>
        <v>0</v>
      </c>
      <c r="T633" s="36">
        <f>_xll.DBRW($E$12,$F$16,$F$17,$F$18,$E633,$F$20,T$22,$H633,$F$19)</f>
        <v>0</v>
      </c>
      <c r="U633" s="36">
        <f>_xll.DBRW($E$12,$F$16,$F$17,$F$18,$E633,$F$20,U$22,$H633,$F$19)</f>
        <v>30536.990000000005</v>
      </c>
    </row>
    <row r="634" spans="4:21" s="37" customFormat="1" ht="15" outlineLevel="1" thickBot="1" x14ac:dyDescent="0.35">
      <c r="D634" s="33" t="str">
        <f>IF(_xll.TM1RPTELISCONSOLIDATED($H$34,$H634),IF(_xll.TM1RPTELLEV($H$34,$H634)&lt;=5,_xll.TM1RPTELLEV($H$34,$H634),"Default"),"Leaf")</f>
        <v>Leaf</v>
      </c>
      <c r="E634" s="42" t="s">
        <v>696</v>
      </c>
      <c r="F634" s="34" t="str">
        <f>_xll.DBR($B$18,$H634,"Account_Type")</f>
        <v>NON LABOR</v>
      </c>
      <c r="G634" s="34" t="str">
        <f>_xll.DBR($B$18,$H634,"Description")</f>
        <v>Certificates/Licenses/Permits</v>
      </c>
      <c r="H634" s="43" t="s">
        <v>576</v>
      </c>
      <c r="I634" s="36">
        <f>_xll.DBRW($E$12,$F$16,$F$17,$F$18,$E634,$F$20,I$22,$H634,$F$19)</f>
        <v>0</v>
      </c>
      <c r="J634" s="36">
        <f>_xll.DBRW($E$12,$F$16,$F$17,$F$18,$E634,$F$20,J$22,$H634,$F$19)</f>
        <v>0</v>
      </c>
      <c r="K634" s="36">
        <f>_xll.DBRW($E$12,$F$16,$F$17,$F$18,$E634,$F$20,K$22,$H634,$F$19)</f>
        <v>0</v>
      </c>
      <c r="L634" s="36">
        <f>_xll.DBRW($E$12,$F$16,$F$17,$F$18,$E634,$F$20,L$22,$H634,$F$19)</f>
        <v>0</v>
      </c>
      <c r="M634" s="36">
        <f>_xll.DBRW($E$12,$F$16,$F$17,$F$18,$E634,$F$20,M$22,$H634,$F$19)</f>
        <v>0</v>
      </c>
      <c r="N634" s="36">
        <f>_xll.DBRW($E$12,$F$16,$F$17,$F$18,$E634,$F$20,N$22,$H634,$F$19)</f>
        <v>66893.14</v>
      </c>
      <c r="O634" s="36">
        <f>_xll.DBRW($E$12,$F$16,$F$17,$F$18,$E634,$F$20,O$22,$H634,$F$19)</f>
        <v>0</v>
      </c>
      <c r="P634" s="36">
        <f>_xll.DBRW($E$12,$F$16,$F$17,$F$18,$E634,$F$20,P$22,$H634,$F$19)</f>
        <v>0</v>
      </c>
      <c r="Q634" s="36">
        <f>_xll.DBRW($E$12,$F$16,$F$17,$F$18,$E634,$F$20,Q$22,$H634,$F$19)</f>
        <v>0</v>
      </c>
      <c r="R634" s="36">
        <f>_xll.DBRW($E$12,$F$16,$F$17,$F$18,$E634,$F$20,R$22,$H634,$F$19)</f>
        <v>0</v>
      </c>
      <c r="S634" s="36">
        <f>_xll.DBRW($E$12,$F$16,$F$17,$F$18,$E634,$F$20,S$22,$H634,$F$19)</f>
        <v>0</v>
      </c>
      <c r="T634" s="36">
        <f>_xll.DBRW($E$12,$F$16,$F$17,$F$18,$E634,$F$20,T$22,$H634,$F$19)</f>
        <v>0</v>
      </c>
      <c r="U634" s="36">
        <f>_xll.DBRW($E$12,$F$16,$F$17,$F$18,$E634,$F$20,U$22,$H634,$F$19)</f>
        <v>66893.14</v>
      </c>
    </row>
    <row r="635" spans="4:21" s="37" customFormat="1" ht="15" outlineLevel="1" thickBot="1" x14ac:dyDescent="0.35">
      <c r="D635" s="33" t="str">
        <f>IF(_xll.TM1RPTELISCONSOLIDATED($H$34,$H635),IF(_xll.TM1RPTELLEV($H$34,$H635)&lt;=5,_xll.TM1RPTELLEV($H$34,$H635),"Default"),"Leaf")</f>
        <v>Leaf</v>
      </c>
      <c r="E635" s="42" t="s">
        <v>696</v>
      </c>
      <c r="F635" s="34" t="str">
        <f>_xll.DBR($B$18,$H635,"Account_Type")</f>
        <v>NON LABOR</v>
      </c>
      <c r="G635" s="34" t="str">
        <f>_xll.DBR($B$18,$H635,"Description")</f>
        <v>Office Rent</v>
      </c>
      <c r="H635" s="43" t="s">
        <v>580</v>
      </c>
      <c r="I635" s="36">
        <f>_xll.DBRW($E$12,$F$16,$F$17,$F$18,$E635,$F$20,I$22,$H635,$F$19)</f>
        <v>931.16</v>
      </c>
      <c r="J635" s="36">
        <f>_xll.DBRW($E$12,$F$16,$F$17,$F$18,$E635,$F$20,J$22,$H635,$F$19)</f>
        <v>931.16</v>
      </c>
      <c r="K635" s="36">
        <f>_xll.DBRW($E$12,$F$16,$F$17,$F$18,$E635,$F$20,K$22,$H635,$F$19)</f>
        <v>931.16</v>
      </c>
      <c r="L635" s="36">
        <f>_xll.DBRW($E$12,$F$16,$F$17,$F$18,$E635,$F$20,L$22,$H635,$F$19)</f>
        <v>931.16</v>
      </c>
      <c r="M635" s="36">
        <f>_xll.DBRW($E$12,$F$16,$F$17,$F$18,$E635,$F$20,M$22,$H635,$F$19)</f>
        <v>931.16</v>
      </c>
      <c r="N635" s="36">
        <f>_xll.DBRW($E$12,$F$16,$F$17,$F$18,$E635,$F$20,N$22,$H635,$F$19)</f>
        <v>931.16</v>
      </c>
      <c r="O635" s="36">
        <f>_xll.DBRW($E$12,$F$16,$F$17,$F$18,$E635,$F$20,O$22,$H635,$F$19)</f>
        <v>0</v>
      </c>
      <c r="P635" s="36">
        <f>_xll.DBRW($E$12,$F$16,$F$17,$F$18,$E635,$F$20,P$22,$H635,$F$19)</f>
        <v>0</v>
      </c>
      <c r="Q635" s="36">
        <f>_xll.DBRW($E$12,$F$16,$F$17,$F$18,$E635,$F$20,Q$22,$H635,$F$19)</f>
        <v>0</v>
      </c>
      <c r="R635" s="36">
        <f>_xll.DBRW($E$12,$F$16,$F$17,$F$18,$E635,$F$20,R$22,$H635,$F$19)</f>
        <v>0</v>
      </c>
      <c r="S635" s="36">
        <f>_xll.DBRW($E$12,$F$16,$F$17,$F$18,$E635,$F$20,S$22,$H635,$F$19)</f>
        <v>0</v>
      </c>
      <c r="T635" s="36">
        <f>_xll.DBRW($E$12,$F$16,$F$17,$F$18,$E635,$F$20,T$22,$H635,$F$19)</f>
        <v>0</v>
      </c>
      <c r="U635" s="36">
        <f>_xll.DBRW($E$12,$F$16,$F$17,$F$18,$E635,$F$20,U$22,$H635,$F$19)</f>
        <v>5586.96</v>
      </c>
    </row>
    <row r="636" spans="4:21" s="37" customFormat="1" ht="15" outlineLevel="1" thickBot="1" x14ac:dyDescent="0.35">
      <c r="D636" s="33" t="str">
        <f>IF(_xll.TM1RPTELISCONSOLIDATED($H$34,$H636),IF(_xll.TM1RPTELLEV($H$34,$H636)&lt;=5,_xll.TM1RPTELLEV($H$34,$H636),"Default"),"Leaf")</f>
        <v>Leaf</v>
      </c>
      <c r="E636" s="42" t="s">
        <v>696</v>
      </c>
      <c r="F636" s="34" t="str">
        <f>_xll.DBR($B$18,$H636,"Account_Type")</f>
        <v>NON LABOR</v>
      </c>
      <c r="G636" s="34" t="str">
        <f>_xll.DBR($B$18,$H636,"Description")</f>
        <v>Security / Janitorial Charges</v>
      </c>
      <c r="H636" s="43" t="s">
        <v>587</v>
      </c>
      <c r="I636" s="36">
        <f>_xll.DBRW($E$12,$F$16,$F$17,$F$18,$E636,$F$20,I$22,$H636,$F$19)</f>
        <v>43929.279999999999</v>
      </c>
      <c r="J636" s="36">
        <f>_xll.DBRW($E$12,$F$16,$F$17,$F$18,$E636,$F$20,J$22,$H636,$F$19)</f>
        <v>36914.959999999999</v>
      </c>
      <c r="K636" s="36">
        <f>_xll.DBRW($E$12,$F$16,$F$17,$F$18,$E636,$F$20,K$22,$H636,$F$19)</f>
        <v>29846</v>
      </c>
      <c r="L636" s="36">
        <f>_xll.DBRW($E$12,$F$16,$F$17,$F$18,$E636,$F$20,L$22,$H636,$F$19)</f>
        <v>36316.400000000001</v>
      </c>
      <c r="M636" s="36">
        <f>_xll.DBRW($E$12,$F$16,$F$17,$F$18,$E636,$F$20,M$22,$H636,$F$19)</f>
        <v>39114.31</v>
      </c>
      <c r="N636" s="36">
        <f>_xll.DBRW($E$12,$F$16,$F$17,$F$18,$E636,$F$20,N$22,$H636,$F$19)</f>
        <v>33039.64</v>
      </c>
      <c r="O636" s="36">
        <f>_xll.DBRW($E$12,$F$16,$F$17,$F$18,$E636,$F$20,O$22,$H636,$F$19)</f>
        <v>-3790.08</v>
      </c>
      <c r="P636" s="36">
        <f>_xll.DBRW($E$12,$F$16,$F$17,$F$18,$E636,$F$20,P$22,$H636,$F$19)</f>
        <v>0</v>
      </c>
      <c r="Q636" s="36">
        <f>_xll.DBRW($E$12,$F$16,$F$17,$F$18,$E636,$F$20,Q$22,$H636,$F$19)</f>
        <v>0</v>
      </c>
      <c r="R636" s="36">
        <f>_xll.DBRW($E$12,$F$16,$F$17,$F$18,$E636,$F$20,R$22,$H636,$F$19)</f>
        <v>0</v>
      </c>
      <c r="S636" s="36">
        <f>_xll.DBRW($E$12,$F$16,$F$17,$F$18,$E636,$F$20,S$22,$H636,$F$19)</f>
        <v>0</v>
      </c>
      <c r="T636" s="36">
        <f>_xll.DBRW($E$12,$F$16,$F$17,$F$18,$E636,$F$20,T$22,$H636,$F$19)</f>
        <v>0</v>
      </c>
      <c r="U636" s="36">
        <f>_xll.DBRW($E$12,$F$16,$F$17,$F$18,$E636,$F$20,U$22,$H636,$F$19)</f>
        <v>215370.50999999998</v>
      </c>
    </row>
    <row r="637" spans="4:21" s="37" customFormat="1" ht="15" outlineLevel="1" thickBot="1" x14ac:dyDescent="0.35">
      <c r="D637" s="33" t="str">
        <f>IF(_xll.TM1RPTELISCONSOLIDATED($H$34,$H637),IF(_xll.TM1RPTELLEV($H$34,$H637)&lt;=5,_xll.TM1RPTELLEV($H$34,$H637),"Default"),"Leaf")</f>
        <v>Leaf</v>
      </c>
      <c r="E637" s="42" t="s">
        <v>696</v>
      </c>
      <c r="F637" s="34" t="str">
        <f>_xll.DBR($B$18,$H637,"Account_Type")</f>
        <v>NON LABOR</v>
      </c>
      <c r="G637" s="34" t="str">
        <f>_xll.DBR($B$18,$H637,"Description")</f>
        <v>Professional Services / Consultants</v>
      </c>
      <c r="H637" s="43" t="s">
        <v>595</v>
      </c>
      <c r="I637" s="36">
        <f>_xll.DBRW($E$12,$F$16,$F$17,$F$18,$E637,$F$20,I$22,$H637,$F$19)</f>
        <v>27.34</v>
      </c>
      <c r="J637" s="36">
        <f>_xll.DBRW($E$12,$F$16,$F$17,$F$18,$E637,$F$20,J$22,$H637,$F$19)</f>
        <v>0</v>
      </c>
      <c r="K637" s="36">
        <f>_xll.DBRW($E$12,$F$16,$F$17,$F$18,$E637,$F$20,K$22,$H637,$F$19)</f>
        <v>200</v>
      </c>
      <c r="L637" s="36">
        <f>_xll.DBRW($E$12,$F$16,$F$17,$F$18,$E637,$F$20,L$22,$H637,$F$19)</f>
        <v>0</v>
      </c>
      <c r="M637" s="36">
        <f>_xll.DBRW($E$12,$F$16,$F$17,$F$18,$E637,$F$20,M$22,$H637,$F$19)</f>
        <v>0</v>
      </c>
      <c r="N637" s="36">
        <f>_xll.DBRW($E$12,$F$16,$F$17,$F$18,$E637,$F$20,N$22,$H637,$F$19)</f>
        <v>0</v>
      </c>
      <c r="O637" s="36">
        <f>_xll.DBRW($E$12,$F$16,$F$17,$F$18,$E637,$F$20,O$22,$H637,$F$19)</f>
        <v>0</v>
      </c>
      <c r="P637" s="36">
        <f>_xll.DBRW($E$12,$F$16,$F$17,$F$18,$E637,$F$20,P$22,$H637,$F$19)</f>
        <v>0</v>
      </c>
      <c r="Q637" s="36">
        <f>_xll.DBRW($E$12,$F$16,$F$17,$F$18,$E637,$F$20,Q$22,$H637,$F$19)</f>
        <v>0</v>
      </c>
      <c r="R637" s="36">
        <f>_xll.DBRW($E$12,$F$16,$F$17,$F$18,$E637,$F$20,R$22,$H637,$F$19)</f>
        <v>0</v>
      </c>
      <c r="S637" s="36">
        <f>_xll.DBRW($E$12,$F$16,$F$17,$F$18,$E637,$F$20,S$22,$H637,$F$19)</f>
        <v>0</v>
      </c>
      <c r="T637" s="36">
        <f>_xll.DBRW($E$12,$F$16,$F$17,$F$18,$E637,$F$20,T$22,$H637,$F$19)</f>
        <v>0</v>
      </c>
      <c r="U637" s="36">
        <f>_xll.DBRW($E$12,$F$16,$F$17,$F$18,$E637,$F$20,U$22,$H637,$F$19)</f>
        <v>227.34</v>
      </c>
    </row>
    <row r="638" spans="4:21" s="37" customFormat="1" ht="15" outlineLevel="1" thickBot="1" x14ac:dyDescent="0.35">
      <c r="D638" s="33" t="str">
        <f>IF(_xll.TM1RPTELISCONSOLIDATED($H$34,$H638),IF(_xll.TM1RPTELLEV($H$34,$H638)&lt;=5,_xll.TM1RPTELLEV($H$34,$H638),"Default"),"Leaf")</f>
        <v>Leaf</v>
      </c>
      <c r="E638" s="42" t="s">
        <v>696</v>
      </c>
      <c r="F638" s="34" t="str">
        <f>_xll.DBR($B$18,$H638,"Account_Type")</f>
        <v>NON LABOR</v>
      </c>
      <c r="G638" s="34" t="str">
        <f>_xll.DBR($B$18,$H638,"Description")</f>
        <v>Drug Testing &amp; Physicals</v>
      </c>
      <c r="H638" s="43" t="s">
        <v>604</v>
      </c>
      <c r="I638" s="36">
        <f>_xll.DBRW($E$12,$F$16,$F$17,$F$18,$E638,$F$20,I$22,$H638,$F$19)</f>
        <v>-7847.35</v>
      </c>
      <c r="J638" s="36">
        <f>_xll.DBRW($E$12,$F$16,$F$17,$F$18,$E638,$F$20,J$22,$H638,$F$19)</f>
        <v>0</v>
      </c>
      <c r="K638" s="36">
        <f>_xll.DBRW($E$12,$F$16,$F$17,$F$18,$E638,$F$20,K$22,$H638,$F$19)</f>
        <v>375</v>
      </c>
      <c r="L638" s="36">
        <f>_xll.DBRW($E$12,$F$16,$F$17,$F$18,$E638,$F$20,L$22,$H638,$F$19)</f>
        <v>65</v>
      </c>
      <c r="M638" s="36">
        <f>_xll.DBRW($E$12,$F$16,$F$17,$F$18,$E638,$F$20,M$22,$H638,$F$19)</f>
        <v>0</v>
      </c>
      <c r="N638" s="36">
        <f>_xll.DBRW($E$12,$F$16,$F$17,$F$18,$E638,$F$20,N$22,$H638,$F$19)</f>
        <v>0</v>
      </c>
      <c r="O638" s="36">
        <f>_xll.DBRW($E$12,$F$16,$F$17,$F$18,$E638,$F$20,O$22,$H638,$F$19)</f>
        <v>0</v>
      </c>
      <c r="P638" s="36">
        <f>_xll.DBRW($E$12,$F$16,$F$17,$F$18,$E638,$F$20,P$22,$H638,$F$19)</f>
        <v>0</v>
      </c>
      <c r="Q638" s="36">
        <f>_xll.DBRW($E$12,$F$16,$F$17,$F$18,$E638,$F$20,Q$22,$H638,$F$19)</f>
        <v>0</v>
      </c>
      <c r="R638" s="36">
        <f>_xll.DBRW($E$12,$F$16,$F$17,$F$18,$E638,$F$20,R$22,$H638,$F$19)</f>
        <v>0</v>
      </c>
      <c r="S638" s="36">
        <f>_xll.DBRW($E$12,$F$16,$F$17,$F$18,$E638,$F$20,S$22,$H638,$F$19)</f>
        <v>0</v>
      </c>
      <c r="T638" s="36">
        <f>_xll.DBRW($E$12,$F$16,$F$17,$F$18,$E638,$F$20,T$22,$H638,$F$19)</f>
        <v>0</v>
      </c>
      <c r="U638" s="36">
        <f>_xll.DBRW($E$12,$F$16,$F$17,$F$18,$E638,$F$20,U$22,$H638,$F$19)</f>
        <v>-7407.35</v>
      </c>
    </row>
    <row r="639" spans="4:21" s="37" customFormat="1" ht="15" outlineLevel="1" thickBot="1" x14ac:dyDescent="0.35">
      <c r="D639" s="33" t="str">
        <f>IF(_xll.TM1RPTELISCONSOLIDATED($H$34,$H639),IF(_xll.TM1RPTELLEV($H$34,$H639)&lt;=5,_xll.TM1RPTELLEV($H$34,$H639),"Default"),"Leaf")</f>
        <v>Leaf</v>
      </c>
      <c r="E639" s="42" t="s">
        <v>696</v>
      </c>
      <c r="F639" s="34" t="str">
        <f>_xll.DBR($B$18,$H639,"Account_Type")</f>
        <v>NON LABOR</v>
      </c>
      <c r="G639" s="34" t="str">
        <f>_xll.DBR($B$18,$H639,"Description")</f>
        <v>Safety</v>
      </c>
      <c r="H639" s="43" t="s">
        <v>609</v>
      </c>
      <c r="I639" s="36">
        <f>_xll.DBRW($E$12,$F$16,$F$17,$F$18,$E639,$F$20,I$22,$H639,$F$19)</f>
        <v>0</v>
      </c>
      <c r="J639" s="36">
        <f>_xll.DBRW($E$12,$F$16,$F$17,$F$18,$E639,$F$20,J$22,$H639,$F$19)</f>
        <v>0</v>
      </c>
      <c r="K639" s="36">
        <f>_xll.DBRW($E$12,$F$16,$F$17,$F$18,$E639,$F$20,K$22,$H639,$F$19)</f>
        <v>0</v>
      </c>
      <c r="L639" s="36">
        <f>_xll.DBRW($E$12,$F$16,$F$17,$F$18,$E639,$F$20,L$22,$H639,$F$19)</f>
        <v>631.53</v>
      </c>
      <c r="M639" s="36">
        <f>_xll.DBRW($E$12,$F$16,$F$17,$F$18,$E639,$F$20,M$22,$H639,$F$19)</f>
        <v>765.09</v>
      </c>
      <c r="N639" s="36">
        <f>_xll.DBRW($E$12,$F$16,$F$17,$F$18,$E639,$F$20,N$22,$H639,$F$19)</f>
        <v>180.37</v>
      </c>
      <c r="O639" s="36">
        <f>_xll.DBRW($E$12,$F$16,$F$17,$F$18,$E639,$F$20,O$22,$H639,$F$19)</f>
        <v>0</v>
      </c>
      <c r="P639" s="36">
        <f>_xll.DBRW($E$12,$F$16,$F$17,$F$18,$E639,$F$20,P$22,$H639,$F$19)</f>
        <v>0</v>
      </c>
      <c r="Q639" s="36">
        <f>_xll.DBRW($E$12,$F$16,$F$17,$F$18,$E639,$F$20,Q$22,$H639,$F$19)</f>
        <v>0</v>
      </c>
      <c r="R639" s="36">
        <f>_xll.DBRW($E$12,$F$16,$F$17,$F$18,$E639,$F$20,R$22,$H639,$F$19)</f>
        <v>0</v>
      </c>
      <c r="S639" s="36">
        <f>_xll.DBRW($E$12,$F$16,$F$17,$F$18,$E639,$F$20,S$22,$H639,$F$19)</f>
        <v>0</v>
      </c>
      <c r="T639" s="36">
        <f>_xll.DBRW($E$12,$F$16,$F$17,$F$18,$E639,$F$20,T$22,$H639,$F$19)</f>
        <v>0</v>
      </c>
      <c r="U639" s="36">
        <f>_xll.DBRW($E$12,$F$16,$F$17,$F$18,$E639,$F$20,U$22,$H639,$F$19)</f>
        <v>1576.9899999999998</v>
      </c>
    </row>
    <row r="640" spans="4:21" s="37" customFormat="1" ht="15" outlineLevel="1" thickBot="1" x14ac:dyDescent="0.35">
      <c r="D640" s="33" t="str">
        <f>IF(_xll.TM1RPTELISCONSOLIDATED($H$34,$H640),IF(_xll.TM1RPTELLEV($H$34,$H640)&lt;=5,_xll.TM1RPTELLEV($H$34,$H640),"Default"),"Leaf")</f>
        <v>Leaf</v>
      </c>
      <c r="E640" s="42" t="s">
        <v>696</v>
      </c>
      <c r="F640" s="34" t="str">
        <f>_xll.DBR($B$18,$H640,"Account_Type")</f>
        <v>NON LABOR</v>
      </c>
      <c r="G640" s="34" t="str">
        <f>_xll.DBR($B$18,$H640,"Description")</f>
        <v>Employee Morale &amp; Welfare</v>
      </c>
      <c r="H640" s="43" t="s">
        <v>613</v>
      </c>
      <c r="I640" s="36">
        <f>_xll.DBRW($E$12,$F$16,$F$17,$F$18,$E640,$F$20,I$22,$H640,$F$19)</f>
        <v>2024.3</v>
      </c>
      <c r="J640" s="36">
        <f>_xll.DBRW($E$12,$F$16,$F$17,$F$18,$E640,$F$20,J$22,$H640,$F$19)</f>
        <v>594.02</v>
      </c>
      <c r="K640" s="36">
        <f>_xll.DBRW($E$12,$F$16,$F$17,$F$18,$E640,$F$20,K$22,$H640,$F$19)</f>
        <v>544.45000000000005</v>
      </c>
      <c r="L640" s="36">
        <f>_xll.DBRW($E$12,$F$16,$F$17,$F$18,$E640,$F$20,L$22,$H640,$F$19)</f>
        <v>958.21</v>
      </c>
      <c r="M640" s="36">
        <f>_xll.DBRW($E$12,$F$16,$F$17,$F$18,$E640,$F$20,M$22,$H640,$F$19)</f>
        <v>2303.0300000000002</v>
      </c>
      <c r="N640" s="36">
        <f>_xll.DBRW($E$12,$F$16,$F$17,$F$18,$E640,$F$20,N$22,$H640,$F$19)</f>
        <v>501.74</v>
      </c>
      <c r="O640" s="36">
        <f>_xll.DBRW($E$12,$F$16,$F$17,$F$18,$E640,$F$20,O$22,$H640,$F$19)</f>
        <v>-441</v>
      </c>
      <c r="P640" s="36">
        <f>_xll.DBRW($E$12,$F$16,$F$17,$F$18,$E640,$F$20,P$22,$H640,$F$19)</f>
        <v>0</v>
      </c>
      <c r="Q640" s="36">
        <f>_xll.DBRW($E$12,$F$16,$F$17,$F$18,$E640,$F$20,Q$22,$H640,$F$19)</f>
        <v>0</v>
      </c>
      <c r="R640" s="36">
        <f>_xll.DBRW($E$12,$F$16,$F$17,$F$18,$E640,$F$20,R$22,$H640,$F$19)</f>
        <v>0</v>
      </c>
      <c r="S640" s="36">
        <f>_xll.DBRW($E$12,$F$16,$F$17,$F$18,$E640,$F$20,S$22,$H640,$F$19)</f>
        <v>0</v>
      </c>
      <c r="T640" s="36">
        <f>_xll.DBRW($E$12,$F$16,$F$17,$F$18,$E640,$F$20,T$22,$H640,$F$19)</f>
        <v>0</v>
      </c>
      <c r="U640" s="36">
        <f>_xll.DBRW($E$12,$F$16,$F$17,$F$18,$E640,$F$20,U$22,$H640,$F$19)</f>
        <v>6484.75</v>
      </c>
    </row>
    <row r="641" spans="4:21" s="37" customFormat="1" ht="15" outlineLevel="1" thickBot="1" x14ac:dyDescent="0.35">
      <c r="D641" s="33" t="str">
        <f>IF(_xll.TM1RPTELISCONSOLIDATED($H$34,$H641),IF(_xll.TM1RPTELLEV($H$34,$H641)&lt;=5,_xll.TM1RPTELLEV($H$34,$H641),"Default"),"Leaf")</f>
        <v>Leaf</v>
      </c>
      <c r="E641" s="42" t="s">
        <v>696</v>
      </c>
      <c r="F641" s="34" t="str">
        <f>_xll.DBR($B$18,$H641,"Account_Type")</f>
        <v>NON LABOR</v>
      </c>
      <c r="G641" s="34" t="str">
        <f>_xll.DBR($B$18,$H641,"Description")</f>
        <v>Small Tools</v>
      </c>
      <c r="H641" s="43" t="s">
        <v>617</v>
      </c>
      <c r="I641" s="36">
        <f>_xll.DBRW($E$12,$F$16,$F$17,$F$18,$E641,$F$20,I$22,$H641,$F$19)</f>
        <v>503.68</v>
      </c>
      <c r="J641" s="36">
        <f>_xll.DBRW($E$12,$F$16,$F$17,$F$18,$E641,$F$20,J$22,$H641,$F$19)</f>
        <v>0</v>
      </c>
      <c r="K641" s="36">
        <f>_xll.DBRW($E$12,$F$16,$F$17,$F$18,$E641,$F$20,K$22,$H641,$F$19)</f>
        <v>886.25</v>
      </c>
      <c r="L641" s="36">
        <f>_xll.DBRW($E$12,$F$16,$F$17,$F$18,$E641,$F$20,L$22,$H641,$F$19)</f>
        <v>77.930000000000007</v>
      </c>
      <c r="M641" s="36">
        <f>_xll.DBRW($E$12,$F$16,$F$17,$F$18,$E641,$F$20,M$22,$H641,$F$19)</f>
        <v>49.06</v>
      </c>
      <c r="N641" s="36">
        <f>_xll.DBRW($E$12,$F$16,$F$17,$F$18,$E641,$F$20,N$22,$H641,$F$19)</f>
        <v>331.57</v>
      </c>
      <c r="O641" s="36">
        <f>_xll.DBRW($E$12,$F$16,$F$17,$F$18,$E641,$F$20,O$22,$H641,$F$19)</f>
        <v>0</v>
      </c>
      <c r="P641" s="36">
        <f>_xll.DBRW($E$12,$F$16,$F$17,$F$18,$E641,$F$20,P$22,$H641,$F$19)</f>
        <v>0</v>
      </c>
      <c r="Q641" s="36">
        <f>_xll.DBRW($E$12,$F$16,$F$17,$F$18,$E641,$F$20,Q$22,$H641,$F$19)</f>
        <v>0</v>
      </c>
      <c r="R641" s="36">
        <f>_xll.DBRW($E$12,$F$16,$F$17,$F$18,$E641,$F$20,R$22,$H641,$F$19)</f>
        <v>0</v>
      </c>
      <c r="S641" s="36">
        <f>_xll.DBRW($E$12,$F$16,$F$17,$F$18,$E641,$F$20,S$22,$H641,$F$19)</f>
        <v>0</v>
      </c>
      <c r="T641" s="36">
        <f>_xll.DBRW($E$12,$F$16,$F$17,$F$18,$E641,$F$20,T$22,$H641,$F$19)</f>
        <v>0</v>
      </c>
      <c r="U641" s="36">
        <f>_xll.DBRW($E$12,$F$16,$F$17,$F$18,$E641,$F$20,U$22,$H641,$F$19)</f>
        <v>1848.49</v>
      </c>
    </row>
    <row r="642" spans="4:21" s="37" customFormat="1" ht="15" outlineLevel="1" thickBot="1" x14ac:dyDescent="0.35">
      <c r="D642" s="33" t="str">
        <f>IF(_xll.TM1RPTELISCONSOLIDATED($H$34,$H642),IF(_xll.TM1RPTELLEV($H$34,$H642)&lt;=5,_xll.TM1RPTELLEV($H$34,$H642),"Default"),"Leaf")</f>
        <v>Leaf</v>
      </c>
      <c r="E642" s="42" t="s">
        <v>696</v>
      </c>
      <c r="F642" s="34" t="str">
        <f>_xll.DBR($B$18,$H642,"Account_Type")</f>
        <v>NON LABOR</v>
      </c>
      <c r="G642" s="34" t="str">
        <f>_xll.DBR($B$18,$H642,"Description")</f>
        <v>Consumable Purchases</v>
      </c>
      <c r="H642" s="43" t="s">
        <v>707</v>
      </c>
      <c r="I642" s="36">
        <f>_xll.DBRW($E$12,$F$16,$F$17,$F$18,$E642,$F$20,I$22,$H642,$F$19)</f>
        <v>0</v>
      </c>
      <c r="J642" s="36">
        <f>_xll.DBRW($E$12,$F$16,$F$17,$F$18,$E642,$F$20,J$22,$H642,$F$19)</f>
        <v>0</v>
      </c>
      <c r="K642" s="36">
        <f>_xll.DBRW($E$12,$F$16,$F$17,$F$18,$E642,$F$20,K$22,$H642,$F$19)</f>
        <v>0</v>
      </c>
      <c r="L642" s="36">
        <f>_xll.DBRW($E$12,$F$16,$F$17,$F$18,$E642,$F$20,L$22,$H642,$F$19)</f>
        <v>0</v>
      </c>
      <c r="M642" s="36">
        <f>_xll.DBRW($E$12,$F$16,$F$17,$F$18,$E642,$F$20,M$22,$H642,$F$19)</f>
        <v>0</v>
      </c>
      <c r="N642" s="36">
        <f>_xll.DBRW($E$12,$F$16,$F$17,$F$18,$E642,$F$20,N$22,$H642,$F$19)</f>
        <v>2890.9</v>
      </c>
      <c r="O642" s="36">
        <f>_xll.DBRW($E$12,$F$16,$F$17,$F$18,$E642,$F$20,O$22,$H642,$F$19)</f>
        <v>-2890.9</v>
      </c>
      <c r="P642" s="36">
        <f>_xll.DBRW($E$12,$F$16,$F$17,$F$18,$E642,$F$20,P$22,$H642,$F$19)</f>
        <v>0</v>
      </c>
      <c r="Q642" s="36">
        <f>_xll.DBRW($E$12,$F$16,$F$17,$F$18,$E642,$F$20,Q$22,$H642,$F$19)</f>
        <v>0</v>
      </c>
      <c r="R642" s="36">
        <f>_xll.DBRW($E$12,$F$16,$F$17,$F$18,$E642,$F$20,R$22,$H642,$F$19)</f>
        <v>0</v>
      </c>
      <c r="S642" s="36">
        <f>_xll.DBRW($E$12,$F$16,$F$17,$F$18,$E642,$F$20,S$22,$H642,$F$19)</f>
        <v>0</v>
      </c>
      <c r="T642" s="36">
        <f>_xll.DBRW($E$12,$F$16,$F$17,$F$18,$E642,$F$20,T$22,$H642,$F$19)</f>
        <v>0</v>
      </c>
      <c r="U642" s="36">
        <f>_xll.DBRW($E$12,$F$16,$F$17,$F$18,$E642,$F$20,U$22,$H642,$F$19)</f>
        <v>0</v>
      </c>
    </row>
    <row r="643" spans="4:21" s="37" customFormat="1" ht="15" outlineLevel="1" thickBot="1" x14ac:dyDescent="0.35">
      <c r="D643" s="33" t="str">
        <f>IF(_xll.TM1RPTELISCONSOLIDATED($H$34,$H643),IF(_xll.TM1RPTELLEV($H$34,$H643)&lt;=5,_xll.TM1RPTELLEV($H$34,$H643),"Default"),"Leaf")</f>
        <v>Leaf</v>
      </c>
      <c r="E643" s="42" t="s">
        <v>696</v>
      </c>
      <c r="F643" s="34" t="str">
        <f>_xll.DBR($B$18,$H643,"Account_Type")</f>
        <v>NON LABOR</v>
      </c>
      <c r="G643" s="34" t="str">
        <f>_xll.DBR($B$18,$H643,"Description")</f>
        <v>Consumable Purchases</v>
      </c>
      <c r="H643" s="43" t="s">
        <v>621</v>
      </c>
      <c r="I643" s="36">
        <f>_xll.DBRW($E$12,$F$16,$F$17,$F$18,$E643,$F$20,I$22,$H643,$F$19)</f>
        <v>0</v>
      </c>
      <c r="J643" s="36">
        <f>_xll.DBRW($E$12,$F$16,$F$17,$F$18,$E643,$F$20,J$22,$H643,$F$19)</f>
        <v>0</v>
      </c>
      <c r="K643" s="36">
        <f>_xll.DBRW($E$12,$F$16,$F$17,$F$18,$E643,$F$20,K$22,$H643,$F$19)</f>
        <v>3348.76</v>
      </c>
      <c r="L643" s="36">
        <f>_xll.DBRW($E$12,$F$16,$F$17,$F$18,$E643,$F$20,L$22,$H643,$F$19)</f>
        <v>189.54</v>
      </c>
      <c r="M643" s="36">
        <f>_xll.DBRW($E$12,$F$16,$F$17,$F$18,$E643,$F$20,M$22,$H643,$F$19)</f>
        <v>0</v>
      </c>
      <c r="N643" s="36">
        <f>_xll.DBRW($E$12,$F$16,$F$17,$F$18,$E643,$F$20,N$22,$H643,$F$19)</f>
        <v>0</v>
      </c>
      <c r="O643" s="36">
        <f>_xll.DBRW($E$12,$F$16,$F$17,$F$18,$E643,$F$20,O$22,$H643,$F$19)</f>
        <v>0</v>
      </c>
      <c r="P643" s="36">
        <f>_xll.DBRW($E$12,$F$16,$F$17,$F$18,$E643,$F$20,P$22,$H643,$F$19)</f>
        <v>0</v>
      </c>
      <c r="Q643" s="36">
        <f>_xll.DBRW($E$12,$F$16,$F$17,$F$18,$E643,$F$20,Q$22,$H643,$F$19)</f>
        <v>0</v>
      </c>
      <c r="R643" s="36">
        <f>_xll.DBRW($E$12,$F$16,$F$17,$F$18,$E643,$F$20,R$22,$H643,$F$19)</f>
        <v>0</v>
      </c>
      <c r="S643" s="36">
        <f>_xll.DBRW($E$12,$F$16,$F$17,$F$18,$E643,$F$20,S$22,$H643,$F$19)</f>
        <v>0</v>
      </c>
      <c r="T643" s="36">
        <f>_xll.DBRW($E$12,$F$16,$F$17,$F$18,$E643,$F$20,T$22,$H643,$F$19)</f>
        <v>0</v>
      </c>
      <c r="U643" s="36">
        <f>_xll.DBRW($E$12,$F$16,$F$17,$F$18,$E643,$F$20,U$22,$H643,$F$19)</f>
        <v>3538.3</v>
      </c>
    </row>
    <row r="644" spans="4:21" s="37" customFormat="1" ht="15" outlineLevel="1" thickBot="1" x14ac:dyDescent="0.35">
      <c r="D644" s="33" t="str">
        <f>IF(_xll.TM1RPTELISCONSOLIDATED($H$34,$H644),IF(_xll.TM1RPTELLEV($H$34,$H644)&lt;=5,_xll.TM1RPTELLEV($H$34,$H644),"Default"),"Leaf")</f>
        <v>Leaf</v>
      </c>
      <c r="E644" s="42" t="s">
        <v>696</v>
      </c>
      <c r="F644" s="34" t="str">
        <f>_xll.DBR($B$18,$H644,"Account_Type")</f>
        <v>NON LABOR</v>
      </c>
      <c r="G644" s="34" t="str">
        <f>_xll.DBR($B$18,$H644,"Description")</f>
        <v>Employee Leased Vehicles</v>
      </c>
      <c r="H644" s="43" t="s">
        <v>630</v>
      </c>
      <c r="I644" s="36">
        <f>_xll.DBRW($E$12,$F$16,$F$17,$F$18,$E644,$F$20,I$22,$H644,$F$19)</f>
        <v>4800</v>
      </c>
      <c r="J644" s="36">
        <f>_xll.DBRW($E$12,$F$16,$F$17,$F$18,$E644,$F$20,J$22,$H644,$F$19)</f>
        <v>4800</v>
      </c>
      <c r="K644" s="36">
        <f>_xll.DBRW($E$12,$F$16,$F$17,$F$18,$E644,$F$20,K$22,$H644,$F$19)</f>
        <v>4800</v>
      </c>
      <c r="L644" s="36">
        <f>_xll.DBRW($E$12,$F$16,$F$17,$F$18,$E644,$F$20,L$22,$H644,$F$19)</f>
        <v>4800</v>
      </c>
      <c r="M644" s="36">
        <f>_xll.DBRW($E$12,$F$16,$F$17,$F$18,$E644,$F$20,M$22,$H644,$F$19)</f>
        <v>4800</v>
      </c>
      <c r="N644" s="36">
        <f>_xll.DBRW($E$12,$F$16,$F$17,$F$18,$E644,$F$20,N$22,$H644,$F$19)</f>
        <v>4800</v>
      </c>
      <c r="O644" s="36">
        <f>_xll.DBRW($E$12,$F$16,$F$17,$F$18,$E644,$F$20,O$22,$H644,$F$19)</f>
        <v>4800</v>
      </c>
      <c r="P644" s="36">
        <f>_xll.DBRW($E$12,$F$16,$F$17,$F$18,$E644,$F$20,P$22,$H644,$F$19)</f>
        <v>0</v>
      </c>
      <c r="Q644" s="36">
        <f>_xll.DBRW($E$12,$F$16,$F$17,$F$18,$E644,$F$20,Q$22,$H644,$F$19)</f>
        <v>0</v>
      </c>
      <c r="R644" s="36">
        <f>_xll.DBRW($E$12,$F$16,$F$17,$F$18,$E644,$F$20,R$22,$H644,$F$19)</f>
        <v>0</v>
      </c>
      <c r="S644" s="36">
        <f>_xll.DBRW($E$12,$F$16,$F$17,$F$18,$E644,$F$20,S$22,$H644,$F$19)</f>
        <v>0</v>
      </c>
      <c r="T644" s="36">
        <f>_xll.DBRW($E$12,$F$16,$F$17,$F$18,$E644,$F$20,T$22,$H644,$F$19)</f>
        <v>0</v>
      </c>
      <c r="U644" s="36">
        <f>_xll.DBRW($E$12,$F$16,$F$17,$F$18,$E644,$F$20,U$22,$H644,$F$19)</f>
        <v>33600</v>
      </c>
    </row>
    <row r="645" spans="4:21" s="37" customFormat="1" ht="15" outlineLevel="1" thickBot="1" x14ac:dyDescent="0.35">
      <c r="D645" s="33" t="str">
        <f>IF(_xll.TM1RPTELISCONSOLIDATED($H$34,$H645),IF(_xll.TM1RPTELLEV($H$34,$H645)&lt;=5,_xll.TM1RPTELLEV($H$34,$H645),"Default"),"Leaf")</f>
        <v>Leaf</v>
      </c>
      <c r="E645" s="42" t="s">
        <v>696</v>
      </c>
      <c r="F645" s="34" t="str">
        <f>_xll.DBR($B$18,$H645,"Account_Type")</f>
        <v>NON LABOR</v>
      </c>
      <c r="G645" s="34" t="str">
        <f>_xll.DBR($B$18,$H645,"Description")</f>
        <v>Employee Leased Vehicles</v>
      </c>
      <c r="H645" s="43" t="s">
        <v>638</v>
      </c>
      <c r="I645" s="36">
        <f>_xll.DBRW($E$12,$F$16,$F$17,$F$18,$E645,$F$20,I$22,$H645,$F$19)</f>
        <v>1500</v>
      </c>
      <c r="J645" s="36">
        <f>_xll.DBRW($E$12,$F$16,$F$17,$F$18,$E645,$F$20,J$22,$H645,$F$19)</f>
        <v>900</v>
      </c>
      <c r="K645" s="36">
        <f>_xll.DBRW($E$12,$F$16,$F$17,$F$18,$E645,$F$20,K$22,$H645,$F$19)</f>
        <v>1345.16</v>
      </c>
      <c r="L645" s="36">
        <f>_xll.DBRW($E$12,$F$16,$F$17,$F$18,$E645,$F$20,L$22,$H645,$F$19)</f>
        <v>1400</v>
      </c>
      <c r="M645" s="36">
        <f>_xll.DBRW($E$12,$F$16,$F$17,$F$18,$E645,$F$20,M$22,$H645,$F$19)</f>
        <v>1400</v>
      </c>
      <c r="N645" s="36">
        <f>_xll.DBRW($E$12,$F$16,$F$17,$F$18,$E645,$F$20,N$22,$H645,$F$19)</f>
        <v>1400</v>
      </c>
      <c r="O645" s="36">
        <f>_xll.DBRW($E$12,$F$16,$F$17,$F$18,$E645,$F$20,O$22,$H645,$F$19)</f>
        <v>1166.67</v>
      </c>
      <c r="P645" s="36">
        <f>_xll.DBRW($E$12,$F$16,$F$17,$F$18,$E645,$F$20,P$22,$H645,$F$19)</f>
        <v>0</v>
      </c>
      <c r="Q645" s="36">
        <f>_xll.DBRW($E$12,$F$16,$F$17,$F$18,$E645,$F$20,Q$22,$H645,$F$19)</f>
        <v>0</v>
      </c>
      <c r="R645" s="36">
        <f>_xll.DBRW($E$12,$F$16,$F$17,$F$18,$E645,$F$20,R$22,$H645,$F$19)</f>
        <v>0</v>
      </c>
      <c r="S645" s="36">
        <f>_xll.DBRW($E$12,$F$16,$F$17,$F$18,$E645,$F$20,S$22,$H645,$F$19)</f>
        <v>0</v>
      </c>
      <c r="T645" s="36">
        <f>_xll.DBRW($E$12,$F$16,$F$17,$F$18,$E645,$F$20,T$22,$H645,$F$19)</f>
        <v>0</v>
      </c>
      <c r="U645" s="36">
        <f>_xll.DBRW($E$12,$F$16,$F$17,$F$18,$E645,$F$20,U$22,$H645,$F$19)</f>
        <v>9111.83</v>
      </c>
    </row>
    <row r="646" spans="4:21" s="37" customFormat="1" ht="15" outlineLevel="1" thickBot="1" x14ac:dyDescent="0.35">
      <c r="D646" s="33" t="str">
        <f>IF(_xll.TM1RPTELISCONSOLIDATED($H$34,$H646),IF(_xll.TM1RPTELLEV($H$34,$H646)&lt;=5,_xll.TM1RPTELLEV($H$34,$H646),"Default"),"Leaf")</f>
        <v>Leaf</v>
      </c>
      <c r="E646" s="42" t="s">
        <v>696</v>
      </c>
      <c r="F646" s="34" t="str">
        <f>_xll.DBR($B$18,$H646,"Account_Type")</f>
        <v>NON LABOR</v>
      </c>
      <c r="G646" s="34" t="str">
        <f>_xll.DBR($B$18,$H646,"Description")</f>
        <v>Fuel to Leased Vehicles</v>
      </c>
      <c r="H646" s="43" t="s">
        <v>642</v>
      </c>
      <c r="I646" s="36">
        <f>_xll.DBRW($E$12,$F$16,$F$17,$F$18,$E646,$F$20,I$22,$H646,$F$19)</f>
        <v>1361.87</v>
      </c>
      <c r="J646" s="36">
        <f>_xll.DBRW($E$12,$F$16,$F$17,$F$18,$E646,$F$20,J$22,$H646,$F$19)</f>
        <v>1580.58</v>
      </c>
      <c r="K646" s="36">
        <f>_xll.DBRW($E$12,$F$16,$F$17,$F$18,$E646,$F$20,K$22,$H646,$F$19)</f>
        <v>1093.71</v>
      </c>
      <c r="L646" s="36">
        <f>_xll.DBRW($E$12,$F$16,$F$17,$F$18,$E646,$F$20,L$22,$H646,$F$19)</f>
        <v>1411.62</v>
      </c>
      <c r="M646" s="36">
        <f>_xll.DBRW($E$12,$F$16,$F$17,$F$18,$E646,$F$20,M$22,$H646,$F$19)</f>
        <v>1614.13</v>
      </c>
      <c r="N646" s="36">
        <f>_xll.DBRW($E$12,$F$16,$F$17,$F$18,$E646,$F$20,N$22,$H646,$F$19)</f>
        <v>0</v>
      </c>
      <c r="O646" s="36">
        <f>_xll.DBRW($E$12,$F$16,$F$17,$F$18,$E646,$F$20,O$22,$H646,$F$19)</f>
        <v>0</v>
      </c>
      <c r="P646" s="36">
        <f>_xll.DBRW($E$12,$F$16,$F$17,$F$18,$E646,$F$20,P$22,$H646,$F$19)</f>
        <v>0</v>
      </c>
      <c r="Q646" s="36">
        <f>_xll.DBRW($E$12,$F$16,$F$17,$F$18,$E646,$F$20,Q$22,$H646,$F$19)</f>
        <v>0</v>
      </c>
      <c r="R646" s="36">
        <f>_xll.DBRW($E$12,$F$16,$F$17,$F$18,$E646,$F$20,R$22,$H646,$F$19)</f>
        <v>0</v>
      </c>
      <c r="S646" s="36">
        <f>_xll.DBRW($E$12,$F$16,$F$17,$F$18,$E646,$F$20,S$22,$H646,$F$19)</f>
        <v>0</v>
      </c>
      <c r="T646" s="36">
        <f>_xll.DBRW($E$12,$F$16,$F$17,$F$18,$E646,$F$20,T$22,$H646,$F$19)</f>
        <v>0</v>
      </c>
      <c r="U646" s="36">
        <f>_xll.DBRW($E$12,$F$16,$F$17,$F$18,$E646,$F$20,U$22,$H646,$F$19)</f>
        <v>7061.91</v>
      </c>
    </row>
    <row r="647" spans="4:21" s="37" customFormat="1" ht="15" outlineLevel="1" thickBot="1" x14ac:dyDescent="0.35">
      <c r="D647" s="33" t="str">
        <f>IF(_xll.TM1RPTELISCONSOLIDATED($H$34,$H647),IF(_xll.TM1RPTELLEV($H$34,$H647)&lt;=5,_xll.TM1RPTELLEV($H$34,$H647),"Default"),"Leaf")</f>
        <v>Leaf</v>
      </c>
      <c r="E647" s="42" t="s">
        <v>696</v>
      </c>
      <c r="F647" s="34" t="str">
        <f>_xll.DBR($B$18,$H647,"Account_Type")</f>
        <v>NON LABOR</v>
      </c>
      <c r="G647" s="34" t="str">
        <f>_xll.DBR($B$18,$H647,"Description")</f>
        <v>Fuel to Leased Vehicles</v>
      </c>
      <c r="H647" s="43" t="s">
        <v>646</v>
      </c>
      <c r="I647" s="36">
        <f>_xll.DBRW($E$12,$F$16,$F$17,$F$18,$E647,$F$20,I$22,$H647,$F$19)</f>
        <v>357.72</v>
      </c>
      <c r="J647" s="36">
        <f>_xll.DBRW($E$12,$F$16,$F$17,$F$18,$E647,$F$20,J$22,$H647,$F$19)</f>
        <v>654.38</v>
      </c>
      <c r="K647" s="36">
        <f>_xll.DBRW($E$12,$F$16,$F$17,$F$18,$E647,$F$20,K$22,$H647,$F$19)</f>
        <v>406.17</v>
      </c>
      <c r="L647" s="36">
        <f>_xll.DBRW($E$12,$F$16,$F$17,$F$18,$E647,$F$20,L$22,$H647,$F$19)</f>
        <v>672.81</v>
      </c>
      <c r="M647" s="36">
        <f>_xll.DBRW($E$12,$F$16,$F$17,$F$18,$E647,$F$20,M$22,$H647,$F$19)</f>
        <v>773.58</v>
      </c>
      <c r="N647" s="36">
        <f>_xll.DBRW($E$12,$F$16,$F$17,$F$18,$E647,$F$20,N$22,$H647,$F$19)</f>
        <v>0</v>
      </c>
      <c r="O647" s="36">
        <f>_xll.DBRW($E$12,$F$16,$F$17,$F$18,$E647,$F$20,O$22,$H647,$F$19)</f>
        <v>0</v>
      </c>
      <c r="P647" s="36">
        <f>_xll.DBRW($E$12,$F$16,$F$17,$F$18,$E647,$F$20,P$22,$H647,$F$19)</f>
        <v>0</v>
      </c>
      <c r="Q647" s="36">
        <f>_xll.DBRW($E$12,$F$16,$F$17,$F$18,$E647,$F$20,Q$22,$H647,$F$19)</f>
        <v>0</v>
      </c>
      <c r="R647" s="36">
        <f>_xll.DBRW($E$12,$F$16,$F$17,$F$18,$E647,$F$20,R$22,$H647,$F$19)</f>
        <v>0</v>
      </c>
      <c r="S647" s="36">
        <f>_xll.DBRW($E$12,$F$16,$F$17,$F$18,$E647,$F$20,S$22,$H647,$F$19)</f>
        <v>0</v>
      </c>
      <c r="T647" s="36">
        <f>_xll.DBRW($E$12,$F$16,$F$17,$F$18,$E647,$F$20,T$22,$H647,$F$19)</f>
        <v>0</v>
      </c>
      <c r="U647" s="36">
        <f>_xll.DBRW($E$12,$F$16,$F$17,$F$18,$E647,$F$20,U$22,$H647,$F$19)</f>
        <v>2864.66</v>
      </c>
    </row>
    <row r="648" spans="4:21" s="37" customFormat="1" ht="15" outlineLevel="1" thickBot="1" x14ac:dyDescent="0.35">
      <c r="D648" s="33" t="str">
        <f>IF(_xll.TM1RPTELISCONSOLIDATED($H$34,$H648),IF(_xll.TM1RPTELLEV($H$34,$H648)&lt;=5,_xll.TM1RPTELLEV($H$34,$H648),"Default"),"Leaf")</f>
        <v>Leaf</v>
      </c>
      <c r="E648" s="42" t="s">
        <v>696</v>
      </c>
      <c r="F648" s="34" t="str">
        <f>_xll.DBR($B$18,$H648,"Account_Type")</f>
        <v>NON LABOR</v>
      </c>
      <c r="G648" s="34" t="str">
        <f>_xll.DBR($B$18,$H648,"Description")</f>
        <v>Fuel to Company Owned Equipment</v>
      </c>
      <c r="H648" s="43" t="s">
        <v>654</v>
      </c>
      <c r="I648" s="36">
        <f>_xll.DBRW($E$12,$F$16,$F$17,$F$18,$E648,$F$20,I$22,$H648,$F$19)</f>
        <v>333.4</v>
      </c>
      <c r="J648" s="36">
        <f>_xll.DBRW($E$12,$F$16,$F$17,$F$18,$E648,$F$20,J$22,$H648,$F$19)</f>
        <v>419.32</v>
      </c>
      <c r="K648" s="36">
        <f>_xll.DBRW($E$12,$F$16,$F$17,$F$18,$E648,$F$20,K$22,$H648,$F$19)</f>
        <v>454.64</v>
      </c>
      <c r="L648" s="36">
        <f>_xll.DBRW($E$12,$F$16,$F$17,$F$18,$E648,$F$20,L$22,$H648,$F$19)</f>
        <v>465.23</v>
      </c>
      <c r="M648" s="36">
        <f>_xll.DBRW($E$12,$F$16,$F$17,$F$18,$E648,$F$20,M$22,$H648,$F$19)</f>
        <v>794.67</v>
      </c>
      <c r="N648" s="36">
        <f>_xll.DBRW($E$12,$F$16,$F$17,$F$18,$E648,$F$20,N$22,$H648,$F$19)</f>
        <v>619.29</v>
      </c>
      <c r="O648" s="36">
        <f>_xll.DBRW($E$12,$F$16,$F$17,$F$18,$E648,$F$20,O$22,$H648,$F$19)</f>
        <v>217.95</v>
      </c>
      <c r="P648" s="36">
        <f>_xll.DBRW($E$12,$F$16,$F$17,$F$18,$E648,$F$20,P$22,$H648,$F$19)</f>
        <v>0</v>
      </c>
      <c r="Q648" s="36">
        <f>_xll.DBRW($E$12,$F$16,$F$17,$F$18,$E648,$F$20,Q$22,$H648,$F$19)</f>
        <v>0</v>
      </c>
      <c r="R648" s="36">
        <f>_xll.DBRW($E$12,$F$16,$F$17,$F$18,$E648,$F$20,R$22,$H648,$F$19)</f>
        <v>0</v>
      </c>
      <c r="S648" s="36">
        <f>_xll.DBRW($E$12,$F$16,$F$17,$F$18,$E648,$F$20,S$22,$H648,$F$19)</f>
        <v>0</v>
      </c>
      <c r="T648" s="36">
        <f>_xll.DBRW($E$12,$F$16,$F$17,$F$18,$E648,$F$20,T$22,$H648,$F$19)</f>
        <v>0</v>
      </c>
      <c r="U648" s="36">
        <f>_xll.DBRW($E$12,$F$16,$F$17,$F$18,$E648,$F$20,U$22,$H648,$F$19)</f>
        <v>3304.5</v>
      </c>
    </row>
    <row r="649" spans="4:21" s="37" customFormat="1" ht="15" outlineLevel="1" thickBot="1" x14ac:dyDescent="0.35">
      <c r="D649" s="33" t="str">
        <f>IF(_xll.TM1RPTELISCONSOLIDATED($H$34,$H649),IF(_xll.TM1RPTELLEV($H$34,$H649)&lt;=5,_xll.TM1RPTELLEV($H$34,$H649),"Default"),"Leaf")</f>
        <v>Leaf</v>
      </c>
      <c r="E649" s="42" t="s">
        <v>696</v>
      </c>
      <c r="F649" s="34" t="str">
        <f>_xll.DBR($B$18,$H649,"Account_Type")</f>
        <v>NON LABOR</v>
      </c>
      <c r="G649" s="34" t="str">
        <f>_xll.DBR($B$18,$H649,"Description")</f>
        <v>Miscellaneous Expense</v>
      </c>
      <c r="H649" s="43" t="s">
        <v>662</v>
      </c>
      <c r="I649" s="36">
        <f>_xll.DBRW($E$12,$F$16,$F$17,$F$18,$E649,$F$20,I$22,$H649,$F$19)</f>
        <v>0</v>
      </c>
      <c r="J649" s="36">
        <f>_xll.DBRW($E$12,$F$16,$F$17,$F$18,$E649,$F$20,J$22,$H649,$F$19)</f>
        <v>59.02</v>
      </c>
      <c r="K649" s="36">
        <f>_xll.DBRW($E$12,$F$16,$F$17,$F$18,$E649,$F$20,K$22,$H649,$F$19)</f>
        <v>0</v>
      </c>
      <c r="L649" s="36">
        <f>_xll.DBRW($E$12,$F$16,$F$17,$F$18,$E649,$F$20,L$22,$H649,$F$19)</f>
        <v>90</v>
      </c>
      <c r="M649" s="36">
        <f>_xll.DBRW($E$12,$F$16,$F$17,$F$18,$E649,$F$20,M$22,$H649,$F$19)</f>
        <v>0</v>
      </c>
      <c r="N649" s="36">
        <f>_xll.DBRW($E$12,$F$16,$F$17,$F$18,$E649,$F$20,N$22,$H649,$F$19)</f>
        <v>0</v>
      </c>
      <c r="O649" s="36">
        <f>_xll.DBRW($E$12,$F$16,$F$17,$F$18,$E649,$F$20,O$22,$H649,$F$19)</f>
        <v>0</v>
      </c>
      <c r="P649" s="36">
        <f>_xll.DBRW($E$12,$F$16,$F$17,$F$18,$E649,$F$20,P$22,$H649,$F$19)</f>
        <v>0</v>
      </c>
      <c r="Q649" s="36">
        <f>_xll.DBRW($E$12,$F$16,$F$17,$F$18,$E649,$F$20,Q$22,$H649,$F$19)</f>
        <v>0</v>
      </c>
      <c r="R649" s="36">
        <f>_xll.DBRW($E$12,$F$16,$F$17,$F$18,$E649,$F$20,R$22,$H649,$F$19)</f>
        <v>0</v>
      </c>
      <c r="S649" s="36">
        <f>_xll.DBRW($E$12,$F$16,$F$17,$F$18,$E649,$F$20,S$22,$H649,$F$19)</f>
        <v>0</v>
      </c>
      <c r="T649" s="36">
        <f>_xll.DBRW($E$12,$F$16,$F$17,$F$18,$E649,$F$20,T$22,$H649,$F$19)</f>
        <v>0</v>
      </c>
      <c r="U649" s="36">
        <f>_xll.DBRW($E$12,$F$16,$F$17,$F$18,$E649,$F$20,U$22,$H649,$F$19)</f>
        <v>149.02000000000001</v>
      </c>
    </row>
    <row r="650" spans="4:21" s="37" customFormat="1" ht="15" outlineLevel="1" thickBot="1" x14ac:dyDescent="0.35">
      <c r="D650" s="33" t="str">
        <f>IF(_xll.TM1RPTELISCONSOLIDATED($H$34,$H650),IF(_xll.TM1RPTELLEV($H$34,$H650)&lt;=5,_xll.TM1RPTELLEV($H$34,$H650),"Default"),"Leaf")</f>
        <v>Leaf</v>
      </c>
      <c r="E650" s="42" t="s">
        <v>697</v>
      </c>
      <c r="F650" s="34" t="str">
        <f>_xll.DBR($B$18,$H650,"Account_Type")</f>
        <v>NON LABOR</v>
      </c>
      <c r="G650" s="34" t="str">
        <f>_xll.DBR($B$18,$H650,"Description")</f>
        <v>Telecommunications / Internet</v>
      </c>
      <c r="H650" s="43" t="s">
        <v>497</v>
      </c>
      <c r="I650" s="36">
        <f>_xll.DBRW($E$12,$F$16,$F$17,$F$18,$E650,$F$20,I$22,$H650,$F$19)</f>
        <v>56.95</v>
      </c>
      <c r="J650" s="36">
        <f>_xll.DBRW($E$12,$F$16,$F$17,$F$18,$E650,$F$20,J$22,$H650,$F$19)</f>
        <v>56.94</v>
      </c>
      <c r="K650" s="36">
        <f>_xll.DBRW($E$12,$F$16,$F$17,$F$18,$E650,$F$20,K$22,$H650,$F$19)</f>
        <v>56.94</v>
      </c>
      <c r="L650" s="36">
        <f>_xll.DBRW($E$12,$F$16,$F$17,$F$18,$E650,$F$20,L$22,$H650,$F$19)</f>
        <v>56.94</v>
      </c>
      <c r="M650" s="36">
        <f>_xll.DBRW($E$12,$F$16,$F$17,$F$18,$E650,$F$20,M$22,$H650,$F$19)</f>
        <v>56.92</v>
      </c>
      <c r="N650" s="36">
        <f>_xll.DBRW($E$12,$F$16,$F$17,$F$18,$E650,$F$20,N$22,$H650,$F$19)</f>
        <v>56.92</v>
      </c>
      <c r="O650" s="36">
        <f>_xll.DBRW($E$12,$F$16,$F$17,$F$18,$E650,$F$20,O$22,$H650,$F$19)</f>
        <v>25</v>
      </c>
      <c r="P650" s="36">
        <f>_xll.DBRW($E$12,$F$16,$F$17,$F$18,$E650,$F$20,P$22,$H650,$F$19)</f>
        <v>0</v>
      </c>
      <c r="Q650" s="36">
        <f>_xll.DBRW($E$12,$F$16,$F$17,$F$18,$E650,$F$20,Q$22,$H650,$F$19)</f>
        <v>0</v>
      </c>
      <c r="R650" s="36">
        <f>_xll.DBRW($E$12,$F$16,$F$17,$F$18,$E650,$F$20,R$22,$H650,$F$19)</f>
        <v>0</v>
      </c>
      <c r="S650" s="36">
        <f>_xll.DBRW($E$12,$F$16,$F$17,$F$18,$E650,$F$20,S$22,$H650,$F$19)</f>
        <v>0</v>
      </c>
      <c r="T650" s="36">
        <f>_xll.DBRW($E$12,$F$16,$F$17,$F$18,$E650,$F$20,T$22,$H650,$F$19)</f>
        <v>0</v>
      </c>
      <c r="U650" s="36">
        <f>_xll.DBRW($E$12,$F$16,$F$17,$F$18,$E650,$F$20,U$22,$H650,$F$19)</f>
        <v>366.61</v>
      </c>
    </row>
    <row r="651" spans="4:21" s="37" customFormat="1" ht="15" outlineLevel="1" thickBot="1" x14ac:dyDescent="0.35">
      <c r="D651" s="33" t="str">
        <f>IF(_xll.TM1RPTELISCONSOLIDATED($H$34,$H651),IF(_xll.TM1RPTELLEV($H$34,$H651)&lt;=5,_xll.TM1RPTELLEV($H$34,$H651),"Default"),"Leaf")</f>
        <v>Leaf</v>
      </c>
      <c r="E651" s="42" t="s">
        <v>697</v>
      </c>
      <c r="F651" s="34" t="str">
        <f>_xll.DBR($B$18,$H651,"Account_Type")</f>
        <v>NON LABOR</v>
      </c>
      <c r="G651" s="34" t="str">
        <f>_xll.DBR($B$18,$H651,"Description")</f>
        <v>Office/Computer Supplies &amp; Eqpt</v>
      </c>
      <c r="H651" s="43" t="s">
        <v>518</v>
      </c>
      <c r="I651" s="36">
        <f>_xll.DBRW($E$12,$F$16,$F$17,$F$18,$E651,$F$20,I$22,$H651,$F$19)</f>
        <v>0</v>
      </c>
      <c r="J651" s="36">
        <f>_xll.DBRW($E$12,$F$16,$F$17,$F$18,$E651,$F$20,J$22,$H651,$F$19)</f>
        <v>0</v>
      </c>
      <c r="K651" s="36">
        <f>_xll.DBRW($E$12,$F$16,$F$17,$F$18,$E651,$F$20,K$22,$H651,$F$19)</f>
        <v>0</v>
      </c>
      <c r="L651" s="36">
        <f>_xll.DBRW($E$12,$F$16,$F$17,$F$18,$E651,$F$20,L$22,$H651,$F$19)</f>
        <v>25353.13</v>
      </c>
      <c r="M651" s="36">
        <f>_xll.DBRW($E$12,$F$16,$F$17,$F$18,$E651,$F$20,M$22,$H651,$F$19)</f>
        <v>0</v>
      </c>
      <c r="N651" s="36">
        <f>_xll.DBRW($E$12,$F$16,$F$17,$F$18,$E651,$F$20,N$22,$H651,$F$19)</f>
        <v>0</v>
      </c>
      <c r="O651" s="36">
        <f>_xll.DBRW($E$12,$F$16,$F$17,$F$18,$E651,$F$20,O$22,$H651,$F$19)</f>
        <v>0</v>
      </c>
      <c r="P651" s="36">
        <f>_xll.DBRW($E$12,$F$16,$F$17,$F$18,$E651,$F$20,P$22,$H651,$F$19)</f>
        <v>0</v>
      </c>
      <c r="Q651" s="36">
        <f>_xll.DBRW($E$12,$F$16,$F$17,$F$18,$E651,$F$20,Q$22,$H651,$F$19)</f>
        <v>0</v>
      </c>
      <c r="R651" s="36">
        <f>_xll.DBRW($E$12,$F$16,$F$17,$F$18,$E651,$F$20,R$22,$H651,$F$19)</f>
        <v>0</v>
      </c>
      <c r="S651" s="36">
        <f>_xll.DBRW($E$12,$F$16,$F$17,$F$18,$E651,$F$20,S$22,$H651,$F$19)</f>
        <v>0</v>
      </c>
      <c r="T651" s="36">
        <f>_xll.DBRW($E$12,$F$16,$F$17,$F$18,$E651,$F$20,T$22,$H651,$F$19)</f>
        <v>0</v>
      </c>
      <c r="U651" s="36">
        <f>_xll.DBRW($E$12,$F$16,$F$17,$F$18,$E651,$F$20,U$22,$H651,$F$19)</f>
        <v>25353.13</v>
      </c>
    </row>
    <row r="652" spans="4:21" s="37" customFormat="1" ht="15" outlineLevel="1" thickBot="1" x14ac:dyDescent="0.35">
      <c r="D652" s="33" t="str">
        <f>IF(_xll.TM1RPTELISCONSOLIDATED($H$34,$H652),IF(_xll.TM1RPTELLEV($H$34,$H652)&lt;=5,_xll.TM1RPTELLEV($H$34,$H652),"Default"),"Leaf")</f>
        <v>Leaf</v>
      </c>
      <c r="E652" s="42" t="s">
        <v>697</v>
      </c>
      <c r="F652" s="34" t="str">
        <f>_xll.DBR($B$18,$H652,"Account_Type")</f>
        <v>NON LABOR</v>
      </c>
      <c r="G652" s="34" t="str">
        <f>_xll.DBR($B$18,$H652,"Description")</f>
        <v>Professional Services / Consultants</v>
      </c>
      <c r="H652" s="43" t="s">
        <v>594</v>
      </c>
      <c r="I652" s="36">
        <f>_xll.DBRW($E$12,$F$16,$F$17,$F$18,$E652,$F$20,I$22,$H652,$F$19)</f>
        <v>0</v>
      </c>
      <c r="J652" s="36">
        <f>_xll.DBRW($E$12,$F$16,$F$17,$F$18,$E652,$F$20,J$22,$H652,$F$19)</f>
        <v>-478.17</v>
      </c>
      <c r="K652" s="36">
        <f>_xll.DBRW($E$12,$F$16,$F$17,$F$18,$E652,$F$20,K$22,$H652,$F$19)</f>
        <v>8990</v>
      </c>
      <c r="L652" s="36">
        <f>_xll.DBRW($E$12,$F$16,$F$17,$F$18,$E652,$F$20,L$22,$H652,$F$19)</f>
        <v>402.83</v>
      </c>
      <c r="M652" s="36">
        <f>_xll.DBRW($E$12,$F$16,$F$17,$F$18,$E652,$F$20,M$22,$H652,$F$19)</f>
        <v>2402.5</v>
      </c>
      <c r="N652" s="36">
        <f>_xll.DBRW($E$12,$F$16,$F$17,$F$18,$E652,$F$20,N$22,$H652,$F$19)</f>
        <v>162.16999999999999</v>
      </c>
      <c r="O652" s="36">
        <f>_xll.DBRW($E$12,$F$16,$F$17,$F$18,$E652,$F$20,O$22,$H652,$F$19)</f>
        <v>0</v>
      </c>
      <c r="P652" s="36">
        <f>_xll.DBRW($E$12,$F$16,$F$17,$F$18,$E652,$F$20,P$22,$H652,$F$19)</f>
        <v>0</v>
      </c>
      <c r="Q652" s="36">
        <f>_xll.DBRW($E$12,$F$16,$F$17,$F$18,$E652,$F$20,Q$22,$H652,$F$19)</f>
        <v>0</v>
      </c>
      <c r="R652" s="36">
        <f>_xll.DBRW($E$12,$F$16,$F$17,$F$18,$E652,$F$20,R$22,$H652,$F$19)</f>
        <v>0</v>
      </c>
      <c r="S652" s="36">
        <f>_xll.DBRW($E$12,$F$16,$F$17,$F$18,$E652,$F$20,S$22,$H652,$F$19)</f>
        <v>0</v>
      </c>
      <c r="T652" s="36">
        <f>_xll.DBRW($E$12,$F$16,$F$17,$F$18,$E652,$F$20,T$22,$H652,$F$19)</f>
        <v>0</v>
      </c>
      <c r="U652" s="36">
        <f>_xll.DBRW($E$12,$F$16,$F$17,$F$18,$E652,$F$20,U$22,$H652,$F$19)</f>
        <v>11479.33</v>
      </c>
    </row>
    <row r="653" spans="4:21" s="37" customFormat="1" ht="15" outlineLevel="1" thickBot="1" x14ac:dyDescent="0.35">
      <c r="D653" s="33" t="str">
        <f>IF(_xll.TM1RPTELISCONSOLIDATED($H$34,$H653),IF(_xll.TM1RPTELLEV($H$34,$H653)&lt;=5,_xll.TM1RPTELLEV($H$34,$H653),"Default"),"Leaf")</f>
        <v>Leaf</v>
      </c>
      <c r="E653" s="42" t="s">
        <v>698</v>
      </c>
      <c r="F653" s="34" t="str">
        <f>_xll.DBR($B$18,$H653,"Account_Type")</f>
        <v>NON LABOR</v>
      </c>
      <c r="G653" s="34" t="str">
        <f>_xll.DBR($B$18,$H653,"Description")</f>
        <v>Travel &amp; Lodging</v>
      </c>
      <c r="H653" s="43" t="s">
        <v>472</v>
      </c>
      <c r="I653" s="36">
        <f>_xll.DBRW($E$12,$F$16,$F$17,$F$18,$E653,$F$20,I$22,$H653,$F$19)</f>
        <v>0</v>
      </c>
      <c r="J653" s="36">
        <f>_xll.DBRW($E$12,$F$16,$F$17,$F$18,$E653,$F$20,J$22,$H653,$F$19)</f>
        <v>0</v>
      </c>
      <c r="K653" s="36">
        <f>_xll.DBRW($E$12,$F$16,$F$17,$F$18,$E653,$F$20,K$22,$H653,$F$19)</f>
        <v>0</v>
      </c>
      <c r="L653" s="36">
        <f>_xll.DBRW($E$12,$F$16,$F$17,$F$18,$E653,$F$20,L$22,$H653,$F$19)</f>
        <v>0</v>
      </c>
      <c r="M653" s="36">
        <f>_xll.DBRW($E$12,$F$16,$F$17,$F$18,$E653,$F$20,M$22,$H653,$F$19)</f>
        <v>0</v>
      </c>
      <c r="N653" s="36">
        <f>_xll.DBRW($E$12,$F$16,$F$17,$F$18,$E653,$F$20,N$22,$H653,$F$19)</f>
        <v>0</v>
      </c>
      <c r="O653" s="36">
        <f>_xll.DBRW($E$12,$F$16,$F$17,$F$18,$E653,$F$20,O$22,$H653,$F$19)</f>
        <v>-12809.55</v>
      </c>
      <c r="P653" s="36">
        <f>_xll.DBRW($E$12,$F$16,$F$17,$F$18,$E653,$F$20,P$22,$H653,$F$19)</f>
        <v>0</v>
      </c>
      <c r="Q653" s="36">
        <f>_xll.DBRW($E$12,$F$16,$F$17,$F$18,$E653,$F$20,Q$22,$H653,$F$19)</f>
        <v>0</v>
      </c>
      <c r="R653" s="36">
        <f>_xll.DBRW($E$12,$F$16,$F$17,$F$18,$E653,$F$20,R$22,$H653,$F$19)</f>
        <v>0</v>
      </c>
      <c r="S653" s="36">
        <f>_xll.DBRW($E$12,$F$16,$F$17,$F$18,$E653,$F$20,S$22,$H653,$F$19)</f>
        <v>0</v>
      </c>
      <c r="T653" s="36">
        <f>_xll.DBRW($E$12,$F$16,$F$17,$F$18,$E653,$F$20,T$22,$H653,$F$19)</f>
        <v>0</v>
      </c>
      <c r="U653" s="36">
        <f>_xll.DBRW($E$12,$F$16,$F$17,$F$18,$E653,$F$20,U$22,$H653,$F$19)</f>
        <v>-12809.55</v>
      </c>
    </row>
    <row r="654" spans="4:21" s="37" customFormat="1" ht="15" outlineLevel="1" thickBot="1" x14ac:dyDescent="0.35">
      <c r="D654" s="33" t="str">
        <f>IF(_xll.TM1RPTELISCONSOLIDATED($H$34,$H654),IF(_xll.TM1RPTELLEV($H$34,$H654)&lt;=5,_xll.TM1RPTELLEV($H$34,$H654),"Default"),"Leaf")</f>
        <v>Leaf</v>
      </c>
      <c r="E654" s="42" t="s">
        <v>698</v>
      </c>
      <c r="F654" s="34" t="str">
        <f>_xll.DBR($B$18,$H654,"Account_Type")</f>
        <v>NON LABOR</v>
      </c>
      <c r="G654" s="34" t="str">
        <f>_xll.DBR($B$18,$H654,"Description")</f>
        <v>Business Meals &amp; Entertainment</v>
      </c>
      <c r="H654" s="43" t="s">
        <v>493</v>
      </c>
      <c r="I654" s="36">
        <f>_xll.DBRW($E$12,$F$16,$F$17,$F$18,$E654,$F$20,I$22,$H654,$F$19)</f>
        <v>0</v>
      </c>
      <c r="J654" s="36">
        <f>_xll.DBRW($E$12,$F$16,$F$17,$F$18,$E654,$F$20,J$22,$H654,$F$19)</f>
        <v>0</v>
      </c>
      <c r="K654" s="36">
        <f>_xll.DBRW($E$12,$F$16,$F$17,$F$18,$E654,$F$20,K$22,$H654,$F$19)</f>
        <v>0</v>
      </c>
      <c r="L654" s="36">
        <f>_xll.DBRW($E$12,$F$16,$F$17,$F$18,$E654,$F$20,L$22,$H654,$F$19)</f>
        <v>0</v>
      </c>
      <c r="M654" s="36">
        <f>_xll.DBRW($E$12,$F$16,$F$17,$F$18,$E654,$F$20,M$22,$H654,$F$19)</f>
        <v>0</v>
      </c>
      <c r="N654" s="36">
        <f>_xll.DBRW($E$12,$F$16,$F$17,$F$18,$E654,$F$20,N$22,$H654,$F$19)</f>
        <v>0</v>
      </c>
      <c r="O654" s="36">
        <f>_xll.DBRW($E$12,$F$16,$F$17,$F$18,$E654,$F$20,O$22,$H654,$F$19)</f>
        <v>-12095.51</v>
      </c>
      <c r="P654" s="36">
        <f>_xll.DBRW($E$12,$F$16,$F$17,$F$18,$E654,$F$20,P$22,$H654,$F$19)</f>
        <v>0</v>
      </c>
      <c r="Q654" s="36">
        <f>_xll.DBRW($E$12,$F$16,$F$17,$F$18,$E654,$F$20,Q$22,$H654,$F$19)</f>
        <v>0</v>
      </c>
      <c r="R654" s="36">
        <f>_xll.DBRW($E$12,$F$16,$F$17,$F$18,$E654,$F$20,R$22,$H654,$F$19)</f>
        <v>0</v>
      </c>
      <c r="S654" s="36">
        <f>_xll.DBRW($E$12,$F$16,$F$17,$F$18,$E654,$F$20,S$22,$H654,$F$19)</f>
        <v>0</v>
      </c>
      <c r="T654" s="36">
        <f>_xll.DBRW($E$12,$F$16,$F$17,$F$18,$E654,$F$20,T$22,$H654,$F$19)</f>
        <v>0</v>
      </c>
      <c r="U654" s="36">
        <f>_xll.DBRW($E$12,$F$16,$F$17,$F$18,$E654,$F$20,U$22,$H654,$F$19)</f>
        <v>-12095.51</v>
      </c>
    </row>
    <row r="655" spans="4:21" s="37" customFormat="1" ht="15" outlineLevel="1" thickBot="1" x14ac:dyDescent="0.35">
      <c r="D655" s="33" t="str">
        <f>IF(_xll.TM1RPTELISCONSOLIDATED($H$34,$H655),IF(_xll.TM1RPTELLEV($H$34,$H655)&lt;=5,_xll.TM1RPTELLEV($H$34,$H655),"Default"),"Leaf")</f>
        <v>Leaf</v>
      </c>
      <c r="E655" s="42" t="s">
        <v>698</v>
      </c>
      <c r="F655" s="34" t="str">
        <f>_xll.DBR($B$18,$H655,"Account_Type")</f>
        <v>NON LABOR</v>
      </c>
      <c r="G655" s="34" t="str">
        <f>_xll.DBR($B$18,$H655,"Description")</f>
        <v>Business Meals &amp; Entertainment</v>
      </c>
      <c r="H655" s="43" t="s">
        <v>494</v>
      </c>
      <c r="I655" s="36">
        <f>_xll.DBRW($E$12,$F$16,$F$17,$F$18,$E655,$F$20,I$22,$H655,$F$19)</f>
        <v>0</v>
      </c>
      <c r="J655" s="36">
        <f>_xll.DBRW($E$12,$F$16,$F$17,$F$18,$E655,$F$20,J$22,$H655,$F$19)</f>
        <v>0</v>
      </c>
      <c r="K655" s="36">
        <f>_xll.DBRW($E$12,$F$16,$F$17,$F$18,$E655,$F$20,K$22,$H655,$F$19)</f>
        <v>0</v>
      </c>
      <c r="L655" s="36">
        <f>_xll.DBRW($E$12,$F$16,$F$17,$F$18,$E655,$F$20,L$22,$H655,$F$19)</f>
        <v>0</v>
      </c>
      <c r="M655" s="36">
        <f>_xll.DBRW($E$12,$F$16,$F$17,$F$18,$E655,$F$20,M$22,$H655,$F$19)</f>
        <v>0</v>
      </c>
      <c r="N655" s="36">
        <f>_xll.DBRW($E$12,$F$16,$F$17,$F$18,$E655,$F$20,N$22,$H655,$F$19)</f>
        <v>0</v>
      </c>
      <c r="O655" s="36">
        <f>_xll.DBRW($E$12,$F$16,$F$17,$F$18,$E655,$F$20,O$22,$H655,$F$19)</f>
        <v>-163.66999999999999</v>
      </c>
      <c r="P655" s="36">
        <f>_xll.DBRW($E$12,$F$16,$F$17,$F$18,$E655,$F$20,P$22,$H655,$F$19)</f>
        <v>0</v>
      </c>
      <c r="Q655" s="36">
        <f>_xll.DBRW($E$12,$F$16,$F$17,$F$18,$E655,$F$20,Q$22,$H655,$F$19)</f>
        <v>0</v>
      </c>
      <c r="R655" s="36">
        <f>_xll.DBRW($E$12,$F$16,$F$17,$F$18,$E655,$F$20,R$22,$H655,$F$19)</f>
        <v>0</v>
      </c>
      <c r="S655" s="36">
        <f>_xll.DBRW($E$12,$F$16,$F$17,$F$18,$E655,$F$20,S$22,$H655,$F$19)</f>
        <v>0</v>
      </c>
      <c r="T655" s="36">
        <f>_xll.DBRW($E$12,$F$16,$F$17,$F$18,$E655,$F$20,T$22,$H655,$F$19)</f>
        <v>0</v>
      </c>
      <c r="U655" s="36">
        <f>_xll.DBRW($E$12,$F$16,$F$17,$F$18,$E655,$F$20,U$22,$H655,$F$19)</f>
        <v>-163.66999999999999</v>
      </c>
    </row>
    <row r="656" spans="4:21" s="37" customFormat="1" ht="15" outlineLevel="1" thickBot="1" x14ac:dyDescent="0.35">
      <c r="D656" s="33" t="str">
        <f>IF(_xll.TM1RPTELISCONSOLIDATED($H$34,$H656),IF(_xll.TM1RPTELLEV($H$34,$H656)&lt;=5,_xll.TM1RPTELLEV($H$34,$H656),"Default"),"Leaf")</f>
        <v>Leaf</v>
      </c>
      <c r="E656" s="42" t="s">
        <v>698</v>
      </c>
      <c r="F656" s="34" t="str">
        <f>_xll.DBR($B$18,$H656,"Account_Type")</f>
        <v>NON LABOR</v>
      </c>
      <c r="G656" s="34" t="str">
        <f>_xll.DBR($B$18,$H656,"Description")</f>
        <v>Telecommunications / Internet</v>
      </c>
      <c r="H656" s="43" t="s">
        <v>514</v>
      </c>
      <c r="I656" s="36">
        <f>_xll.DBRW($E$12,$F$16,$F$17,$F$18,$E656,$F$20,I$22,$H656,$F$19)</f>
        <v>2126.63</v>
      </c>
      <c r="J656" s="36">
        <f>_xll.DBRW($E$12,$F$16,$F$17,$F$18,$E656,$F$20,J$22,$H656,$F$19)</f>
        <v>2172.63</v>
      </c>
      <c r="K656" s="36">
        <f>_xll.DBRW($E$12,$F$16,$F$17,$F$18,$E656,$F$20,K$22,$H656,$F$19)</f>
        <v>2126.63</v>
      </c>
      <c r="L656" s="36">
        <f>_xll.DBRW($E$12,$F$16,$F$17,$F$18,$E656,$F$20,L$22,$H656,$F$19)</f>
        <v>3594.9</v>
      </c>
      <c r="M656" s="36">
        <f>_xll.DBRW($E$12,$F$16,$F$17,$F$18,$E656,$F$20,M$22,$H656,$F$19)</f>
        <v>2176.65</v>
      </c>
      <c r="N656" s="36">
        <f>_xll.DBRW($E$12,$F$16,$F$17,$F$18,$E656,$F$20,N$22,$H656,$F$19)</f>
        <v>2176.65</v>
      </c>
      <c r="O656" s="36">
        <f>_xll.DBRW($E$12,$F$16,$F$17,$F$18,$E656,$F$20,O$22,$H656,$F$19)</f>
        <v>-12.6</v>
      </c>
      <c r="P656" s="36">
        <f>_xll.DBRW($E$12,$F$16,$F$17,$F$18,$E656,$F$20,P$22,$H656,$F$19)</f>
        <v>0</v>
      </c>
      <c r="Q656" s="36">
        <f>_xll.DBRW($E$12,$F$16,$F$17,$F$18,$E656,$F$20,Q$22,$H656,$F$19)</f>
        <v>0</v>
      </c>
      <c r="R656" s="36">
        <f>_xll.DBRW($E$12,$F$16,$F$17,$F$18,$E656,$F$20,R$22,$H656,$F$19)</f>
        <v>0</v>
      </c>
      <c r="S656" s="36">
        <f>_xll.DBRW($E$12,$F$16,$F$17,$F$18,$E656,$F$20,S$22,$H656,$F$19)</f>
        <v>0</v>
      </c>
      <c r="T656" s="36">
        <f>_xll.DBRW($E$12,$F$16,$F$17,$F$18,$E656,$F$20,T$22,$H656,$F$19)</f>
        <v>0</v>
      </c>
      <c r="U656" s="36">
        <f>_xll.DBRW($E$12,$F$16,$F$17,$F$18,$E656,$F$20,U$22,$H656,$F$19)</f>
        <v>14361.49</v>
      </c>
    </row>
    <row r="657" spans="4:21" s="37" customFormat="1" ht="15" outlineLevel="1" thickBot="1" x14ac:dyDescent="0.35">
      <c r="D657" s="33" t="str">
        <f>IF(_xll.TM1RPTELISCONSOLIDATED($H$34,$H657),IF(_xll.TM1RPTELLEV($H$34,$H657)&lt;=5,_xll.TM1RPTELLEV($H$34,$H657),"Default"),"Leaf")</f>
        <v>Leaf</v>
      </c>
      <c r="E657" s="42" t="s">
        <v>698</v>
      </c>
      <c r="F657" s="34" t="str">
        <f>_xll.DBR($B$18,$H657,"Account_Type")</f>
        <v>NON LABOR</v>
      </c>
      <c r="G657" s="34" t="str">
        <f>_xll.DBR($B$18,$H657,"Description")</f>
        <v>Office/Computer Supplies &amp; Eqpt</v>
      </c>
      <c r="H657" s="43" t="s">
        <v>542</v>
      </c>
      <c r="I657" s="36">
        <f>_xll.DBRW($E$12,$F$16,$F$17,$F$18,$E657,$F$20,I$22,$H657,$F$19)</f>
        <v>-594.88</v>
      </c>
      <c r="J657" s="36">
        <f>_xll.DBRW($E$12,$F$16,$F$17,$F$18,$E657,$F$20,J$22,$H657,$F$19)</f>
        <v>884.65</v>
      </c>
      <c r="K657" s="36">
        <f>_xll.DBRW($E$12,$F$16,$F$17,$F$18,$E657,$F$20,K$22,$H657,$F$19)</f>
        <v>626.19000000000005</v>
      </c>
      <c r="L657" s="36">
        <f>_xll.DBRW($E$12,$F$16,$F$17,$F$18,$E657,$F$20,L$22,$H657,$F$19)</f>
        <v>1269.02</v>
      </c>
      <c r="M657" s="36">
        <f>_xll.DBRW($E$12,$F$16,$F$17,$F$18,$E657,$F$20,M$22,$H657,$F$19)</f>
        <v>1670.39</v>
      </c>
      <c r="N657" s="36">
        <f>_xll.DBRW($E$12,$F$16,$F$17,$F$18,$E657,$F$20,N$22,$H657,$F$19)</f>
        <v>678.09</v>
      </c>
      <c r="O657" s="36">
        <f>_xll.DBRW($E$12,$F$16,$F$17,$F$18,$E657,$F$20,O$22,$H657,$F$19)</f>
        <v>0</v>
      </c>
      <c r="P657" s="36">
        <f>_xll.DBRW($E$12,$F$16,$F$17,$F$18,$E657,$F$20,P$22,$H657,$F$19)</f>
        <v>0</v>
      </c>
      <c r="Q657" s="36">
        <f>_xll.DBRW($E$12,$F$16,$F$17,$F$18,$E657,$F$20,Q$22,$H657,$F$19)</f>
        <v>0</v>
      </c>
      <c r="R657" s="36">
        <f>_xll.DBRW($E$12,$F$16,$F$17,$F$18,$E657,$F$20,R$22,$H657,$F$19)</f>
        <v>0</v>
      </c>
      <c r="S657" s="36">
        <f>_xll.DBRW($E$12,$F$16,$F$17,$F$18,$E657,$F$20,S$22,$H657,$F$19)</f>
        <v>0</v>
      </c>
      <c r="T657" s="36">
        <f>_xll.DBRW($E$12,$F$16,$F$17,$F$18,$E657,$F$20,T$22,$H657,$F$19)</f>
        <v>0</v>
      </c>
      <c r="U657" s="36">
        <f>_xll.DBRW($E$12,$F$16,$F$17,$F$18,$E657,$F$20,U$22,$H657,$F$19)</f>
        <v>4533.46</v>
      </c>
    </row>
    <row r="658" spans="4:21" s="37" customFormat="1" ht="15" outlineLevel="1" thickBot="1" x14ac:dyDescent="0.35">
      <c r="D658" s="33" t="str">
        <f>IF(_xll.TM1RPTELISCONSOLIDATED($H$34,$H658),IF(_xll.TM1RPTELLEV($H$34,$H658)&lt;=5,_xll.TM1RPTELLEV($H$34,$H658),"Default"),"Leaf")</f>
        <v>Leaf</v>
      </c>
      <c r="E658" s="42" t="s">
        <v>698</v>
      </c>
      <c r="F658" s="34" t="str">
        <f>_xll.DBR($B$18,$H658,"Account_Type")</f>
        <v>NON LABOR</v>
      </c>
      <c r="G658" s="34" t="str">
        <f>_xll.DBR($B$18,$H658,"Description")</f>
        <v>Postage &amp; Courier Fees</v>
      </c>
      <c r="H658" s="43" t="s">
        <v>556</v>
      </c>
      <c r="I658" s="36">
        <f>_xll.DBRW($E$12,$F$16,$F$17,$F$18,$E658,$F$20,I$22,$H658,$F$19)</f>
        <v>540.49</v>
      </c>
      <c r="J658" s="36">
        <f>_xll.DBRW($E$12,$F$16,$F$17,$F$18,$E658,$F$20,J$22,$H658,$F$19)</f>
        <v>965.07</v>
      </c>
      <c r="K658" s="36">
        <f>_xll.DBRW($E$12,$F$16,$F$17,$F$18,$E658,$F$20,K$22,$H658,$F$19)</f>
        <v>525.16</v>
      </c>
      <c r="L658" s="36">
        <f>_xll.DBRW($E$12,$F$16,$F$17,$F$18,$E658,$F$20,L$22,$H658,$F$19)</f>
        <v>436.28</v>
      </c>
      <c r="M658" s="36">
        <f>_xll.DBRW($E$12,$F$16,$F$17,$F$18,$E658,$F$20,M$22,$H658,$F$19)</f>
        <v>498.69</v>
      </c>
      <c r="N658" s="36">
        <f>_xll.DBRW($E$12,$F$16,$F$17,$F$18,$E658,$F$20,N$22,$H658,$F$19)</f>
        <v>437.82</v>
      </c>
      <c r="O658" s="36">
        <f>_xll.DBRW($E$12,$F$16,$F$17,$F$18,$E658,$F$20,O$22,$H658,$F$19)</f>
        <v>0</v>
      </c>
      <c r="P658" s="36">
        <f>_xll.DBRW($E$12,$F$16,$F$17,$F$18,$E658,$F$20,P$22,$H658,$F$19)</f>
        <v>0</v>
      </c>
      <c r="Q658" s="36">
        <f>_xll.DBRW($E$12,$F$16,$F$17,$F$18,$E658,$F$20,Q$22,$H658,$F$19)</f>
        <v>0</v>
      </c>
      <c r="R658" s="36">
        <f>_xll.DBRW($E$12,$F$16,$F$17,$F$18,$E658,$F$20,R$22,$H658,$F$19)</f>
        <v>0</v>
      </c>
      <c r="S658" s="36">
        <f>_xll.DBRW($E$12,$F$16,$F$17,$F$18,$E658,$F$20,S$22,$H658,$F$19)</f>
        <v>0</v>
      </c>
      <c r="T658" s="36">
        <f>_xll.DBRW($E$12,$F$16,$F$17,$F$18,$E658,$F$20,T$22,$H658,$F$19)</f>
        <v>0</v>
      </c>
      <c r="U658" s="36">
        <f>_xll.DBRW($E$12,$F$16,$F$17,$F$18,$E658,$F$20,U$22,$H658,$F$19)</f>
        <v>3403.51</v>
      </c>
    </row>
    <row r="659" spans="4:21" s="37" customFormat="1" ht="15" outlineLevel="1" thickBot="1" x14ac:dyDescent="0.35">
      <c r="D659" s="33" t="str">
        <f>IF(_xll.TM1RPTELISCONSOLIDATED($H$34,$H659),IF(_xll.TM1RPTELLEV($H$34,$H659)&lt;=5,_xll.TM1RPTELLEV($H$34,$H659),"Default"),"Leaf")</f>
        <v>Leaf</v>
      </c>
      <c r="E659" s="42" t="s">
        <v>698</v>
      </c>
      <c r="F659" s="34" t="str">
        <f>_xll.DBR($B$18,$H659,"Account_Type")</f>
        <v>NON LABOR</v>
      </c>
      <c r="G659" s="34" t="str">
        <f>_xll.DBR($B$18,$H659,"Description")</f>
        <v>Printing &amp; Reproduction</v>
      </c>
      <c r="H659" s="43" t="s">
        <v>564</v>
      </c>
      <c r="I659" s="36">
        <f>_xll.DBRW($E$12,$F$16,$F$17,$F$18,$E659,$F$20,I$22,$H659,$F$19)</f>
        <v>284.79000000000002</v>
      </c>
      <c r="J659" s="36">
        <f>_xll.DBRW($E$12,$F$16,$F$17,$F$18,$E659,$F$20,J$22,$H659,$F$19)</f>
        <v>334.44</v>
      </c>
      <c r="K659" s="36">
        <f>_xll.DBRW($E$12,$F$16,$F$17,$F$18,$E659,$F$20,K$22,$H659,$F$19)</f>
        <v>370.19</v>
      </c>
      <c r="L659" s="36">
        <f>_xll.DBRW($E$12,$F$16,$F$17,$F$18,$E659,$F$20,L$22,$H659,$F$19)</f>
        <v>51.07</v>
      </c>
      <c r="M659" s="36">
        <f>_xll.DBRW($E$12,$F$16,$F$17,$F$18,$E659,$F$20,M$22,$H659,$F$19)</f>
        <v>482.08</v>
      </c>
      <c r="N659" s="36">
        <f>_xll.DBRW($E$12,$F$16,$F$17,$F$18,$E659,$F$20,N$22,$H659,$F$19)</f>
        <v>0</v>
      </c>
      <c r="O659" s="36">
        <f>_xll.DBRW($E$12,$F$16,$F$17,$F$18,$E659,$F$20,O$22,$H659,$F$19)</f>
        <v>0</v>
      </c>
      <c r="P659" s="36">
        <f>_xll.DBRW($E$12,$F$16,$F$17,$F$18,$E659,$F$20,P$22,$H659,$F$19)</f>
        <v>0</v>
      </c>
      <c r="Q659" s="36">
        <f>_xll.DBRW($E$12,$F$16,$F$17,$F$18,$E659,$F$20,Q$22,$H659,$F$19)</f>
        <v>0</v>
      </c>
      <c r="R659" s="36">
        <f>_xll.DBRW($E$12,$F$16,$F$17,$F$18,$E659,$F$20,R$22,$H659,$F$19)</f>
        <v>0</v>
      </c>
      <c r="S659" s="36">
        <f>_xll.DBRW($E$12,$F$16,$F$17,$F$18,$E659,$F$20,S$22,$H659,$F$19)</f>
        <v>0</v>
      </c>
      <c r="T659" s="36">
        <f>_xll.DBRW($E$12,$F$16,$F$17,$F$18,$E659,$F$20,T$22,$H659,$F$19)</f>
        <v>0</v>
      </c>
      <c r="U659" s="36">
        <f>_xll.DBRW($E$12,$F$16,$F$17,$F$18,$E659,$F$20,U$22,$H659,$F$19)</f>
        <v>1522.57</v>
      </c>
    </row>
    <row r="660" spans="4:21" s="37" customFormat="1" ht="15" outlineLevel="1" thickBot="1" x14ac:dyDescent="0.35">
      <c r="D660" s="33" t="str">
        <f>IF(_xll.TM1RPTELISCONSOLIDATED($H$34,$H660),IF(_xll.TM1RPTELLEV($H$34,$H660)&lt;=5,_xll.TM1RPTELLEV($H$34,$H660),"Default"),"Leaf")</f>
        <v>Leaf</v>
      </c>
      <c r="E660" s="42" t="s">
        <v>698</v>
      </c>
      <c r="F660" s="34" t="str">
        <f>_xll.DBR($B$18,$H660,"Account_Type")</f>
        <v>NON LABOR</v>
      </c>
      <c r="G660" s="34" t="str">
        <f>_xll.DBR($B$18,$H660,"Description")</f>
        <v>Utilities</v>
      </c>
      <c r="H660" s="43" t="s">
        <v>585</v>
      </c>
      <c r="I660" s="36">
        <f>_xll.DBRW($E$12,$F$16,$F$17,$F$18,$E660,$F$20,I$22,$H660,$F$19)</f>
        <v>6724.26</v>
      </c>
      <c r="J660" s="36">
        <f>_xll.DBRW($E$12,$F$16,$F$17,$F$18,$E660,$F$20,J$22,$H660,$F$19)</f>
        <v>1939.01</v>
      </c>
      <c r="K660" s="36">
        <f>_xll.DBRW($E$12,$F$16,$F$17,$F$18,$E660,$F$20,K$22,$H660,$F$19)</f>
        <v>3798.83</v>
      </c>
      <c r="L660" s="36">
        <f>_xll.DBRW($E$12,$F$16,$F$17,$F$18,$E660,$F$20,L$22,$H660,$F$19)</f>
        <v>2612.7399999999998</v>
      </c>
      <c r="M660" s="36">
        <f>_xll.DBRW($E$12,$F$16,$F$17,$F$18,$E660,$F$20,M$22,$H660,$F$19)</f>
        <v>3955.01</v>
      </c>
      <c r="N660" s="36">
        <f>_xll.DBRW($E$12,$F$16,$F$17,$F$18,$E660,$F$20,N$22,$H660,$F$19)</f>
        <v>4167.67</v>
      </c>
      <c r="O660" s="36">
        <f>_xll.DBRW($E$12,$F$16,$F$17,$F$18,$E660,$F$20,O$22,$H660,$F$19)</f>
        <v>0</v>
      </c>
      <c r="P660" s="36">
        <f>_xll.DBRW($E$12,$F$16,$F$17,$F$18,$E660,$F$20,P$22,$H660,$F$19)</f>
        <v>0</v>
      </c>
      <c r="Q660" s="36">
        <f>_xll.DBRW($E$12,$F$16,$F$17,$F$18,$E660,$F$20,Q$22,$H660,$F$19)</f>
        <v>0</v>
      </c>
      <c r="R660" s="36">
        <f>_xll.DBRW($E$12,$F$16,$F$17,$F$18,$E660,$F$20,R$22,$H660,$F$19)</f>
        <v>0</v>
      </c>
      <c r="S660" s="36">
        <f>_xll.DBRW($E$12,$F$16,$F$17,$F$18,$E660,$F$20,S$22,$H660,$F$19)</f>
        <v>0</v>
      </c>
      <c r="T660" s="36">
        <f>_xll.DBRW($E$12,$F$16,$F$17,$F$18,$E660,$F$20,T$22,$H660,$F$19)</f>
        <v>0</v>
      </c>
      <c r="U660" s="36">
        <f>_xll.DBRW($E$12,$F$16,$F$17,$F$18,$E660,$F$20,U$22,$H660,$F$19)</f>
        <v>23197.519999999997</v>
      </c>
    </row>
    <row r="661" spans="4:21" s="37" customFormat="1" ht="15" outlineLevel="1" thickBot="1" x14ac:dyDescent="0.35">
      <c r="D661" s="33" t="str">
        <f>IF(_xll.TM1RPTELISCONSOLIDATED($H$34,$H661),IF(_xll.TM1RPTELLEV($H$34,$H661)&lt;=5,_xll.TM1RPTELLEV($H$34,$H661),"Default"),"Leaf")</f>
        <v>Leaf</v>
      </c>
      <c r="E661" s="42" t="s">
        <v>698</v>
      </c>
      <c r="F661" s="34" t="str">
        <f>_xll.DBR($B$18,$H661,"Account_Type")</f>
        <v>NON LABOR</v>
      </c>
      <c r="G661" s="34" t="str">
        <f>_xll.DBR($B$18,$H661,"Description")</f>
        <v>Security / Janitorial Charges</v>
      </c>
      <c r="H661" s="43" t="s">
        <v>590</v>
      </c>
      <c r="I661" s="36">
        <f>_xll.DBRW($E$12,$F$16,$F$17,$F$18,$E661,$F$20,I$22,$H661,$F$19)</f>
        <v>11871.94</v>
      </c>
      <c r="J661" s="36">
        <f>_xll.DBRW($E$12,$F$16,$F$17,$F$18,$E661,$F$20,J$22,$H661,$F$19)</f>
        <v>18781.38</v>
      </c>
      <c r="K661" s="36">
        <f>_xll.DBRW($E$12,$F$16,$F$17,$F$18,$E661,$F$20,K$22,$H661,$F$19)</f>
        <v>18781.38</v>
      </c>
      <c r="L661" s="36">
        <f>_xll.DBRW($E$12,$F$16,$F$17,$F$18,$E661,$F$20,L$22,$H661,$F$19)</f>
        <v>15326.04</v>
      </c>
      <c r="M661" s="36">
        <f>_xll.DBRW($E$12,$F$16,$F$17,$F$18,$E661,$F$20,M$22,$H661,$F$19)</f>
        <v>19296.32</v>
      </c>
      <c r="N661" s="36">
        <f>_xll.DBRW($E$12,$F$16,$F$17,$F$18,$E661,$F$20,N$22,$H661,$F$19)</f>
        <v>21940.32</v>
      </c>
      <c r="O661" s="36">
        <f>_xll.DBRW($E$12,$F$16,$F$17,$F$18,$E661,$F$20,O$22,$H661,$F$19)</f>
        <v>-16451.34</v>
      </c>
      <c r="P661" s="36">
        <f>_xll.DBRW($E$12,$F$16,$F$17,$F$18,$E661,$F$20,P$22,$H661,$F$19)</f>
        <v>0</v>
      </c>
      <c r="Q661" s="36">
        <f>_xll.DBRW($E$12,$F$16,$F$17,$F$18,$E661,$F$20,Q$22,$H661,$F$19)</f>
        <v>0</v>
      </c>
      <c r="R661" s="36">
        <f>_xll.DBRW($E$12,$F$16,$F$17,$F$18,$E661,$F$20,R$22,$H661,$F$19)</f>
        <v>0</v>
      </c>
      <c r="S661" s="36">
        <f>_xll.DBRW($E$12,$F$16,$F$17,$F$18,$E661,$F$20,S$22,$H661,$F$19)</f>
        <v>0</v>
      </c>
      <c r="T661" s="36">
        <f>_xll.DBRW($E$12,$F$16,$F$17,$F$18,$E661,$F$20,T$22,$H661,$F$19)</f>
        <v>0</v>
      </c>
      <c r="U661" s="36">
        <f>_xll.DBRW($E$12,$F$16,$F$17,$F$18,$E661,$F$20,U$22,$H661,$F$19)</f>
        <v>89546.040000000008</v>
      </c>
    </row>
    <row r="662" spans="4:21" s="37" customFormat="1" ht="15" outlineLevel="1" thickBot="1" x14ac:dyDescent="0.35">
      <c r="D662" s="33" t="str">
        <f>IF(_xll.TM1RPTELISCONSOLIDATED($H$34,$H662),IF(_xll.TM1RPTELLEV($H$34,$H662)&lt;=5,_xll.TM1RPTELLEV($H$34,$H662),"Default"),"Leaf")</f>
        <v>Leaf</v>
      </c>
      <c r="E662" s="42" t="s">
        <v>698</v>
      </c>
      <c r="F662" s="34" t="str">
        <f>_xll.DBR($B$18,$H662,"Account_Type")</f>
        <v>NON LABOR</v>
      </c>
      <c r="G662" s="34" t="str">
        <f>_xll.DBR($B$18,$H662,"Description")</f>
        <v>Facility Maintenance</v>
      </c>
      <c r="H662" s="43" t="s">
        <v>593</v>
      </c>
      <c r="I662" s="36">
        <f>_xll.DBRW($E$12,$F$16,$F$17,$F$18,$E662,$F$20,I$22,$H662,$F$19)</f>
        <v>467.08</v>
      </c>
      <c r="J662" s="36">
        <f>_xll.DBRW($E$12,$F$16,$F$17,$F$18,$E662,$F$20,J$22,$H662,$F$19)</f>
        <v>852.99</v>
      </c>
      <c r="K662" s="36">
        <f>_xll.DBRW($E$12,$F$16,$F$17,$F$18,$E662,$F$20,K$22,$H662,$F$19)</f>
        <v>843.54</v>
      </c>
      <c r="L662" s="36">
        <f>_xll.DBRW($E$12,$F$16,$F$17,$F$18,$E662,$F$20,L$22,$H662,$F$19)</f>
        <v>199</v>
      </c>
      <c r="M662" s="36">
        <f>_xll.DBRW($E$12,$F$16,$F$17,$F$18,$E662,$F$20,M$22,$H662,$F$19)</f>
        <v>166.07</v>
      </c>
      <c r="N662" s="36">
        <f>_xll.DBRW($E$12,$F$16,$F$17,$F$18,$E662,$F$20,N$22,$H662,$F$19)</f>
        <v>446.81</v>
      </c>
      <c r="O662" s="36">
        <f>_xll.DBRW($E$12,$F$16,$F$17,$F$18,$E662,$F$20,O$22,$H662,$F$19)</f>
        <v>0</v>
      </c>
      <c r="P662" s="36">
        <f>_xll.DBRW($E$12,$F$16,$F$17,$F$18,$E662,$F$20,P$22,$H662,$F$19)</f>
        <v>0</v>
      </c>
      <c r="Q662" s="36">
        <f>_xll.DBRW($E$12,$F$16,$F$17,$F$18,$E662,$F$20,Q$22,$H662,$F$19)</f>
        <v>0</v>
      </c>
      <c r="R662" s="36">
        <f>_xll.DBRW($E$12,$F$16,$F$17,$F$18,$E662,$F$20,R$22,$H662,$F$19)</f>
        <v>0</v>
      </c>
      <c r="S662" s="36">
        <f>_xll.DBRW($E$12,$F$16,$F$17,$F$18,$E662,$F$20,S$22,$H662,$F$19)</f>
        <v>0</v>
      </c>
      <c r="T662" s="36">
        <f>_xll.DBRW($E$12,$F$16,$F$17,$F$18,$E662,$F$20,T$22,$H662,$F$19)</f>
        <v>0</v>
      </c>
      <c r="U662" s="36">
        <f>_xll.DBRW($E$12,$F$16,$F$17,$F$18,$E662,$F$20,U$22,$H662,$F$19)</f>
        <v>2975.49</v>
      </c>
    </row>
    <row r="663" spans="4:21" s="37" customFormat="1" ht="15" outlineLevel="1" thickBot="1" x14ac:dyDescent="0.35">
      <c r="D663" s="33" t="str">
        <f>IF(_xll.TM1RPTELISCONSOLIDATED($H$34,$H663),IF(_xll.TM1RPTELLEV($H$34,$H663)&lt;=5,_xll.TM1RPTELLEV($H$34,$H663),"Default"),"Leaf")</f>
        <v>Leaf</v>
      </c>
      <c r="E663" s="42" t="s">
        <v>698</v>
      </c>
      <c r="F663" s="34" t="str">
        <f>_xll.DBR($B$18,$H663,"Account_Type")</f>
        <v>NON LABOR</v>
      </c>
      <c r="G663" s="34" t="str">
        <f>_xll.DBR($B$18,$H663,"Description")</f>
        <v>Fuel to Leased Vehicles</v>
      </c>
      <c r="H663" s="43" t="s">
        <v>647</v>
      </c>
      <c r="I663" s="36">
        <f>_xll.DBRW($E$12,$F$16,$F$17,$F$18,$E663,$F$20,I$22,$H663,$F$19)</f>
        <v>76.319999999999993</v>
      </c>
      <c r="J663" s="36">
        <f>_xll.DBRW($E$12,$F$16,$F$17,$F$18,$E663,$F$20,J$22,$H663,$F$19)</f>
        <v>0</v>
      </c>
      <c r="K663" s="36">
        <f>_xll.DBRW($E$12,$F$16,$F$17,$F$18,$E663,$F$20,K$22,$H663,$F$19)</f>
        <v>0</v>
      </c>
      <c r="L663" s="36">
        <f>_xll.DBRW($E$12,$F$16,$F$17,$F$18,$E663,$F$20,L$22,$H663,$F$19)</f>
        <v>0</v>
      </c>
      <c r="M663" s="36">
        <f>_xll.DBRW($E$12,$F$16,$F$17,$F$18,$E663,$F$20,M$22,$H663,$F$19)</f>
        <v>0</v>
      </c>
      <c r="N663" s="36">
        <f>_xll.DBRW($E$12,$F$16,$F$17,$F$18,$E663,$F$20,N$22,$H663,$F$19)</f>
        <v>0</v>
      </c>
      <c r="O663" s="36">
        <f>_xll.DBRW($E$12,$F$16,$F$17,$F$18,$E663,$F$20,O$22,$H663,$F$19)</f>
        <v>0</v>
      </c>
      <c r="P663" s="36">
        <f>_xll.DBRW($E$12,$F$16,$F$17,$F$18,$E663,$F$20,P$22,$H663,$F$19)</f>
        <v>0</v>
      </c>
      <c r="Q663" s="36">
        <f>_xll.DBRW($E$12,$F$16,$F$17,$F$18,$E663,$F$20,Q$22,$H663,$F$19)</f>
        <v>0</v>
      </c>
      <c r="R663" s="36">
        <f>_xll.DBRW($E$12,$F$16,$F$17,$F$18,$E663,$F$20,R$22,$H663,$F$19)</f>
        <v>0</v>
      </c>
      <c r="S663" s="36">
        <f>_xll.DBRW($E$12,$F$16,$F$17,$F$18,$E663,$F$20,S$22,$H663,$F$19)</f>
        <v>0</v>
      </c>
      <c r="T663" s="36">
        <f>_xll.DBRW($E$12,$F$16,$F$17,$F$18,$E663,$F$20,T$22,$H663,$F$19)</f>
        <v>0</v>
      </c>
      <c r="U663" s="36">
        <f>_xll.DBRW($E$12,$F$16,$F$17,$F$18,$E663,$F$20,U$22,$H663,$F$19)</f>
        <v>76.319999999999993</v>
      </c>
    </row>
    <row r="664" spans="4:21" s="37" customFormat="1" ht="15" outlineLevel="1" thickBot="1" x14ac:dyDescent="0.35">
      <c r="D664" s="33" t="str">
        <f>IF(_xll.TM1RPTELISCONSOLIDATED($H$34,$H664),IF(_xll.TM1RPTELLEV($H$34,$H664)&lt;=5,_xll.TM1RPTELLEV($H$34,$H664),"Default"),"Leaf")</f>
        <v>Leaf</v>
      </c>
      <c r="E664" s="42" t="s">
        <v>698</v>
      </c>
      <c r="F664" s="34" t="str">
        <f>_xll.DBR($B$18,$H664,"Account_Type")</f>
        <v>NON LABOR</v>
      </c>
      <c r="G664" s="34" t="str">
        <f>_xll.DBR($B$18,$H664,"Description")</f>
        <v>Fuel Purchases to Leased Vehicles</v>
      </c>
      <c r="H664" s="43" t="s">
        <v>650</v>
      </c>
      <c r="I664" s="36">
        <f>_xll.DBRW($E$12,$F$16,$F$17,$F$18,$E664,$F$20,I$22,$H664,$F$19)</f>
        <v>0</v>
      </c>
      <c r="J664" s="36">
        <f>_xll.DBRW($E$12,$F$16,$F$17,$F$18,$E664,$F$20,J$22,$H664,$F$19)</f>
        <v>0</v>
      </c>
      <c r="K664" s="36">
        <f>_xll.DBRW($E$12,$F$16,$F$17,$F$18,$E664,$F$20,K$22,$H664,$F$19)</f>
        <v>0</v>
      </c>
      <c r="L664" s="36">
        <f>_xll.DBRW($E$12,$F$16,$F$17,$F$18,$E664,$F$20,L$22,$H664,$F$19)</f>
        <v>0</v>
      </c>
      <c r="M664" s="36">
        <f>_xll.DBRW($E$12,$F$16,$F$17,$F$18,$E664,$F$20,M$22,$H664,$F$19)</f>
        <v>0</v>
      </c>
      <c r="N664" s="36">
        <f>_xll.DBRW($E$12,$F$16,$F$17,$F$18,$E664,$F$20,N$22,$H664,$F$19)</f>
        <v>0</v>
      </c>
      <c r="O664" s="36">
        <f>_xll.DBRW($E$12,$F$16,$F$17,$F$18,$E664,$F$20,O$22,$H664,$F$19)</f>
        <v>-1359.49</v>
      </c>
      <c r="P664" s="36">
        <f>_xll.DBRW($E$12,$F$16,$F$17,$F$18,$E664,$F$20,P$22,$H664,$F$19)</f>
        <v>0</v>
      </c>
      <c r="Q664" s="36">
        <f>_xll.DBRW($E$12,$F$16,$F$17,$F$18,$E664,$F$20,Q$22,$H664,$F$19)</f>
        <v>0</v>
      </c>
      <c r="R664" s="36">
        <f>_xll.DBRW($E$12,$F$16,$F$17,$F$18,$E664,$F$20,R$22,$H664,$F$19)</f>
        <v>0</v>
      </c>
      <c r="S664" s="36">
        <f>_xll.DBRW($E$12,$F$16,$F$17,$F$18,$E664,$F$20,S$22,$H664,$F$19)</f>
        <v>0</v>
      </c>
      <c r="T664" s="36">
        <f>_xll.DBRW($E$12,$F$16,$F$17,$F$18,$E664,$F$20,T$22,$H664,$F$19)</f>
        <v>0</v>
      </c>
      <c r="U664" s="36">
        <f>_xll.DBRW($E$12,$F$16,$F$17,$F$18,$E664,$F$20,U$22,$H664,$F$19)</f>
        <v>-1359.49</v>
      </c>
    </row>
    <row r="665" spans="4:21" s="37" customFormat="1" ht="15" outlineLevel="1" thickBot="1" x14ac:dyDescent="0.35">
      <c r="D665" s="33" t="str">
        <f>IF(_xll.TM1RPTELISCONSOLIDATED($H$34,$H665),IF(_xll.TM1RPTELLEV($H$34,$H665)&lt;=5,_xll.TM1RPTELLEV($H$34,$H665),"Default"),"Leaf")</f>
        <v>Leaf</v>
      </c>
      <c r="E665" s="42" t="s">
        <v>698</v>
      </c>
      <c r="F665" s="34" t="str">
        <f>_xll.DBR($B$18,$H665,"Account_Type")</f>
        <v>NON LABOR</v>
      </c>
      <c r="G665" s="34" t="str">
        <f>_xll.DBR($B$18,$H665,"Description")</f>
        <v>Company Owned Equipment</v>
      </c>
      <c r="H665" s="43" t="s">
        <v>652</v>
      </c>
      <c r="I665" s="36">
        <f>_xll.DBRW($E$12,$F$16,$F$17,$F$18,$E665,$F$20,I$22,$H665,$F$19)</f>
        <v>1800</v>
      </c>
      <c r="J665" s="36">
        <f>_xll.DBRW($E$12,$F$16,$F$17,$F$18,$E665,$F$20,J$22,$H665,$F$19)</f>
        <v>2250</v>
      </c>
      <c r="K665" s="36">
        <f>_xll.DBRW($E$12,$F$16,$F$17,$F$18,$E665,$F$20,K$22,$H665,$F$19)</f>
        <v>1800</v>
      </c>
      <c r="L665" s="36">
        <f>_xll.DBRW($E$12,$F$16,$F$17,$F$18,$E665,$F$20,L$22,$H665,$F$19)</f>
        <v>1800</v>
      </c>
      <c r="M665" s="36">
        <f>_xll.DBRW($E$12,$F$16,$F$17,$F$18,$E665,$F$20,M$22,$H665,$F$19)</f>
        <v>2025</v>
      </c>
      <c r="N665" s="36">
        <f>_xll.DBRW($E$12,$F$16,$F$17,$F$18,$E665,$F$20,N$22,$H665,$F$19)</f>
        <v>1800</v>
      </c>
      <c r="O665" s="36">
        <f>_xll.DBRW($E$12,$F$16,$F$17,$F$18,$E665,$F$20,O$22,$H665,$F$19)</f>
        <v>225</v>
      </c>
      <c r="P665" s="36">
        <f>_xll.DBRW($E$12,$F$16,$F$17,$F$18,$E665,$F$20,P$22,$H665,$F$19)</f>
        <v>0</v>
      </c>
      <c r="Q665" s="36">
        <f>_xll.DBRW($E$12,$F$16,$F$17,$F$18,$E665,$F$20,Q$22,$H665,$F$19)</f>
        <v>0</v>
      </c>
      <c r="R665" s="36">
        <f>_xll.DBRW($E$12,$F$16,$F$17,$F$18,$E665,$F$20,R$22,$H665,$F$19)</f>
        <v>0</v>
      </c>
      <c r="S665" s="36">
        <f>_xll.DBRW($E$12,$F$16,$F$17,$F$18,$E665,$F$20,S$22,$H665,$F$19)</f>
        <v>0</v>
      </c>
      <c r="T665" s="36">
        <f>_xll.DBRW($E$12,$F$16,$F$17,$F$18,$E665,$F$20,T$22,$H665,$F$19)</f>
        <v>0</v>
      </c>
      <c r="U665" s="36">
        <f>_xll.DBRW($E$12,$F$16,$F$17,$F$18,$E665,$F$20,U$22,$H665,$F$19)</f>
        <v>11700</v>
      </c>
    </row>
    <row r="666" spans="4:21" s="37" customFormat="1" ht="15" outlineLevel="1" thickBot="1" x14ac:dyDescent="0.35">
      <c r="D666" s="33" t="str">
        <f>IF(_xll.TM1RPTELISCONSOLIDATED($H$34,$H666),IF(_xll.TM1RPTELLEV($H$34,$H666)&lt;=5,_xll.TM1RPTELLEV($H$34,$H666),"Default"),"Leaf")</f>
        <v>Leaf</v>
      </c>
      <c r="E666" s="42" t="s">
        <v>698</v>
      </c>
      <c r="F666" s="34" t="str">
        <f>_xll.DBR($B$18,$H666,"Account_Type")</f>
        <v>NON LABOR</v>
      </c>
      <c r="G666" s="34" t="str">
        <f>_xll.DBR($B$18,$H666,"Description")</f>
        <v>Fuel to Company Owned Equipment</v>
      </c>
      <c r="H666" s="43" t="s">
        <v>657</v>
      </c>
      <c r="I666" s="36">
        <f>_xll.DBRW($E$12,$F$16,$F$17,$F$18,$E666,$F$20,I$22,$H666,$F$19)</f>
        <v>0</v>
      </c>
      <c r="J666" s="36">
        <f>_xll.DBRW($E$12,$F$16,$F$17,$F$18,$E666,$F$20,J$22,$H666,$F$19)</f>
        <v>0</v>
      </c>
      <c r="K666" s="36">
        <f>_xll.DBRW($E$12,$F$16,$F$17,$F$18,$E666,$F$20,K$22,$H666,$F$19)</f>
        <v>191.7</v>
      </c>
      <c r="L666" s="36">
        <f>_xll.DBRW($E$12,$F$16,$F$17,$F$18,$E666,$F$20,L$22,$H666,$F$19)</f>
        <v>114.86</v>
      </c>
      <c r="M666" s="36">
        <f>_xll.DBRW($E$12,$F$16,$F$17,$F$18,$E666,$F$20,M$22,$H666,$F$19)</f>
        <v>253.2</v>
      </c>
      <c r="N666" s="36">
        <f>_xll.DBRW($E$12,$F$16,$F$17,$F$18,$E666,$F$20,N$22,$H666,$F$19)</f>
        <v>0</v>
      </c>
      <c r="O666" s="36">
        <f>_xll.DBRW($E$12,$F$16,$F$17,$F$18,$E666,$F$20,O$22,$H666,$F$19)</f>
        <v>0</v>
      </c>
      <c r="P666" s="36">
        <f>_xll.DBRW($E$12,$F$16,$F$17,$F$18,$E666,$F$20,P$22,$H666,$F$19)</f>
        <v>0</v>
      </c>
      <c r="Q666" s="36">
        <f>_xll.DBRW($E$12,$F$16,$F$17,$F$18,$E666,$F$20,Q$22,$H666,$F$19)</f>
        <v>0</v>
      </c>
      <c r="R666" s="36">
        <f>_xll.DBRW($E$12,$F$16,$F$17,$F$18,$E666,$F$20,R$22,$H666,$F$19)</f>
        <v>0</v>
      </c>
      <c r="S666" s="36">
        <f>_xll.DBRW($E$12,$F$16,$F$17,$F$18,$E666,$F$20,S$22,$H666,$F$19)</f>
        <v>0</v>
      </c>
      <c r="T666" s="36">
        <f>_xll.DBRW($E$12,$F$16,$F$17,$F$18,$E666,$F$20,T$22,$H666,$F$19)</f>
        <v>0</v>
      </c>
      <c r="U666" s="36">
        <f>_xll.DBRW($E$12,$F$16,$F$17,$F$18,$E666,$F$20,U$22,$H666,$F$19)</f>
        <v>559.76</v>
      </c>
    </row>
    <row r="667" spans="4:21" s="37" customFormat="1" ht="15" outlineLevel="1" thickBot="1" x14ac:dyDescent="0.35">
      <c r="D667" s="33" t="str">
        <f>IF(_xll.TM1RPTELISCONSOLIDATED($H$34,$H667),IF(_xll.TM1RPTELLEV($H$34,$H667)&lt;=5,_xll.TM1RPTELLEV($H$34,$H667),"Default"),"Leaf")</f>
        <v>Leaf</v>
      </c>
      <c r="E667" s="42" t="s">
        <v>699</v>
      </c>
      <c r="F667" s="34" t="str">
        <f>_xll.DBR($B$18,$H667,"Account_Type")</f>
        <v>NON LABOR</v>
      </c>
      <c r="G667" s="34" t="str">
        <f>_xll.DBR($B$18,$H667,"Description")</f>
        <v>Telecommunications / Internet</v>
      </c>
      <c r="H667" s="43" t="s">
        <v>509</v>
      </c>
      <c r="I667" s="36">
        <f>_xll.DBRW($E$12,$F$16,$F$17,$F$18,$E667,$F$20,I$22,$H667,$F$19)</f>
        <v>132.66</v>
      </c>
      <c r="J667" s="36">
        <f>_xll.DBRW($E$12,$F$16,$F$17,$F$18,$E667,$F$20,J$22,$H667,$F$19)</f>
        <v>222.86</v>
      </c>
      <c r="K667" s="36">
        <f>_xll.DBRW($E$12,$F$16,$F$17,$F$18,$E667,$F$20,K$22,$H667,$F$19)</f>
        <v>293.11</v>
      </c>
      <c r="L667" s="36">
        <f>_xll.DBRW($E$12,$F$16,$F$17,$F$18,$E667,$F$20,L$22,$H667,$F$19)</f>
        <v>237.92</v>
      </c>
      <c r="M667" s="36">
        <f>_xll.DBRW($E$12,$F$16,$F$17,$F$18,$E667,$F$20,M$22,$H667,$F$19)</f>
        <v>238.14</v>
      </c>
      <c r="N667" s="36">
        <f>_xll.DBRW($E$12,$F$16,$F$17,$F$18,$E667,$F$20,N$22,$H667,$F$19)</f>
        <v>133.71</v>
      </c>
      <c r="O667" s="36">
        <f>_xll.DBRW($E$12,$F$16,$F$17,$F$18,$E667,$F$20,O$22,$H667,$F$19)</f>
        <v>0</v>
      </c>
      <c r="P667" s="36">
        <f>_xll.DBRW($E$12,$F$16,$F$17,$F$18,$E667,$F$20,P$22,$H667,$F$19)</f>
        <v>0</v>
      </c>
      <c r="Q667" s="36">
        <f>_xll.DBRW($E$12,$F$16,$F$17,$F$18,$E667,$F$20,Q$22,$H667,$F$19)</f>
        <v>0</v>
      </c>
      <c r="R667" s="36">
        <f>_xll.DBRW($E$12,$F$16,$F$17,$F$18,$E667,$F$20,R$22,$H667,$F$19)</f>
        <v>0</v>
      </c>
      <c r="S667" s="36">
        <f>_xll.DBRW($E$12,$F$16,$F$17,$F$18,$E667,$F$20,S$22,$H667,$F$19)</f>
        <v>0</v>
      </c>
      <c r="T667" s="36">
        <f>_xll.DBRW($E$12,$F$16,$F$17,$F$18,$E667,$F$20,T$22,$H667,$F$19)</f>
        <v>0</v>
      </c>
      <c r="U667" s="36">
        <f>_xll.DBRW($E$12,$F$16,$F$17,$F$18,$E667,$F$20,U$22,$H667,$F$19)</f>
        <v>1258.4000000000001</v>
      </c>
    </row>
    <row r="668" spans="4:21" s="37" customFormat="1" ht="15" outlineLevel="1" thickBot="1" x14ac:dyDescent="0.35">
      <c r="D668" s="33" t="str">
        <f>IF(_xll.TM1RPTELISCONSOLIDATED($H$34,$H668),IF(_xll.TM1RPTELLEV($H$34,$H668)&lt;=5,_xll.TM1RPTELLEV($H$34,$H668),"Default"),"Leaf")</f>
        <v>Leaf</v>
      </c>
      <c r="E668" s="42" t="s">
        <v>699</v>
      </c>
      <c r="F668" s="34" t="str">
        <f>_xll.DBR($B$18,$H668,"Account_Type")</f>
        <v>NON LABOR</v>
      </c>
      <c r="G668" s="34" t="str">
        <f>_xll.DBR($B$18,$H668,"Description")</f>
        <v>Office/Computer Supplies &amp; Eqpt</v>
      </c>
      <c r="H668" s="43" t="s">
        <v>537</v>
      </c>
      <c r="I668" s="36">
        <f>_xll.DBRW($E$12,$F$16,$F$17,$F$18,$E668,$F$20,I$22,$H668,$F$19)</f>
        <v>0</v>
      </c>
      <c r="J668" s="36">
        <f>_xll.DBRW($E$12,$F$16,$F$17,$F$18,$E668,$F$20,J$22,$H668,$F$19)</f>
        <v>26562.799999999999</v>
      </c>
      <c r="K668" s="36">
        <f>_xll.DBRW($E$12,$F$16,$F$17,$F$18,$E668,$F$20,K$22,$H668,$F$19)</f>
        <v>21.62</v>
      </c>
      <c r="L668" s="36">
        <f>_xll.DBRW($E$12,$F$16,$F$17,$F$18,$E668,$F$20,L$22,$H668,$F$19)</f>
        <v>64.900000000000006</v>
      </c>
      <c r="M668" s="36">
        <f>_xll.DBRW($E$12,$F$16,$F$17,$F$18,$E668,$F$20,M$22,$H668,$F$19)</f>
        <v>120.41</v>
      </c>
      <c r="N668" s="36">
        <f>_xll.DBRW($E$12,$F$16,$F$17,$F$18,$E668,$F$20,N$22,$H668,$F$19)</f>
        <v>0</v>
      </c>
      <c r="O668" s="36">
        <f>_xll.DBRW($E$12,$F$16,$F$17,$F$18,$E668,$F$20,O$22,$H668,$F$19)</f>
        <v>0</v>
      </c>
      <c r="P668" s="36">
        <f>_xll.DBRW($E$12,$F$16,$F$17,$F$18,$E668,$F$20,P$22,$H668,$F$19)</f>
        <v>0</v>
      </c>
      <c r="Q668" s="36">
        <f>_xll.DBRW($E$12,$F$16,$F$17,$F$18,$E668,$F$20,Q$22,$H668,$F$19)</f>
        <v>0</v>
      </c>
      <c r="R668" s="36">
        <f>_xll.DBRW($E$12,$F$16,$F$17,$F$18,$E668,$F$20,R$22,$H668,$F$19)</f>
        <v>0</v>
      </c>
      <c r="S668" s="36">
        <f>_xll.DBRW($E$12,$F$16,$F$17,$F$18,$E668,$F$20,S$22,$H668,$F$19)</f>
        <v>0</v>
      </c>
      <c r="T668" s="36">
        <f>_xll.DBRW($E$12,$F$16,$F$17,$F$18,$E668,$F$20,T$22,$H668,$F$19)</f>
        <v>0</v>
      </c>
      <c r="U668" s="36">
        <f>_xll.DBRW($E$12,$F$16,$F$17,$F$18,$E668,$F$20,U$22,$H668,$F$19)</f>
        <v>26769.73</v>
      </c>
    </row>
    <row r="669" spans="4:21" s="37" customFormat="1" ht="15" outlineLevel="1" thickBot="1" x14ac:dyDescent="0.35">
      <c r="D669" s="33" t="str">
        <f>IF(_xll.TM1RPTELISCONSOLIDATED($H$34,$H669),IF(_xll.TM1RPTELLEV($H$34,$H669)&lt;=5,_xll.TM1RPTELLEV($H$34,$H669),"Default"),"Leaf")</f>
        <v>Leaf</v>
      </c>
      <c r="E669" s="42" t="s">
        <v>699</v>
      </c>
      <c r="F669" s="34" t="str">
        <f>_xll.DBR($B$18,$H669,"Account_Type")</f>
        <v>NON LABOR</v>
      </c>
      <c r="G669" s="34" t="str">
        <f>_xll.DBR($B$18,$H669,"Description")</f>
        <v>Education/Training/Dues/Subscriptions</v>
      </c>
      <c r="H669" s="43" t="s">
        <v>573</v>
      </c>
      <c r="I669" s="36">
        <f>_xll.DBRW($E$12,$F$16,$F$17,$F$18,$E669,$F$20,I$22,$H669,$F$19)</f>
        <v>0</v>
      </c>
      <c r="J669" s="36">
        <f>_xll.DBRW($E$12,$F$16,$F$17,$F$18,$E669,$F$20,J$22,$H669,$F$19)</f>
        <v>0</v>
      </c>
      <c r="K669" s="36">
        <f>_xll.DBRW($E$12,$F$16,$F$17,$F$18,$E669,$F$20,K$22,$H669,$F$19)</f>
        <v>0</v>
      </c>
      <c r="L669" s="36">
        <f>_xll.DBRW($E$12,$F$16,$F$17,$F$18,$E669,$F$20,L$22,$H669,$F$19)</f>
        <v>108.77</v>
      </c>
      <c r="M669" s="36">
        <f>_xll.DBRW($E$12,$F$16,$F$17,$F$18,$E669,$F$20,M$22,$H669,$F$19)</f>
        <v>0</v>
      </c>
      <c r="N669" s="36">
        <f>_xll.DBRW($E$12,$F$16,$F$17,$F$18,$E669,$F$20,N$22,$H669,$F$19)</f>
        <v>0</v>
      </c>
      <c r="O669" s="36">
        <f>_xll.DBRW($E$12,$F$16,$F$17,$F$18,$E669,$F$20,O$22,$H669,$F$19)</f>
        <v>0</v>
      </c>
      <c r="P669" s="36">
        <f>_xll.DBRW($E$12,$F$16,$F$17,$F$18,$E669,$F$20,P$22,$H669,$F$19)</f>
        <v>0</v>
      </c>
      <c r="Q669" s="36">
        <f>_xll.DBRW($E$12,$F$16,$F$17,$F$18,$E669,$F$20,Q$22,$H669,$F$19)</f>
        <v>0</v>
      </c>
      <c r="R669" s="36">
        <f>_xll.DBRW($E$12,$F$16,$F$17,$F$18,$E669,$F$20,R$22,$H669,$F$19)</f>
        <v>0</v>
      </c>
      <c r="S669" s="36">
        <f>_xll.DBRW($E$12,$F$16,$F$17,$F$18,$E669,$F$20,S$22,$H669,$F$19)</f>
        <v>0</v>
      </c>
      <c r="T669" s="36">
        <f>_xll.DBRW($E$12,$F$16,$F$17,$F$18,$E669,$F$20,T$22,$H669,$F$19)</f>
        <v>0</v>
      </c>
      <c r="U669" s="36">
        <f>_xll.DBRW($E$12,$F$16,$F$17,$F$18,$E669,$F$20,U$22,$H669,$F$19)</f>
        <v>108.77</v>
      </c>
    </row>
    <row r="670" spans="4:21" s="37" customFormat="1" ht="15" outlineLevel="1" thickBot="1" x14ac:dyDescent="0.35">
      <c r="D670" s="33" t="str">
        <f>IF(_xll.TM1RPTELISCONSOLIDATED($H$34,$H670),IF(_xll.TM1RPTELLEV($H$34,$H670)&lt;=5,_xll.TM1RPTELLEV($H$34,$H670),"Default"),"Leaf")</f>
        <v>Leaf</v>
      </c>
      <c r="E670" s="42" t="s">
        <v>699</v>
      </c>
      <c r="F670" s="34" t="str">
        <f>_xll.DBR($B$18,$H670,"Account_Type")</f>
        <v>NON LABOR</v>
      </c>
      <c r="G670" s="34" t="str">
        <f>_xll.DBR($B$18,$H670,"Description")</f>
        <v>Drug Testing &amp; Physicals</v>
      </c>
      <c r="H670" s="43" t="s">
        <v>606</v>
      </c>
      <c r="I670" s="36">
        <f>_xll.DBRW($E$12,$F$16,$F$17,$F$18,$E670,$F$20,I$22,$H670,$F$19)</f>
        <v>0</v>
      </c>
      <c r="J670" s="36">
        <f>_xll.DBRW($E$12,$F$16,$F$17,$F$18,$E670,$F$20,J$22,$H670,$F$19)</f>
        <v>0</v>
      </c>
      <c r="K670" s="36">
        <f>_xll.DBRW($E$12,$F$16,$F$17,$F$18,$E670,$F$20,K$22,$H670,$F$19)</f>
        <v>0</v>
      </c>
      <c r="L670" s="36">
        <f>_xll.DBRW($E$12,$F$16,$F$17,$F$18,$E670,$F$20,L$22,$H670,$F$19)</f>
        <v>50</v>
      </c>
      <c r="M670" s="36">
        <f>_xll.DBRW($E$12,$F$16,$F$17,$F$18,$E670,$F$20,M$22,$H670,$F$19)</f>
        <v>0</v>
      </c>
      <c r="N670" s="36">
        <f>_xll.DBRW($E$12,$F$16,$F$17,$F$18,$E670,$F$20,N$22,$H670,$F$19)</f>
        <v>0</v>
      </c>
      <c r="O670" s="36">
        <f>_xll.DBRW($E$12,$F$16,$F$17,$F$18,$E670,$F$20,O$22,$H670,$F$19)</f>
        <v>0</v>
      </c>
      <c r="P670" s="36">
        <f>_xll.DBRW($E$12,$F$16,$F$17,$F$18,$E670,$F$20,P$22,$H670,$F$19)</f>
        <v>0</v>
      </c>
      <c r="Q670" s="36">
        <f>_xll.DBRW($E$12,$F$16,$F$17,$F$18,$E670,$F$20,Q$22,$H670,$F$19)</f>
        <v>0</v>
      </c>
      <c r="R670" s="36">
        <f>_xll.DBRW($E$12,$F$16,$F$17,$F$18,$E670,$F$20,R$22,$H670,$F$19)</f>
        <v>0</v>
      </c>
      <c r="S670" s="36">
        <f>_xll.DBRW($E$12,$F$16,$F$17,$F$18,$E670,$F$20,S$22,$H670,$F$19)</f>
        <v>0</v>
      </c>
      <c r="T670" s="36">
        <f>_xll.DBRW($E$12,$F$16,$F$17,$F$18,$E670,$F$20,T$22,$H670,$F$19)</f>
        <v>0</v>
      </c>
      <c r="U670" s="36">
        <f>_xll.DBRW($E$12,$F$16,$F$17,$F$18,$E670,$F$20,U$22,$H670,$F$19)</f>
        <v>50</v>
      </c>
    </row>
  </sheetData>
  <sheetProtection sheet="1" objects="1" scenarios="1"/>
  <mergeCells count="1">
    <mergeCell ref="E14:V14"/>
  </mergeCells>
  <conditionalFormatting sqref="I9:U9">
    <cfRule type="expression" dxfId="3" priority="4">
      <formula>MOD(ROW(),2)=0</formula>
    </cfRule>
  </conditionalFormatting>
  <conditionalFormatting sqref="I34:U670">
    <cfRule type="expression" dxfId="0" priority="1">
      <formula>MOD(ROW(),2)=0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</vt:i4>
      </vt:variant>
    </vt:vector>
  </HeadingPairs>
  <TitlesOfParts>
    <vt:vector size="8" baseType="lpstr">
      <vt:lpstr>Sheet1</vt:lpstr>
      <vt:lpstr>Server</vt:lpstr>
      <vt:lpstr>ServerName</vt:lpstr>
      <vt:lpstr>Sheet1!TM1RPTDATARNG15695952</vt:lpstr>
      <vt:lpstr>Sheet1!TM1RPTFMTIDCOL15695952</vt:lpstr>
      <vt:lpstr>Sheet1!TM1RPTFMTRNG15695952</vt:lpstr>
      <vt:lpstr>Sheet1!TM1RPTQRYRNG15695952</vt:lpstr>
      <vt:lpstr>Sheet1!TM1RPTVIEWRNG15695952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Anuj kumar</dc:creator>
  <cp:lastModifiedBy>Anuj kumar</cp:lastModifiedBy>
  <dcterms:created xsi:type="dcterms:W3CDTF">2026-07-17T18:10:18Z</dcterms:created>
  <dcterms:modified xsi:type="dcterms:W3CDTF">2026-07-17T19:30:02Z</dcterms:modified>
</cp:coreProperties>
</file>